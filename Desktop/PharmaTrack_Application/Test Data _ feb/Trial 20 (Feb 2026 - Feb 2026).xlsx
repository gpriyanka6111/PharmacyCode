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Data'!$A$3:$BU$907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All'!$A$2:$R$676</definedName>
    <definedName name="_xlnm.Print_Titles" localSheetId="2">'Needs to be ordered - All'!$1:$2</definedName>
    <definedName name="_xlnm.Print_Area" localSheetId="2">'Needs to be ordered - All'!$A$2:$Q$678</definedName>
    <definedName name="_xlnm._FilterDatabase" localSheetId="3" hidden="1">'Do Not Order - ALL'!$A$2:$P$171</definedName>
    <definedName name="_xlnm.Print_Titles" localSheetId="3">'Do Not Order - ALL'!$1:$2</definedName>
    <definedName name="_xlnm._FilterDatabase" localSheetId="4" hidden="1">'Never Ordered - Check'!$A$2:$E$560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'Summary'!$A$3:$L$7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U90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 ht="35" customHeight="1">
      <c r="A1" s="2" t="inlineStr">
        <is>
          <t>Trial 20 (Feb 2026 -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5" t="n"/>
      <c r="R1" s="3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5" t="n"/>
      <c r="AC1" s="3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5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5" t="n"/>
      <c r="BJ1" s="3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5" t="n"/>
      <c r="BU1" s="1" t="inlineStr">
        <is>
          <t>Drug Type</t>
        </is>
      </c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Q2" s="9" t="n"/>
      <c r="R2" s="8" t="inlineStr">
        <is>
          <t>Package Size Billed = Quantity Billed(BestRx) ÷ Package Size</t>
        </is>
      </c>
      <c r="AB2" s="9" t="n"/>
      <c r="AC2" s="8" t="inlineStr">
        <is>
          <t>Package Size Difference = Total Packages Purchased(Vendors) − Package Size Billed(BestRx)</t>
        </is>
      </c>
      <c r="AM2" s="9" t="n"/>
      <c r="AN2" s="8" t="inlineStr">
        <is>
          <t>Actual $ Paid by Insurance = BestRX</t>
        </is>
      </c>
      <c r="AX2" s="9" t="n"/>
      <c r="AY2" s="8" t="inlineStr">
        <is>
          <t>Actual $ Purchased (Kinray Unit Price × Packages Billed To Ins)</t>
        </is>
      </c>
      <c r="BI2" s="9" t="n"/>
      <c r="BJ2" s="8" t="inlineStr">
        <is>
          <t>Net(Profit/Loss)$ = Actual $ Paid(BestRx) − Actual $ Purchased(Kinray)</t>
        </is>
      </c>
      <c r="BT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3" t="inlineStr">
        <is>
          <t>PRIMECAPRX_Q</t>
        </is>
      </c>
      <c r="Q3" s="14" t="inlineStr">
        <is>
          <t>TREDIUM_Q</t>
        </is>
      </c>
      <c r="R3" s="12" t="inlineStr">
        <is>
          <t>ALL_PBM_P</t>
        </is>
      </c>
      <c r="S3" s="13" t="inlineStr">
        <is>
          <t>ADAP_P</t>
        </is>
      </c>
      <c r="T3" s="13" t="inlineStr">
        <is>
          <t>ARG/HUM_P</t>
        </is>
      </c>
      <c r="U3" s="13" t="inlineStr">
        <is>
          <t>CVS_P</t>
        </is>
      </c>
      <c r="V3" s="13" t="inlineStr">
        <is>
          <t>ESI_P</t>
        </is>
      </c>
      <c r="W3" s="13" t="inlineStr">
        <is>
          <t>FDS_P</t>
        </is>
      </c>
      <c r="X3" s="13" t="inlineStr">
        <is>
          <t>MEDIMP_P</t>
        </is>
      </c>
      <c r="Y3" s="13" t="inlineStr">
        <is>
          <t>NYM_P</t>
        </is>
      </c>
      <c r="Z3" s="13" t="inlineStr">
        <is>
          <t>OPTUM_P</t>
        </is>
      </c>
      <c r="AA3" s="13" t="inlineStr">
        <is>
          <t>PRIMECAPRX_P</t>
        </is>
      </c>
      <c r="AB3" s="14" t="inlineStr">
        <is>
          <t>TREDIUM_P</t>
        </is>
      </c>
      <c r="AC3" s="12" t="inlineStr">
        <is>
          <t>ALL_PBM_D</t>
        </is>
      </c>
      <c r="AD3" s="13" t="inlineStr">
        <is>
          <t>ADAP_D</t>
        </is>
      </c>
      <c r="AE3" s="13" t="inlineStr">
        <is>
          <t>ARG/HUM_D</t>
        </is>
      </c>
      <c r="AF3" s="13" t="inlineStr">
        <is>
          <t>CVS_D</t>
        </is>
      </c>
      <c r="AG3" s="13" t="inlineStr">
        <is>
          <t>ESI_D</t>
        </is>
      </c>
      <c r="AH3" s="13" t="inlineStr">
        <is>
          <t>FDS_D</t>
        </is>
      </c>
      <c r="AI3" s="13" t="inlineStr">
        <is>
          <t>MEDIMP_D</t>
        </is>
      </c>
      <c r="AJ3" s="13" t="inlineStr">
        <is>
          <t>NYM_D</t>
        </is>
      </c>
      <c r="AK3" s="13" t="inlineStr">
        <is>
          <t>OPTUM_D</t>
        </is>
      </c>
      <c r="AL3" s="13" t="inlineStr">
        <is>
          <t>PRIMECAPRX_D</t>
        </is>
      </c>
      <c r="AM3" s="14" t="inlineStr">
        <is>
          <t>TREDIUM_D</t>
        </is>
      </c>
      <c r="AN3" s="12" t="inlineStr">
        <is>
          <t>ALL_PBM_T</t>
        </is>
      </c>
      <c r="AO3" s="13" t="inlineStr">
        <is>
          <t>ADAP_T</t>
        </is>
      </c>
      <c r="AP3" s="13" t="inlineStr">
        <is>
          <t>ARG/HUM_T</t>
        </is>
      </c>
      <c r="AQ3" s="13" t="inlineStr">
        <is>
          <t>CVS_T</t>
        </is>
      </c>
      <c r="AR3" s="13" t="inlineStr">
        <is>
          <t>ESI_T</t>
        </is>
      </c>
      <c r="AS3" s="13" t="inlineStr">
        <is>
          <t>FDS_T</t>
        </is>
      </c>
      <c r="AT3" s="13" t="inlineStr">
        <is>
          <t>MEDIMP_T</t>
        </is>
      </c>
      <c r="AU3" s="13" t="inlineStr">
        <is>
          <t>NYM_T</t>
        </is>
      </c>
      <c r="AV3" s="13" t="inlineStr">
        <is>
          <t>OPTUM_T</t>
        </is>
      </c>
      <c r="AW3" s="13" t="inlineStr">
        <is>
          <t>PRIMECAPRX_T</t>
        </is>
      </c>
      <c r="AX3" s="14" t="inlineStr">
        <is>
          <t>TREDIUM_T</t>
        </is>
      </c>
      <c r="AY3" s="12" t="inlineStr">
        <is>
          <t>ALL_PBM_Pur</t>
        </is>
      </c>
      <c r="AZ3" s="13" t="inlineStr">
        <is>
          <t>ADAP_Pur</t>
        </is>
      </c>
      <c r="BA3" s="13" t="inlineStr">
        <is>
          <t>ARG/HUM_Pur</t>
        </is>
      </c>
      <c r="BB3" s="13" t="inlineStr">
        <is>
          <t>CVS_Pur</t>
        </is>
      </c>
      <c r="BC3" s="13" t="inlineStr">
        <is>
          <t>ESI_Pur</t>
        </is>
      </c>
      <c r="BD3" s="13" t="inlineStr">
        <is>
          <t>FDS_Pur</t>
        </is>
      </c>
      <c r="BE3" s="13" t="inlineStr">
        <is>
          <t>MEDIMP_Pur</t>
        </is>
      </c>
      <c r="BF3" s="13" t="inlineStr">
        <is>
          <t>NYM_Pur</t>
        </is>
      </c>
      <c r="BG3" s="13" t="inlineStr">
        <is>
          <t>OPTUM_Pur</t>
        </is>
      </c>
      <c r="BH3" s="13" t="inlineStr">
        <is>
          <t>PRIMECAPRX_Pur</t>
        </is>
      </c>
      <c r="BI3" s="14" t="inlineStr">
        <is>
          <t>TREDIUM_Pur</t>
        </is>
      </c>
      <c r="BJ3" s="12" t="inlineStr">
        <is>
          <t>ALL_PBM_Net</t>
        </is>
      </c>
      <c r="BK3" s="13" t="inlineStr">
        <is>
          <t>ADAP_Net</t>
        </is>
      </c>
      <c r="BL3" s="13" t="inlineStr">
        <is>
          <t>ARG/HUM_Net</t>
        </is>
      </c>
      <c r="BM3" s="13" t="inlineStr">
        <is>
          <t>CVS_Net</t>
        </is>
      </c>
      <c r="BN3" s="13" t="inlineStr">
        <is>
          <t>ESI_Net</t>
        </is>
      </c>
      <c r="BO3" s="13" t="inlineStr">
        <is>
          <t>FDS_Net</t>
        </is>
      </c>
      <c r="BP3" s="13" t="inlineStr">
        <is>
          <t>MEDIMP_Net</t>
        </is>
      </c>
      <c r="BQ3" s="13" t="inlineStr">
        <is>
          <t>NYM_Net</t>
        </is>
      </c>
      <c r="BR3" s="13" t="inlineStr">
        <is>
          <t>OPTUM_Net</t>
        </is>
      </c>
      <c r="BS3" s="13" t="inlineStr">
        <is>
          <t>PRIMECAPRX_Net</t>
        </is>
      </c>
      <c r="BT3" s="14" t="inlineStr">
        <is>
          <t>TREDIUM_Net</t>
        </is>
      </c>
      <c r="BU3" s="13" t="n"/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425</v>
      </c>
      <c r="O4" s="17" t="n">
        <v>0</v>
      </c>
      <c r="P4" s="17" t="n">
        <v>0</v>
      </c>
      <c r="Q4" s="18" t="n">
        <v>0</v>
      </c>
      <c r="R4" s="16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</v>
      </c>
      <c r="Z4" s="17" t="n">
        <v>0</v>
      </c>
      <c r="AA4" s="17" t="n">
        <v>0</v>
      </c>
      <c r="AB4" s="18" t="n">
        <v>0</v>
      </c>
      <c r="AC4" s="16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-1</v>
      </c>
      <c r="AK4" s="17" t="n">
        <v>0</v>
      </c>
      <c r="AL4" s="17" t="n">
        <v>0</v>
      </c>
      <c r="AM4" s="18" t="n">
        <v>0</v>
      </c>
      <c r="AN4" s="16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12</v>
      </c>
      <c r="AV4" s="17" t="n">
        <v>0</v>
      </c>
      <c r="AW4" s="17" t="n">
        <v>0</v>
      </c>
      <c r="AX4" s="18" t="n">
        <v>0</v>
      </c>
      <c r="AY4" s="16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8" t="n">
        <v>0</v>
      </c>
      <c r="BJ4" s="16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12</v>
      </c>
      <c r="BR4" s="17" t="n">
        <v>0</v>
      </c>
      <c r="BS4" s="17" t="n">
        <v>0</v>
      </c>
      <c r="BT4" s="18" t="n">
        <v>0</v>
      </c>
      <c r="BU4" s="17" t="inlineStr">
        <is>
          <t>Unclassified</t>
        </is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30</v>
      </c>
      <c r="O5" s="17" t="n">
        <v>0</v>
      </c>
      <c r="P5" s="17" t="n">
        <v>0</v>
      </c>
      <c r="Q5" s="18" t="n">
        <v>0</v>
      </c>
      <c r="R5" s="16" t="n">
        <v>1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1</v>
      </c>
      <c r="Z5" s="17" t="n">
        <v>0</v>
      </c>
      <c r="AA5" s="17" t="n">
        <v>0</v>
      </c>
      <c r="AB5" s="18" t="n">
        <v>0</v>
      </c>
      <c r="AC5" s="16" t="n">
        <v>0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0</v>
      </c>
      <c r="AK5" s="17" t="n">
        <v>1</v>
      </c>
      <c r="AL5" s="17" t="n">
        <v>1</v>
      </c>
      <c r="AM5" s="18" t="n">
        <v>1</v>
      </c>
      <c r="AN5" s="16" t="n">
        <v>571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571</v>
      </c>
      <c r="AV5" s="17" t="n">
        <v>0</v>
      </c>
      <c r="AW5" s="17" t="n">
        <v>0</v>
      </c>
      <c r="AX5" s="18" t="n">
        <v>0</v>
      </c>
      <c r="AY5" s="16" t="n">
        <v>568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568</v>
      </c>
      <c r="BG5" s="17" t="n">
        <v>0</v>
      </c>
      <c r="BH5" s="17" t="n">
        <v>0</v>
      </c>
      <c r="BI5" s="18" t="n">
        <v>0</v>
      </c>
      <c r="BJ5" s="16" t="n">
        <v>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3</v>
      </c>
      <c r="BR5" s="17" t="n">
        <v>0</v>
      </c>
      <c r="BS5" s="17" t="n">
        <v>0</v>
      </c>
      <c r="BT5" s="18" t="n">
        <v>0</v>
      </c>
      <c r="BU5" s="17" t="inlineStr">
        <is>
          <t>Branded Drug</t>
        </is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200</v>
      </c>
      <c r="K6" s="17" t="n">
        <v>500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8" t="n">
        <v>0</v>
      </c>
      <c r="R6" s="16" t="n">
        <v>18</v>
      </c>
      <c r="S6" s="17" t="n">
        <v>0</v>
      </c>
      <c r="T6" s="17" t="n">
        <v>4</v>
      </c>
      <c r="U6" s="17" t="n">
        <v>4</v>
      </c>
      <c r="V6" s="17" t="n">
        <v>10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8" t="n">
        <v>0</v>
      </c>
      <c r="AC6" s="16" t="n">
        <v>-2</v>
      </c>
      <c r="AD6" s="17" t="n">
        <v>16</v>
      </c>
      <c r="AE6" s="17" t="n">
        <v>12</v>
      </c>
      <c r="AF6" s="17" t="n">
        <v>12</v>
      </c>
      <c r="AG6" s="17" t="n">
        <v>6</v>
      </c>
      <c r="AH6" s="17" t="n">
        <v>16</v>
      </c>
      <c r="AI6" s="17" t="n">
        <v>16</v>
      </c>
      <c r="AJ6" s="17" t="n">
        <v>16</v>
      </c>
      <c r="AK6" s="17" t="n">
        <v>16</v>
      </c>
      <c r="AL6" s="17" t="n">
        <v>16</v>
      </c>
      <c r="AM6" s="18" t="n">
        <v>16</v>
      </c>
      <c r="AN6" s="16" t="n">
        <v>332</v>
      </c>
      <c r="AO6" s="17" t="n">
        <v>0</v>
      </c>
      <c r="AP6" s="17" t="n">
        <v>68</v>
      </c>
      <c r="AQ6" s="17" t="n">
        <v>78</v>
      </c>
      <c r="AR6" s="17" t="n">
        <v>164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8" t="n">
        <v>0</v>
      </c>
      <c r="AY6" s="16" t="n">
        <v>360</v>
      </c>
      <c r="AZ6" s="17" t="n">
        <v>0</v>
      </c>
      <c r="BA6" s="17" t="n">
        <v>80</v>
      </c>
      <c r="BB6" s="17" t="n">
        <v>80</v>
      </c>
      <c r="BC6" s="17" t="n">
        <v>200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8" t="n">
        <v>0</v>
      </c>
      <c r="BJ6" s="16" t="n">
        <v>-28</v>
      </c>
      <c r="BK6" s="17" t="n">
        <v>0</v>
      </c>
      <c r="BL6" s="17" t="n">
        <v>-12</v>
      </c>
      <c r="BM6" s="17" t="n">
        <v>-2</v>
      </c>
      <c r="BN6" s="17" t="n">
        <v>-36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8" t="n">
        <v>0</v>
      </c>
      <c r="BU6" s="17" t="inlineStr">
        <is>
          <t>Home Health Care</t>
        </is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0</v>
      </c>
      <c r="K7" s="17" t="n">
        <v>1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8" t="n">
        <v>0</v>
      </c>
      <c r="R7" s="16" t="n">
        <v>1</v>
      </c>
      <c r="S7" s="17" t="n">
        <v>0</v>
      </c>
      <c r="T7" s="17" t="n">
        <v>0</v>
      </c>
      <c r="U7" s="17" t="n">
        <v>0</v>
      </c>
      <c r="V7" s="17" t="n">
        <v>1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8" t="n">
        <v>0</v>
      </c>
      <c r="AC7" s="16" t="n">
        <v>2</v>
      </c>
      <c r="AD7" s="17" t="n">
        <v>3</v>
      </c>
      <c r="AE7" s="17" t="n">
        <v>3</v>
      </c>
      <c r="AF7" s="17" t="n">
        <v>3</v>
      </c>
      <c r="AG7" s="17" t="n">
        <v>2</v>
      </c>
      <c r="AH7" s="17" t="n">
        <v>3</v>
      </c>
      <c r="AI7" s="17" t="n">
        <v>3</v>
      </c>
      <c r="AJ7" s="17" t="n">
        <v>3</v>
      </c>
      <c r="AK7" s="17" t="n">
        <v>3</v>
      </c>
      <c r="AL7" s="17" t="n">
        <v>3</v>
      </c>
      <c r="AM7" s="18" t="n">
        <v>3</v>
      </c>
      <c r="AN7" s="16" t="n">
        <v>21</v>
      </c>
      <c r="AO7" s="17" t="n">
        <v>0</v>
      </c>
      <c r="AP7" s="17" t="n">
        <v>0</v>
      </c>
      <c r="AQ7" s="17" t="n">
        <v>0</v>
      </c>
      <c r="AR7" s="17" t="n">
        <v>21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8" t="n">
        <v>0</v>
      </c>
      <c r="AY7" s="16" t="n">
        <v>26</v>
      </c>
      <c r="AZ7" s="17" t="n">
        <v>0</v>
      </c>
      <c r="BA7" s="17" t="n">
        <v>0</v>
      </c>
      <c r="BB7" s="17" t="n">
        <v>0</v>
      </c>
      <c r="BC7" s="17" t="n">
        <v>26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8" t="n">
        <v>0</v>
      </c>
      <c r="BJ7" s="16" t="n">
        <v>-5</v>
      </c>
      <c r="BK7" s="17" t="n">
        <v>0</v>
      </c>
      <c r="BL7" s="17" t="n">
        <v>0</v>
      </c>
      <c r="BM7" s="17" t="n">
        <v>0</v>
      </c>
      <c r="BN7" s="17" t="n">
        <v>-5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8" t="n">
        <v>0</v>
      </c>
      <c r="BU7" s="17" t="inlineStr">
        <is>
          <t>Home Health Care</t>
        </is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0</v>
      </c>
      <c r="J8" s="17" t="n">
        <v>300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8" t="n">
        <v>0</v>
      </c>
      <c r="R8" s="16" t="n">
        <v>0</v>
      </c>
      <c r="S8" s="17" t="n">
        <v>0</v>
      </c>
      <c r="T8" s="17" t="n">
        <v>0</v>
      </c>
      <c r="U8" s="17" t="n">
        <v>3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8" t="n">
        <v>0</v>
      </c>
      <c r="AC8" s="16" t="n">
        <v>0</v>
      </c>
      <c r="AD8" s="17" t="n">
        <v>0</v>
      </c>
      <c r="AE8" s="17" t="n">
        <v>0</v>
      </c>
      <c r="AF8" s="17" t="n">
        <v>-3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8" t="n">
        <v>0</v>
      </c>
      <c r="AN8" s="16" t="n">
        <v>0</v>
      </c>
      <c r="AO8" s="17" t="n">
        <v>0</v>
      </c>
      <c r="AP8" s="17" t="n">
        <v>0</v>
      </c>
      <c r="AQ8" s="17" t="n">
        <v>31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8" t="n">
        <v>0</v>
      </c>
      <c r="AY8" s="16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8" t="n">
        <v>0</v>
      </c>
      <c r="BJ8" s="16" t="n">
        <v>0</v>
      </c>
      <c r="BK8" s="17" t="n">
        <v>0</v>
      </c>
      <c r="BL8" s="17" t="n">
        <v>0</v>
      </c>
      <c r="BM8" s="17" t="n">
        <v>31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8" t="n">
        <v>0</v>
      </c>
      <c r="BU8" s="17" t="inlineStr">
        <is>
          <t>Unclassified</t>
        </is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12</v>
      </c>
      <c r="O9" s="17" t="n">
        <v>0</v>
      </c>
      <c r="P9" s="17" t="n">
        <v>0</v>
      </c>
      <c r="Q9" s="18" t="n">
        <v>0</v>
      </c>
      <c r="R9" s="16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1</v>
      </c>
      <c r="Z9" s="17" t="n">
        <v>0</v>
      </c>
      <c r="AA9" s="17" t="n">
        <v>0</v>
      </c>
      <c r="AB9" s="18" t="n">
        <v>0</v>
      </c>
      <c r="AC9" s="16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-1</v>
      </c>
      <c r="AK9" s="17" t="n">
        <v>0</v>
      </c>
      <c r="AL9" s="17" t="n">
        <v>0</v>
      </c>
      <c r="AM9" s="18" t="n">
        <v>0</v>
      </c>
      <c r="AN9" s="16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12</v>
      </c>
      <c r="AV9" s="17" t="n">
        <v>0</v>
      </c>
      <c r="AW9" s="17" t="n">
        <v>0</v>
      </c>
      <c r="AX9" s="18" t="n">
        <v>0</v>
      </c>
      <c r="AY9" s="16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8" t="n">
        <v>0</v>
      </c>
      <c r="BJ9" s="16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12</v>
      </c>
      <c r="BR9" s="17" t="n">
        <v>0</v>
      </c>
      <c r="BS9" s="17" t="n">
        <v>0</v>
      </c>
      <c r="BT9" s="18" t="n">
        <v>0</v>
      </c>
      <c r="BU9" s="17" t="inlineStr">
        <is>
          <t>Unclassified</t>
        </is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354</v>
      </c>
      <c r="O10" s="17" t="n">
        <v>0</v>
      </c>
      <c r="P10" s="17" t="n">
        <v>0</v>
      </c>
      <c r="Q10" s="18" t="n">
        <v>0</v>
      </c>
      <c r="R10" s="16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3</v>
      </c>
      <c r="Z10" s="17" t="n">
        <v>0</v>
      </c>
      <c r="AA10" s="17" t="n">
        <v>0</v>
      </c>
      <c r="AB10" s="18" t="n">
        <v>0</v>
      </c>
      <c r="AC10" s="16" t="n">
        <v>10</v>
      </c>
      <c r="AD10" s="17" t="n">
        <v>10</v>
      </c>
      <c r="AE10" s="17" t="n">
        <v>10</v>
      </c>
      <c r="AF10" s="17" t="n">
        <v>10</v>
      </c>
      <c r="AG10" s="17" t="n">
        <v>10</v>
      </c>
      <c r="AH10" s="17" t="n">
        <v>10</v>
      </c>
      <c r="AI10" s="17" t="n">
        <v>10</v>
      </c>
      <c r="AJ10" s="17" t="n">
        <v>7</v>
      </c>
      <c r="AK10" s="17" t="n">
        <v>10</v>
      </c>
      <c r="AL10" s="17" t="n">
        <v>10</v>
      </c>
      <c r="AM10" s="18" t="n">
        <v>10</v>
      </c>
      <c r="AN10" s="16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14</v>
      </c>
      <c r="AV10" s="17" t="n">
        <v>0</v>
      </c>
      <c r="AW10" s="17" t="n">
        <v>0</v>
      </c>
      <c r="AX10" s="18" t="n">
        <v>0</v>
      </c>
      <c r="AY10" s="16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9</v>
      </c>
      <c r="BG10" s="17" t="n">
        <v>0</v>
      </c>
      <c r="BH10" s="17" t="n">
        <v>0</v>
      </c>
      <c r="BI10" s="18" t="n">
        <v>0</v>
      </c>
      <c r="BJ10" s="16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5</v>
      </c>
      <c r="BR10" s="17" t="n">
        <v>0</v>
      </c>
      <c r="BS10" s="17" t="n">
        <v>0</v>
      </c>
      <c r="BT10" s="18" t="n">
        <v>0</v>
      </c>
      <c r="BU10" s="17" t="inlineStr">
        <is>
          <t>OTC Drug</t>
        </is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160</v>
      </c>
      <c r="O11" s="17" t="n">
        <v>0</v>
      </c>
      <c r="P11" s="17" t="n">
        <v>0</v>
      </c>
      <c r="Q11" s="18" t="n">
        <v>0</v>
      </c>
      <c r="R11" s="16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1.6</v>
      </c>
      <c r="Z11" s="17" t="n">
        <v>0</v>
      </c>
      <c r="AA11" s="17" t="n">
        <v>0</v>
      </c>
      <c r="AB11" s="18" t="n">
        <v>0</v>
      </c>
      <c r="AC11" s="16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-1.6</v>
      </c>
      <c r="AK11" s="17" t="n">
        <v>0</v>
      </c>
      <c r="AL11" s="17" t="n">
        <v>0</v>
      </c>
      <c r="AM11" s="18" t="n">
        <v>0</v>
      </c>
      <c r="AN11" s="16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33</v>
      </c>
      <c r="AV11" s="17" t="n">
        <v>0</v>
      </c>
      <c r="AW11" s="17" t="n">
        <v>0</v>
      </c>
      <c r="AX11" s="18" t="n">
        <v>0</v>
      </c>
      <c r="AY11" s="16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8" t="n">
        <v>0</v>
      </c>
      <c r="BJ11" s="16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33</v>
      </c>
      <c r="BR11" s="17" t="n">
        <v>0</v>
      </c>
      <c r="BS11" s="17" t="n">
        <v>0</v>
      </c>
      <c r="BT11" s="18" t="n">
        <v>0</v>
      </c>
      <c r="BU11" s="17" t="inlineStr">
        <is>
          <t>Unclassified</t>
        </is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120</v>
      </c>
      <c r="K12" s="17" t="n">
        <v>0</v>
      </c>
      <c r="L12" s="17" t="n">
        <v>0</v>
      </c>
      <c r="M12" s="17" t="n">
        <v>0</v>
      </c>
      <c r="N12" s="17" t="n">
        <v>578</v>
      </c>
      <c r="O12" s="17" t="n">
        <v>0</v>
      </c>
      <c r="P12" s="17" t="n">
        <v>0</v>
      </c>
      <c r="Q12" s="18" t="n">
        <v>0</v>
      </c>
      <c r="R12" s="16" t="n">
        <v>0</v>
      </c>
      <c r="S12" s="17" t="n">
        <v>0</v>
      </c>
      <c r="T12" s="17" t="n">
        <v>0</v>
      </c>
      <c r="U12" s="17" t="n">
        <v>0.12</v>
      </c>
      <c r="V12" s="17" t="n">
        <v>0</v>
      </c>
      <c r="W12" s="17" t="n">
        <v>0</v>
      </c>
      <c r="X12" s="17" t="n">
        <v>0</v>
      </c>
      <c r="Y12" s="17" t="n">
        <v>0.578</v>
      </c>
      <c r="Z12" s="17" t="n">
        <v>0</v>
      </c>
      <c r="AA12" s="17" t="n">
        <v>0</v>
      </c>
      <c r="AB12" s="18" t="n">
        <v>0</v>
      </c>
      <c r="AC12" s="16" t="n">
        <v>0</v>
      </c>
      <c r="AD12" s="17" t="n">
        <v>0</v>
      </c>
      <c r="AE12" s="17" t="n">
        <v>0</v>
      </c>
      <c r="AF12" s="17" t="n">
        <v>-0.12</v>
      </c>
      <c r="AG12" s="17" t="n">
        <v>0</v>
      </c>
      <c r="AH12" s="17" t="n">
        <v>0</v>
      </c>
      <c r="AI12" s="17" t="n">
        <v>0</v>
      </c>
      <c r="AJ12" s="17" t="n">
        <v>-0.578</v>
      </c>
      <c r="AK12" s="17" t="n">
        <v>0</v>
      </c>
      <c r="AL12" s="17" t="n">
        <v>0</v>
      </c>
      <c r="AM12" s="18" t="n">
        <v>0</v>
      </c>
      <c r="AN12" s="16" t="n">
        <v>0</v>
      </c>
      <c r="AO12" s="17" t="n">
        <v>0</v>
      </c>
      <c r="AP12" s="17" t="n">
        <v>0</v>
      </c>
      <c r="AQ12" s="17" t="n">
        <v>1</v>
      </c>
      <c r="AR12" s="17" t="n">
        <v>0</v>
      </c>
      <c r="AS12" s="17" t="n">
        <v>0</v>
      </c>
      <c r="AT12" s="17" t="n">
        <v>0</v>
      </c>
      <c r="AU12" s="17" t="n">
        <v>79</v>
      </c>
      <c r="AV12" s="17" t="n">
        <v>0</v>
      </c>
      <c r="AW12" s="17" t="n">
        <v>0</v>
      </c>
      <c r="AX12" s="18" t="n">
        <v>0</v>
      </c>
      <c r="AY12" s="16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8" t="n">
        <v>0</v>
      </c>
      <c r="BJ12" s="16" t="n">
        <v>0</v>
      </c>
      <c r="BK12" s="17" t="n">
        <v>0</v>
      </c>
      <c r="BL12" s="17" t="n">
        <v>0</v>
      </c>
      <c r="BM12" s="17" t="n">
        <v>1</v>
      </c>
      <c r="BN12" s="17" t="n">
        <v>0</v>
      </c>
      <c r="BO12" s="17" t="n">
        <v>0</v>
      </c>
      <c r="BP12" s="17" t="n">
        <v>0</v>
      </c>
      <c r="BQ12" s="17" t="n">
        <v>79</v>
      </c>
      <c r="BR12" s="17" t="n">
        <v>0</v>
      </c>
      <c r="BS12" s="17" t="n">
        <v>0</v>
      </c>
      <c r="BT12" s="18" t="n">
        <v>0</v>
      </c>
      <c r="BU12" s="17" t="inlineStr">
        <is>
          <t>Unclassified</t>
        </is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1694</v>
      </c>
      <c r="O13" s="17" t="n">
        <v>0</v>
      </c>
      <c r="P13" s="17" t="n">
        <v>0</v>
      </c>
      <c r="Q13" s="18" t="n">
        <v>0</v>
      </c>
      <c r="R13" s="16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1.694</v>
      </c>
      <c r="Z13" s="17" t="n">
        <v>0</v>
      </c>
      <c r="AA13" s="17" t="n">
        <v>0</v>
      </c>
      <c r="AB13" s="18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-1.694</v>
      </c>
      <c r="AK13" s="17" t="n">
        <v>0</v>
      </c>
      <c r="AL13" s="17" t="n">
        <v>0</v>
      </c>
      <c r="AM13" s="18" t="n">
        <v>0</v>
      </c>
      <c r="AN13" s="16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227</v>
      </c>
      <c r="AV13" s="17" t="n">
        <v>0</v>
      </c>
      <c r="AW13" s="17" t="n">
        <v>0</v>
      </c>
      <c r="AX13" s="18" t="n">
        <v>0</v>
      </c>
      <c r="AY13" s="16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8" t="n">
        <v>0</v>
      </c>
      <c r="BJ13" s="16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227</v>
      </c>
      <c r="BR13" s="17" t="n">
        <v>0</v>
      </c>
      <c r="BS13" s="17" t="n">
        <v>0</v>
      </c>
      <c r="BT13" s="18" t="n">
        <v>0</v>
      </c>
      <c r="BU13" s="17" t="inlineStr">
        <is>
          <t>Unclassified</t>
        </is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236</v>
      </c>
      <c r="K14" s="17" t="n">
        <v>0</v>
      </c>
      <c r="L14" s="17" t="n">
        <v>0</v>
      </c>
      <c r="M14" s="17" t="n">
        <v>0</v>
      </c>
      <c r="N14" s="17" t="n">
        <v>1180</v>
      </c>
      <c r="O14" s="17" t="n">
        <v>0</v>
      </c>
      <c r="P14" s="17" t="n">
        <v>0</v>
      </c>
      <c r="Q14" s="18" t="n">
        <v>0</v>
      </c>
      <c r="R14" s="16" t="n">
        <v>0</v>
      </c>
      <c r="S14" s="17" t="n">
        <v>0</v>
      </c>
      <c r="T14" s="17" t="n">
        <v>0</v>
      </c>
      <c r="U14" s="17" t="n">
        <v>2</v>
      </c>
      <c r="V14" s="17" t="n">
        <v>0</v>
      </c>
      <c r="W14" s="17" t="n">
        <v>0</v>
      </c>
      <c r="X14" s="17" t="n">
        <v>0</v>
      </c>
      <c r="Y14" s="17" t="n">
        <v>10</v>
      </c>
      <c r="Z14" s="17" t="n">
        <v>0</v>
      </c>
      <c r="AA14" s="17" t="n">
        <v>0</v>
      </c>
      <c r="AB14" s="18" t="n">
        <v>0</v>
      </c>
      <c r="AC14" s="16" t="n">
        <v>0</v>
      </c>
      <c r="AD14" s="17" t="n">
        <v>0</v>
      </c>
      <c r="AE14" s="17" t="n">
        <v>0</v>
      </c>
      <c r="AF14" s="17" t="n">
        <v>-2</v>
      </c>
      <c r="AG14" s="17" t="n">
        <v>0</v>
      </c>
      <c r="AH14" s="17" t="n">
        <v>0</v>
      </c>
      <c r="AI14" s="17" t="n">
        <v>0</v>
      </c>
      <c r="AJ14" s="17" t="n">
        <v>-10</v>
      </c>
      <c r="AK14" s="17" t="n">
        <v>0</v>
      </c>
      <c r="AL14" s="17" t="n">
        <v>0</v>
      </c>
      <c r="AM14" s="18" t="n">
        <v>0</v>
      </c>
      <c r="AN14" s="16" t="n">
        <v>0</v>
      </c>
      <c r="AO14" s="17" t="n">
        <v>0</v>
      </c>
      <c r="AP14" s="17" t="n">
        <v>0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63</v>
      </c>
      <c r="AV14" s="17" t="n">
        <v>0</v>
      </c>
      <c r="AW14" s="17" t="n">
        <v>0</v>
      </c>
      <c r="AX14" s="18" t="n">
        <v>0</v>
      </c>
      <c r="AY14" s="16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8" t="n">
        <v>0</v>
      </c>
      <c r="BJ14" s="16" t="n">
        <v>0</v>
      </c>
      <c r="BK14" s="17" t="n">
        <v>0</v>
      </c>
      <c r="BL14" s="17" t="n">
        <v>0</v>
      </c>
      <c r="BM14" s="17" t="n">
        <v>1</v>
      </c>
      <c r="BN14" s="17" t="n">
        <v>0</v>
      </c>
      <c r="BO14" s="17" t="n">
        <v>0</v>
      </c>
      <c r="BP14" s="17" t="n">
        <v>0</v>
      </c>
      <c r="BQ14" s="17" t="n">
        <v>63</v>
      </c>
      <c r="BR14" s="17" t="n">
        <v>0</v>
      </c>
      <c r="BS14" s="17" t="n">
        <v>0</v>
      </c>
      <c r="BT14" s="18" t="n">
        <v>0</v>
      </c>
      <c r="BU14" s="17" t="inlineStr">
        <is>
          <t>Unclassified</t>
        </is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118</v>
      </c>
      <c r="O15" s="17" t="n">
        <v>0</v>
      </c>
      <c r="P15" s="17" t="n">
        <v>0</v>
      </c>
      <c r="Q15" s="18" t="n">
        <v>0</v>
      </c>
      <c r="R15" s="16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1</v>
      </c>
      <c r="Z15" s="17" t="n">
        <v>0</v>
      </c>
      <c r="AA15" s="17" t="n">
        <v>0</v>
      </c>
      <c r="AB15" s="18" t="n">
        <v>0</v>
      </c>
      <c r="AC15" s="16" t="n">
        <v>3</v>
      </c>
      <c r="AD15" s="17" t="n">
        <v>3</v>
      </c>
      <c r="AE15" s="17" t="n">
        <v>3</v>
      </c>
      <c r="AF15" s="17" t="n">
        <v>3</v>
      </c>
      <c r="AG15" s="17" t="n">
        <v>3</v>
      </c>
      <c r="AH15" s="17" t="n">
        <v>3</v>
      </c>
      <c r="AI15" s="17" t="n">
        <v>3</v>
      </c>
      <c r="AJ15" s="17" t="n">
        <v>2</v>
      </c>
      <c r="AK15" s="17" t="n">
        <v>3</v>
      </c>
      <c r="AL15" s="17" t="n">
        <v>3</v>
      </c>
      <c r="AM15" s="18" t="n">
        <v>3</v>
      </c>
      <c r="AN15" s="16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11</v>
      </c>
      <c r="AV15" s="17" t="n">
        <v>0</v>
      </c>
      <c r="AW15" s="17" t="n">
        <v>0</v>
      </c>
      <c r="AX15" s="18" t="n">
        <v>0</v>
      </c>
      <c r="AY15" s="16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</v>
      </c>
      <c r="BG15" s="17" t="n">
        <v>0</v>
      </c>
      <c r="BH15" s="17" t="n">
        <v>0</v>
      </c>
      <c r="BI15" s="18" t="n">
        <v>0</v>
      </c>
      <c r="BJ15" s="16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8</v>
      </c>
      <c r="BR15" s="17" t="n">
        <v>0</v>
      </c>
      <c r="BS15" s="17" t="n">
        <v>0</v>
      </c>
      <c r="BT15" s="18" t="n">
        <v>0</v>
      </c>
      <c r="BU15" s="17" t="inlineStr">
        <is>
          <t>OTC Drug</t>
        </is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0</v>
      </c>
      <c r="J16" s="17" t="n">
        <v>180</v>
      </c>
      <c r="K16" s="17" t="n">
        <v>0</v>
      </c>
      <c r="L16" s="17" t="n">
        <v>0</v>
      </c>
      <c r="M16" s="17" t="n">
        <v>0</v>
      </c>
      <c r="N16" s="17" t="n">
        <v>548</v>
      </c>
      <c r="O16" s="17" t="n">
        <v>0</v>
      </c>
      <c r="P16" s="17" t="n">
        <v>0</v>
      </c>
      <c r="Q16" s="18" t="n">
        <v>0</v>
      </c>
      <c r="R16" s="16" t="n">
        <v>0</v>
      </c>
      <c r="S16" s="17" t="n">
        <v>0</v>
      </c>
      <c r="T16" s="17" t="n">
        <v>0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1.37</v>
      </c>
      <c r="Z16" s="17" t="n">
        <v>0</v>
      </c>
      <c r="AA16" s="17" t="n">
        <v>0</v>
      </c>
      <c r="AB16" s="18" t="n">
        <v>0</v>
      </c>
      <c r="AC16" s="16" t="n">
        <v>2</v>
      </c>
      <c r="AD16" s="17" t="n">
        <v>2</v>
      </c>
      <c r="AE16" s="17" t="n">
        <v>2</v>
      </c>
      <c r="AF16" s="17" t="n">
        <v>1.55</v>
      </c>
      <c r="AG16" s="17" t="n">
        <v>2</v>
      </c>
      <c r="AH16" s="17" t="n">
        <v>2</v>
      </c>
      <c r="AI16" s="17" t="n">
        <v>2</v>
      </c>
      <c r="AJ16" s="17" t="n">
        <v>0.63</v>
      </c>
      <c r="AK16" s="17" t="n">
        <v>2</v>
      </c>
      <c r="AL16" s="17" t="n">
        <v>2</v>
      </c>
      <c r="AM16" s="18" t="n">
        <v>2</v>
      </c>
      <c r="AN16" s="16" t="n">
        <v>0</v>
      </c>
      <c r="AO16" s="17" t="n">
        <v>0</v>
      </c>
      <c r="AP16" s="17" t="n">
        <v>0</v>
      </c>
      <c r="AQ16" s="17" t="n">
        <v>9</v>
      </c>
      <c r="AR16" s="17" t="n">
        <v>0</v>
      </c>
      <c r="AS16" s="17" t="n">
        <v>0</v>
      </c>
      <c r="AT16" s="17" t="n">
        <v>0</v>
      </c>
      <c r="AU16" s="17" t="n">
        <v>117</v>
      </c>
      <c r="AV16" s="17" t="n">
        <v>0</v>
      </c>
      <c r="AW16" s="17" t="n">
        <v>0</v>
      </c>
      <c r="AX16" s="18" t="n">
        <v>0</v>
      </c>
      <c r="AY16" s="16" t="n">
        <v>0</v>
      </c>
      <c r="AZ16" s="17" t="n">
        <v>0</v>
      </c>
      <c r="BA16" s="17" t="n">
        <v>0</v>
      </c>
      <c r="BB16" s="17" t="n">
        <v>15</v>
      </c>
      <c r="BC16" s="17" t="n">
        <v>0</v>
      </c>
      <c r="BD16" s="17" t="n">
        <v>0</v>
      </c>
      <c r="BE16" s="17" t="n">
        <v>0</v>
      </c>
      <c r="BF16" s="17" t="n">
        <v>45</v>
      </c>
      <c r="BG16" s="17" t="n">
        <v>0</v>
      </c>
      <c r="BH16" s="17" t="n">
        <v>0</v>
      </c>
      <c r="BI16" s="18" t="n">
        <v>0</v>
      </c>
      <c r="BJ16" s="16" t="n">
        <v>0</v>
      </c>
      <c r="BK16" s="17" t="n">
        <v>0</v>
      </c>
      <c r="BL16" s="17" t="n">
        <v>0</v>
      </c>
      <c r="BM16" s="17" t="n">
        <v>-6</v>
      </c>
      <c r="BN16" s="17" t="n">
        <v>0</v>
      </c>
      <c r="BO16" s="17" t="n">
        <v>0</v>
      </c>
      <c r="BP16" s="17" t="n">
        <v>0</v>
      </c>
      <c r="BQ16" s="17" t="n">
        <v>71</v>
      </c>
      <c r="BR16" s="17" t="n">
        <v>0</v>
      </c>
      <c r="BS16" s="17" t="n">
        <v>0</v>
      </c>
      <c r="BT16" s="18" t="n">
        <v>0</v>
      </c>
      <c r="BU16" s="17" t="inlineStr">
        <is>
          <t>OTC Drug</t>
        </is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320</v>
      </c>
      <c r="O17" s="17" t="n">
        <v>0</v>
      </c>
      <c r="P17" s="17" t="n">
        <v>0</v>
      </c>
      <c r="Q17" s="18" t="n">
        <v>0</v>
      </c>
      <c r="R17" s="16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0.32</v>
      </c>
      <c r="Z17" s="17" t="n">
        <v>0</v>
      </c>
      <c r="AA17" s="17" t="n">
        <v>0</v>
      </c>
      <c r="AB17" s="18" t="n">
        <v>0</v>
      </c>
      <c r="AC17" s="16" t="n">
        <v>5</v>
      </c>
      <c r="AD17" s="17" t="n">
        <v>5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4.68</v>
      </c>
      <c r="AK17" s="17" t="n">
        <v>5</v>
      </c>
      <c r="AL17" s="17" t="n">
        <v>5</v>
      </c>
      <c r="AM17" s="18" t="n">
        <v>5</v>
      </c>
      <c r="AN17" s="16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35</v>
      </c>
      <c r="AV17" s="17" t="n">
        <v>0</v>
      </c>
      <c r="AW17" s="17" t="n">
        <v>0</v>
      </c>
      <c r="AX17" s="18" t="n">
        <v>0</v>
      </c>
      <c r="AY17" s="16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5</v>
      </c>
      <c r="BG17" s="17" t="n">
        <v>0</v>
      </c>
      <c r="BH17" s="17" t="n">
        <v>0</v>
      </c>
      <c r="BI17" s="18" t="n">
        <v>0</v>
      </c>
      <c r="BJ17" s="16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30</v>
      </c>
      <c r="BR17" s="17" t="n">
        <v>0</v>
      </c>
      <c r="BS17" s="17" t="n">
        <v>0</v>
      </c>
      <c r="BT17" s="18" t="n">
        <v>0</v>
      </c>
      <c r="BU17" s="17" t="inlineStr">
        <is>
          <t>OTC Drug</t>
        </is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1500</v>
      </c>
      <c r="O18" s="17" t="n">
        <v>0</v>
      </c>
      <c r="P18" s="17" t="n">
        <v>0</v>
      </c>
      <c r="Q18" s="18" t="n">
        <v>0</v>
      </c>
      <c r="R18" s="16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3</v>
      </c>
      <c r="Z18" s="17" t="n">
        <v>0</v>
      </c>
      <c r="AA18" s="17" t="n">
        <v>0</v>
      </c>
      <c r="AB18" s="18" t="n">
        <v>0</v>
      </c>
      <c r="AC18" s="16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-3</v>
      </c>
      <c r="AK18" s="17" t="n">
        <v>0</v>
      </c>
      <c r="AL18" s="17" t="n">
        <v>0</v>
      </c>
      <c r="AM18" s="18" t="n">
        <v>0</v>
      </c>
      <c r="AN18" s="16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153</v>
      </c>
      <c r="AV18" s="17" t="n">
        <v>0</v>
      </c>
      <c r="AW18" s="17" t="n">
        <v>0</v>
      </c>
      <c r="AX18" s="18" t="n">
        <v>0</v>
      </c>
      <c r="AY18" s="16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8" t="n">
        <v>0</v>
      </c>
      <c r="BJ18" s="16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153</v>
      </c>
      <c r="BR18" s="17" t="n">
        <v>0</v>
      </c>
      <c r="BS18" s="17" t="n">
        <v>0</v>
      </c>
      <c r="BT18" s="18" t="n">
        <v>0</v>
      </c>
      <c r="BU18" s="17" t="inlineStr">
        <is>
          <t>Unclassified</t>
        </is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0</v>
      </c>
      <c r="J19" s="17" t="n">
        <v>180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</v>
      </c>
      <c r="R19" s="16" t="n">
        <v>1.8</v>
      </c>
      <c r="S19" s="17" t="n">
        <v>0</v>
      </c>
      <c r="T19" s="17" t="n">
        <v>0</v>
      </c>
      <c r="U19" s="17" t="n">
        <v>1.8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8" t="n">
        <v>0</v>
      </c>
      <c r="AC19" s="16" t="n">
        <v>-1.8</v>
      </c>
      <c r="AD19" s="17" t="n">
        <v>0</v>
      </c>
      <c r="AE19" s="17" t="n">
        <v>0</v>
      </c>
      <c r="AF19" s="17" t="n">
        <v>-1.8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8" t="n">
        <v>0</v>
      </c>
      <c r="AN19" s="16" t="n">
        <v>56</v>
      </c>
      <c r="AO19" s="17" t="n">
        <v>0</v>
      </c>
      <c r="AP19" s="17" t="n">
        <v>0</v>
      </c>
      <c r="AQ19" s="17" t="n">
        <v>56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8" t="n">
        <v>0</v>
      </c>
      <c r="AY19" s="16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8" t="n">
        <v>0</v>
      </c>
      <c r="BJ19" s="16" t="n">
        <v>56</v>
      </c>
      <c r="BK19" s="17" t="n">
        <v>0</v>
      </c>
      <c r="BL19" s="17" t="n">
        <v>0</v>
      </c>
      <c r="BM19" s="17" t="n">
        <v>56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8" t="n">
        <v>0</v>
      </c>
      <c r="BU19" s="17" t="inlineStr">
        <is>
          <t>Unclassified</t>
        </is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1.8</v>
      </c>
      <c r="O20" s="17" t="n">
        <v>0</v>
      </c>
      <c r="P20" s="17" t="n">
        <v>0</v>
      </c>
      <c r="Q20" s="18" t="n">
        <v>0</v>
      </c>
      <c r="R20" s="16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2</v>
      </c>
      <c r="Z20" s="17" t="n">
        <v>0</v>
      </c>
      <c r="AA20" s="17" t="n">
        <v>0</v>
      </c>
      <c r="AB20" s="18" t="n">
        <v>0</v>
      </c>
      <c r="AC20" s="16" t="n">
        <v>0</v>
      </c>
      <c r="AD20" s="17" t="n">
        <v>2</v>
      </c>
      <c r="AE20" s="17" t="n">
        <v>2</v>
      </c>
      <c r="AF20" s="17" t="n">
        <v>2</v>
      </c>
      <c r="AG20" s="17" t="n">
        <v>2</v>
      </c>
      <c r="AH20" s="17" t="n">
        <v>2</v>
      </c>
      <c r="AI20" s="17" t="n">
        <v>2</v>
      </c>
      <c r="AJ20" s="17" t="n">
        <v>0</v>
      </c>
      <c r="AK20" s="17" t="n">
        <v>2</v>
      </c>
      <c r="AL20" s="17" t="n">
        <v>2</v>
      </c>
      <c r="AM20" s="18" t="n">
        <v>2</v>
      </c>
      <c r="AN20" s="16" t="n">
        <v>2312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2312</v>
      </c>
      <c r="AV20" s="17" t="n">
        <v>0</v>
      </c>
      <c r="AW20" s="17" t="n">
        <v>0</v>
      </c>
      <c r="AX20" s="18" t="n">
        <v>0</v>
      </c>
      <c r="AY20" s="16" t="n">
        <v>2290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2290</v>
      </c>
      <c r="BG20" s="17" t="n">
        <v>0</v>
      </c>
      <c r="BH20" s="17" t="n">
        <v>0</v>
      </c>
      <c r="BI20" s="18" t="n">
        <v>0</v>
      </c>
      <c r="BJ20" s="16" t="n">
        <v>22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22</v>
      </c>
      <c r="BR20" s="17" t="n">
        <v>0</v>
      </c>
      <c r="BS20" s="17" t="n">
        <v>0</v>
      </c>
      <c r="BT20" s="18" t="n">
        <v>0</v>
      </c>
      <c r="BU20" s="17" t="inlineStr">
        <is>
          <t>Branded Drug</t>
        </is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0</v>
      </c>
      <c r="J21" s="17" t="n">
        <v>90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8" t="n">
        <v>0</v>
      </c>
      <c r="R21" s="16" t="n">
        <v>0.18</v>
      </c>
      <c r="S21" s="17" t="n">
        <v>0</v>
      </c>
      <c r="T21" s="17" t="n">
        <v>0</v>
      </c>
      <c r="U21" s="17" t="n">
        <v>0.18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8" t="n">
        <v>0</v>
      </c>
      <c r="AC21" s="16" t="n">
        <v>-0.18</v>
      </c>
      <c r="AD21" s="17" t="n">
        <v>0</v>
      </c>
      <c r="AE21" s="17" t="n">
        <v>0</v>
      </c>
      <c r="AF21" s="17" t="n">
        <v>-0.18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8" t="n">
        <v>0</v>
      </c>
      <c r="AN21" s="16" t="n">
        <v>5</v>
      </c>
      <c r="AO21" s="17" t="n">
        <v>0</v>
      </c>
      <c r="AP21" s="17" t="n">
        <v>0</v>
      </c>
      <c r="AQ21" s="17" t="n">
        <v>3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8" t="n">
        <v>0</v>
      </c>
      <c r="AY21" s="16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8" t="n">
        <v>0</v>
      </c>
      <c r="BJ21" s="16" t="n">
        <v>5</v>
      </c>
      <c r="BK21" s="17" t="n">
        <v>0</v>
      </c>
      <c r="BL21" s="17" t="n">
        <v>0</v>
      </c>
      <c r="BM21" s="17" t="n">
        <v>3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8" t="n">
        <v>0</v>
      </c>
      <c r="BU21" s="17" t="inlineStr">
        <is>
          <t>Unclassified</t>
        </is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0</v>
      </c>
      <c r="J22" s="17" t="n">
        <v>30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8" t="n">
        <v>0</v>
      </c>
      <c r="R22" s="16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</v>
      </c>
      <c r="AC22" s="16" t="n">
        <v>-1</v>
      </c>
      <c r="AD22" s="17" t="n">
        <v>0</v>
      </c>
      <c r="AE22" s="17" t="n">
        <v>0</v>
      </c>
      <c r="AF22" s="17" t="n">
        <v>-1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8" t="n">
        <v>0</v>
      </c>
      <c r="AN22" s="16" t="n">
        <v>6</v>
      </c>
      <c r="AO22" s="17" t="n">
        <v>0</v>
      </c>
      <c r="AP22" s="17" t="n">
        <v>0</v>
      </c>
      <c r="AQ22" s="17" t="n">
        <v>6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8" t="n">
        <v>0</v>
      </c>
      <c r="AY22" s="16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8" t="n">
        <v>0</v>
      </c>
      <c r="BJ22" s="16" t="n">
        <v>6</v>
      </c>
      <c r="BK22" s="17" t="n">
        <v>0</v>
      </c>
      <c r="BL22" s="17" t="n">
        <v>0</v>
      </c>
      <c r="BM22" s="17" t="n">
        <v>6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8" t="n">
        <v>0</v>
      </c>
      <c r="BU22" s="17" t="inlineStr">
        <is>
          <t>Unclassified</t>
        </is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20</v>
      </c>
      <c r="O23" s="17" t="n">
        <v>0</v>
      </c>
      <c r="P23" s="17" t="n">
        <v>0</v>
      </c>
      <c r="Q23" s="18" t="n">
        <v>0</v>
      </c>
      <c r="R23" s="16" t="n">
        <v>0.2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0.2</v>
      </c>
      <c r="Z23" s="17" t="n">
        <v>0</v>
      </c>
      <c r="AA23" s="17" t="n">
        <v>0</v>
      </c>
      <c r="AB23" s="18" t="n">
        <v>0</v>
      </c>
      <c r="AC23" s="16" t="n">
        <v>-0.2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-0.2</v>
      </c>
      <c r="AK23" s="17" t="n">
        <v>0</v>
      </c>
      <c r="AL23" s="17" t="n">
        <v>0</v>
      </c>
      <c r="AM23" s="18" t="n">
        <v>0</v>
      </c>
      <c r="AN23" s="16" t="n">
        <v>13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12</v>
      </c>
      <c r="AV23" s="17" t="n">
        <v>0</v>
      </c>
      <c r="AW23" s="17" t="n">
        <v>0</v>
      </c>
      <c r="AX23" s="18" t="n">
        <v>0</v>
      </c>
      <c r="AY23" s="16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8" t="n">
        <v>0</v>
      </c>
      <c r="BJ23" s="16" t="n">
        <v>13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12</v>
      </c>
      <c r="BR23" s="17" t="n">
        <v>0</v>
      </c>
      <c r="BS23" s="17" t="n">
        <v>0</v>
      </c>
      <c r="BT23" s="18" t="n">
        <v>0</v>
      </c>
      <c r="BU23" s="17" t="inlineStr">
        <is>
          <t>Unclassified</t>
        </is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0</v>
      </c>
      <c r="J24" s="17" t="n">
        <v>180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8" t="n">
        <v>0</v>
      </c>
      <c r="R24" s="16" t="n">
        <v>3</v>
      </c>
      <c r="S24" s="17" t="n">
        <v>0</v>
      </c>
      <c r="T24" s="17" t="n">
        <v>0</v>
      </c>
      <c r="U24" s="17" t="n">
        <v>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8" t="n">
        <v>0</v>
      </c>
      <c r="AC24" s="16" t="n">
        <v>0</v>
      </c>
      <c r="AD24" s="17" t="n">
        <v>3</v>
      </c>
      <c r="AE24" s="17" t="n">
        <v>3</v>
      </c>
      <c r="AF24" s="17" t="n">
        <v>0</v>
      </c>
      <c r="AG24" s="17" t="n">
        <v>3</v>
      </c>
      <c r="AH24" s="17" t="n">
        <v>3</v>
      </c>
      <c r="AI24" s="17" t="n">
        <v>3</v>
      </c>
      <c r="AJ24" s="17" t="n">
        <v>3</v>
      </c>
      <c r="AK24" s="17" t="n">
        <v>3</v>
      </c>
      <c r="AL24" s="17" t="n">
        <v>3</v>
      </c>
      <c r="AM24" s="18" t="n">
        <v>3</v>
      </c>
      <c r="AN24" s="16" t="n">
        <v>535</v>
      </c>
      <c r="AO24" s="17" t="n">
        <v>0</v>
      </c>
      <c r="AP24" s="17" t="n">
        <v>0</v>
      </c>
      <c r="AQ24" s="17" t="n">
        <v>535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8" t="n">
        <v>0</v>
      </c>
      <c r="AY24" s="16" t="n">
        <v>570</v>
      </c>
      <c r="AZ24" s="17" t="n">
        <v>0</v>
      </c>
      <c r="BA24" s="17" t="n">
        <v>0</v>
      </c>
      <c r="BB24" s="17" t="n">
        <v>570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8" t="n">
        <v>0</v>
      </c>
      <c r="BJ24" s="16" t="n">
        <v>-35</v>
      </c>
      <c r="BK24" s="17" t="n">
        <v>0</v>
      </c>
      <c r="BL24" s="17" t="n">
        <v>0</v>
      </c>
      <c r="BM24" s="17" t="n">
        <v>-35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8" t="n">
        <v>0</v>
      </c>
      <c r="BU24" s="17" t="inlineStr">
        <is>
          <t>Branded Drug</t>
        </is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12</v>
      </c>
      <c r="O25" s="17" t="n">
        <v>0</v>
      </c>
      <c r="P25" s="17" t="n">
        <v>0</v>
      </c>
      <c r="Q25" s="18" t="n">
        <v>0</v>
      </c>
      <c r="R25" s="16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1</v>
      </c>
      <c r="Z25" s="17" t="n">
        <v>0</v>
      </c>
      <c r="AA25" s="17" t="n">
        <v>0</v>
      </c>
      <c r="AB25" s="18" t="n">
        <v>0</v>
      </c>
      <c r="AC25" s="16" t="n">
        <v>1</v>
      </c>
      <c r="AD25" s="17" t="n">
        <v>2</v>
      </c>
      <c r="AE25" s="17" t="n">
        <v>2</v>
      </c>
      <c r="AF25" s="17" t="n">
        <v>2</v>
      </c>
      <c r="AG25" s="17" t="n">
        <v>2</v>
      </c>
      <c r="AH25" s="17" t="n">
        <v>2</v>
      </c>
      <c r="AI25" s="17" t="n">
        <v>2</v>
      </c>
      <c r="AJ25" s="17" t="n">
        <v>1</v>
      </c>
      <c r="AK25" s="17" t="n">
        <v>2</v>
      </c>
      <c r="AL25" s="17" t="n">
        <v>2</v>
      </c>
      <c r="AM25" s="18" t="n">
        <v>2</v>
      </c>
      <c r="AN25" s="16" t="n">
        <v>431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431</v>
      </c>
      <c r="AV25" s="17" t="n">
        <v>0</v>
      </c>
      <c r="AW25" s="17" t="n">
        <v>0</v>
      </c>
      <c r="AX25" s="18" t="n">
        <v>0</v>
      </c>
      <c r="AY25" s="16" t="n">
        <v>428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428</v>
      </c>
      <c r="BG25" s="17" t="n">
        <v>0</v>
      </c>
      <c r="BH25" s="17" t="n">
        <v>0</v>
      </c>
      <c r="BI25" s="18" t="n">
        <v>0</v>
      </c>
      <c r="BJ25" s="16" t="n">
        <v>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3</v>
      </c>
      <c r="BR25" s="17" t="n">
        <v>0</v>
      </c>
      <c r="BS25" s="17" t="n">
        <v>0</v>
      </c>
      <c r="BT25" s="18" t="n">
        <v>0</v>
      </c>
      <c r="BU25" s="17" t="inlineStr">
        <is>
          <t>Branded Drug</t>
        </is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0</v>
      </c>
      <c r="J26" s="17" t="n">
        <v>10.7</v>
      </c>
      <c r="K26" s="17" t="n">
        <v>10.7</v>
      </c>
      <c r="L26" s="17" t="n">
        <v>0</v>
      </c>
      <c r="M26" s="17" t="n">
        <v>0</v>
      </c>
      <c r="N26" s="17" t="n">
        <v>10.7</v>
      </c>
      <c r="O26" s="17" t="n">
        <v>0</v>
      </c>
      <c r="P26" s="17" t="n">
        <v>0</v>
      </c>
      <c r="Q26" s="18" t="n">
        <v>0</v>
      </c>
      <c r="R26" s="16" t="n">
        <v>3</v>
      </c>
      <c r="S26" s="17" t="n">
        <v>0</v>
      </c>
      <c r="T26" s="17" t="n">
        <v>0</v>
      </c>
      <c r="U26" s="17" t="n">
        <v>1</v>
      </c>
      <c r="V26" s="17" t="n">
        <v>1</v>
      </c>
      <c r="W26" s="17" t="n">
        <v>0</v>
      </c>
      <c r="X26" s="17" t="n">
        <v>0</v>
      </c>
      <c r="Y26" s="17" t="n">
        <v>1</v>
      </c>
      <c r="Z26" s="17" t="n">
        <v>0</v>
      </c>
      <c r="AA26" s="17" t="n">
        <v>0</v>
      </c>
      <c r="AB26" s="18" t="n">
        <v>0</v>
      </c>
      <c r="AC26" s="16" t="n">
        <v>0</v>
      </c>
      <c r="AD26" s="17" t="n">
        <v>3</v>
      </c>
      <c r="AE26" s="17" t="n">
        <v>3</v>
      </c>
      <c r="AF26" s="17" t="n">
        <v>2</v>
      </c>
      <c r="AG26" s="17" t="n">
        <v>2</v>
      </c>
      <c r="AH26" s="17" t="n">
        <v>3</v>
      </c>
      <c r="AI26" s="17" t="n">
        <v>3</v>
      </c>
      <c r="AJ26" s="17" t="n">
        <v>2</v>
      </c>
      <c r="AK26" s="17" t="n">
        <v>3</v>
      </c>
      <c r="AL26" s="17" t="n">
        <v>3</v>
      </c>
      <c r="AM26" s="18" t="n">
        <v>3</v>
      </c>
      <c r="AN26" s="16" t="n">
        <v>1439</v>
      </c>
      <c r="AO26" s="17" t="n">
        <v>0</v>
      </c>
      <c r="AP26" s="17" t="n">
        <v>0</v>
      </c>
      <c r="AQ26" s="17" t="n">
        <v>474</v>
      </c>
      <c r="AR26" s="17" t="n">
        <v>437</v>
      </c>
      <c r="AS26" s="17" t="n">
        <v>0</v>
      </c>
      <c r="AT26" s="17" t="n">
        <v>0</v>
      </c>
      <c r="AU26" s="17" t="n">
        <v>494</v>
      </c>
      <c r="AV26" s="17" t="n">
        <v>0</v>
      </c>
      <c r="AW26" s="17" t="n">
        <v>0</v>
      </c>
      <c r="AX26" s="18" t="n">
        <v>0</v>
      </c>
      <c r="AY26" s="16" t="n">
        <v>1470</v>
      </c>
      <c r="AZ26" s="17" t="n">
        <v>0</v>
      </c>
      <c r="BA26" s="17" t="n">
        <v>0</v>
      </c>
      <c r="BB26" s="17" t="n">
        <v>490</v>
      </c>
      <c r="BC26" s="17" t="n">
        <v>490</v>
      </c>
      <c r="BD26" s="17" t="n">
        <v>0</v>
      </c>
      <c r="BE26" s="17" t="n">
        <v>0</v>
      </c>
      <c r="BF26" s="17" t="n">
        <v>490</v>
      </c>
      <c r="BG26" s="17" t="n">
        <v>0</v>
      </c>
      <c r="BH26" s="17" t="n">
        <v>0</v>
      </c>
      <c r="BI26" s="18" t="n">
        <v>0</v>
      </c>
      <c r="BJ26" s="16" t="n">
        <v>-31</v>
      </c>
      <c r="BK26" s="17" t="n">
        <v>0</v>
      </c>
      <c r="BL26" s="17" t="n">
        <v>0</v>
      </c>
      <c r="BM26" s="17" t="n">
        <v>-16</v>
      </c>
      <c r="BN26" s="17" t="n">
        <v>-53</v>
      </c>
      <c r="BO26" s="17" t="n">
        <v>0</v>
      </c>
      <c r="BP26" s="17" t="n">
        <v>0</v>
      </c>
      <c r="BQ26" s="17" t="n">
        <v>4</v>
      </c>
      <c r="BR26" s="17" t="n">
        <v>0</v>
      </c>
      <c r="BS26" s="17" t="n">
        <v>0</v>
      </c>
      <c r="BT26" s="18" t="n">
        <v>0</v>
      </c>
      <c r="BU26" s="17" t="inlineStr">
        <is>
          <t>Branded Drug</t>
        </is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0</v>
      </c>
      <c r="J27" s="17" t="n">
        <v>414</v>
      </c>
      <c r="K27" s="17" t="n">
        <v>0</v>
      </c>
      <c r="L27" s="17" t="n">
        <v>0</v>
      </c>
      <c r="M27" s="17" t="n">
        <v>72</v>
      </c>
      <c r="N27" s="17" t="n">
        <v>0</v>
      </c>
      <c r="O27" s="17" t="n">
        <v>0</v>
      </c>
      <c r="P27" s="17" t="n">
        <v>0</v>
      </c>
      <c r="Q27" s="18" t="n">
        <v>0</v>
      </c>
      <c r="R27" s="16" t="n">
        <v>27</v>
      </c>
      <c r="S27" s="17" t="n">
        <v>0</v>
      </c>
      <c r="T27" s="17" t="n">
        <v>0</v>
      </c>
      <c r="U27" s="17" t="n">
        <v>23</v>
      </c>
      <c r="V27" s="17" t="n">
        <v>0</v>
      </c>
      <c r="W27" s="17" t="n">
        <v>0</v>
      </c>
      <c r="X27" s="17" t="n">
        <v>4</v>
      </c>
      <c r="Y27" s="17" t="n">
        <v>0</v>
      </c>
      <c r="Z27" s="17" t="n">
        <v>0</v>
      </c>
      <c r="AA27" s="17" t="n">
        <v>0</v>
      </c>
      <c r="AB27" s="18" t="n">
        <v>0</v>
      </c>
      <c r="AC27" s="16" t="n">
        <v>-3</v>
      </c>
      <c r="AD27" s="17" t="n">
        <v>24</v>
      </c>
      <c r="AE27" s="17" t="n">
        <v>24</v>
      </c>
      <c r="AF27" s="17" t="n">
        <v>1</v>
      </c>
      <c r="AG27" s="17" t="n">
        <v>24</v>
      </c>
      <c r="AH27" s="17" t="n">
        <v>24</v>
      </c>
      <c r="AI27" s="17" t="n">
        <v>20</v>
      </c>
      <c r="AJ27" s="17" t="n">
        <v>24</v>
      </c>
      <c r="AK27" s="17" t="n">
        <v>24</v>
      </c>
      <c r="AL27" s="17" t="n">
        <v>24</v>
      </c>
      <c r="AM27" s="18" t="n">
        <v>24</v>
      </c>
      <c r="AN27" s="16" t="n">
        <v>827</v>
      </c>
      <c r="AO27" s="17" t="n">
        <v>0</v>
      </c>
      <c r="AP27" s="17" t="n">
        <v>0</v>
      </c>
      <c r="AQ27" s="17" t="n">
        <v>632</v>
      </c>
      <c r="AR27" s="17" t="n">
        <v>0</v>
      </c>
      <c r="AS27" s="17" t="n">
        <v>0</v>
      </c>
      <c r="AT27" s="17" t="n">
        <v>179</v>
      </c>
      <c r="AU27" s="17" t="n">
        <v>0</v>
      </c>
      <c r="AV27" s="17" t="n">
        <v>0</v>
      </c>
      <c r="AW27" s="17" t="n">
        <v>0</v>
      </c>
      <c r="AX27" s="18" t="n">
        <v>0</v>
      </c>
      <c r="AY27" s="16" t="n">
        <v>1107</v>
      </c>
      <c r="AZ27" s="17" t="n">
        <v>0</v>
      </c>
      <c r="BA27" s="17" t="n">
        <v>0</v>
      </c>
      <c r="BB27" s="17" t="n">
        <v>943</v>
      </c>
      <c r="BC27" s="17" t="n">
        <v>0</v>
      </c>
      <c r="BD27" s="17" t="n">
        <v>0</v>
      </c>
      <c r="BE27" s="17" t="n">
        <v>164</v>
      </c>
      <c r="BF27" s="17" t="n">
        <v>0</v>
      </c>
      <c r="BG27" s="17" t="n">
        <v>0</v>
      </c>
      <c r="BH27" s="17" t="n">
        <v>0</v>
      </c>
      <c r="BI27" s="18" t="n">
        <v>0</v>
      </c>
      <c r="BJ27" s="16" t="n">
        <v>-280</v>
      </c>
      <c r="BK27" s="17" t="n">
        <v>0</v>
      </c>
      <c r="BL27" s="17" t="n">
        <v>0</v>
      </c>
      <c r="BM27" s="17" t="n">
        <v>-311</v>
      </c>
      <c r="BN27" s="17" t="n">
        <v>0</v>
      </c>
      <c r="BO27" s="17" t="n">
        <v>0</v>
      </c>
      <c r="BP27" s="17" t="n">
        <v>15</v>
      </c>
      <c r="BQ27" s="17" t="n">
        <v>0</v>
      </c>
      <c r="BR27" s="17" t="n">
        <v>0</v>
      </c>
      <c r="BS27" s="17" t="n">
        <v>0</v>
      </c>
      <c r="BT27" s="18" t="n">
        <v>0</v>
      </c>
      <c r="BU27" s="17" t="inlineStr">
        <is>
          <t>Generic Drug</t>
        </is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0</v>
      </c>
      <c r="J28" s="17" t="n">
        <v>90</v>
      </c>
      <c r="K28" s="17" t="n">
        <v>0</v>
      </c>
      <c r="L28" s="17" t="n">
        <v>0</v>
      </c>
      <c r="M28" s="17" t="n">
        <v>0</v>
      </c>
      <c r="N28" s="17" t="n">
        <v>90</v>
      </c>
      <c r="O28" s="17" t="n">
        <v>0</v>
      </c>
      <c r="P28" s="17" t="n">
        <v>0</v>
      </c>
      <c r="Q28" s="18" t="n">
        <v>0</v>
      </c>
      <c r="R28" s="16" t="n">
        <v>2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7" t="n">
        <v>0</v>
      </c>
      <c r="Y28" s="17" t="n">
        <v>1</v>
      </c>
      <c r="Z28" s="17" t="n">
        <v>0</v>
      </c>
      <c r="AA28" s="17" t="n">
        <v>0</v>
      </c>
      <c r="AB28" s="18" t="n">
        <v>0</v>
      </c>
      <c r="AC28" s="16" t="n">
        <v>-2</v>
      </c>
      <c r="AD28" s="17" t="n">
        <v>0</v>
      </c>
      <c r="AE28" s="17" t="n">
        <v>0</v>
      </c>
      <c r="AF28" s="17" t="n">
        <v>-1</v>
      </c>
      <c r="AG28" s="17" t="n">
        <v>0</v>
      </c>
      <c r="AH28" s="17" t="n">
        <v>0</v>
      </c>
      <c r="AI28" s="17" t="n">
        <v>0</v>
      </c>
      <c r="AJ28" s="17" t="n">
        <v>-1</v>
      </c>
      <c r="AK28" s="17" t="n">
        <v>0</v>
      </c>
      <c r="AL28" s="17" t="n">
        <v>0</v>
      </c>
      <c r="AM28" s="18" t="n">
        <v>0</v>
      </c>
      <c r="AN28" s="16" t="n">
        <v>18</v>
      </c>
      <c r="AO28" s="17" t="n">
        <v>0</v>
      </c>
      <c r="AP28" s="17" t="n">
        <v>0</v>
      </c>
      <c r="AQ28" s="17" t="n">
        <v>2</v>
      </c>
      <c r="AR28" s="17" t="n">
        <v>0</v>
      </c>
      <c r="AS28" s="17" t="n">
        <v>0</v>
      </c>
      <c r="AT28" s="17" t="n">
        <v>0</v>
      </c>
      <c r="AU28" s="17" t="n">
        <v>15</v>
      </c>
      <c r="AV28" s="17" t="n">
        <v>0</v>
      </c>
      <c r="AW28" s="17" t="n">
        <v>0</v>
      </c>
      <c r="AX28" s="18" t="n">
        <v>0</v>
      </c>
      <c r="AY28" s="16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8" t="n">
        <v>0</v>
      </c>
      <c r="BJ28" s="16" t="n">
        <v>18</v>
      </c>
      <c r="BK28" s="17" t="n">
        <v>0</v>
      </c>
      <c r="BL28" s="17" t="n">
        <v>0</v>
      </c>
      <c r="BM28" s="17" t="n">
        <v>2</v>
      </c>
      <c r="BN28" s="17" t="n">
        <v>0</v>
      </c>
      <c r="BO28" s="17" t="n">
        <v>0</v>
      </c>
      <c r="BP28" s="17" t="n">
        <v>0</v>
      </c>
      <c r="BQ28" s="17" t="n">
        <v>15</v>
      </c>
      <c r="BR28" s="17" t="n">
        <v>0</v>
      </c>
      <c r="BS28" s="17" t="n">
        <v>0</v>
      </c>
      <c r="BT28" s="18" t="n">
        <v>0</v>
      </c>
      <c r="BU28" s="17" t="inlineStr">
        <is>
          <t>Unclassified</t>
        </is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0</v>
      </c>
      <c r="J29" s="17" t="n">
        <v>270</v>
      </c>
      <c r="K29" s="17" t="n">
        <v>180</v>
      </c>
      <c r="L29" s="17" t="n">
        <v>0</v>
      </c>
      <c r="M29" s="17" t="n">
        <v>0</v>
      </c>
      <c r="N29" s="17" t="n">
        <v>270</v>
      </c>
      <c r="O29" s="17" t="n">
        <v>0</v>
      </c>
      <c r="P29" s="17" t="n">
        <v>0</v>
      </c>
      <c r="Q29" s="18" t="n">
        <v>0</v>
      </c>
      <c r="R29" s="16" t="n">
        <v>8</v>
      </c>
      <c r="S29" s="17" t="n">
        <v>0</v>
      </c>
      <c r="T29" s="17" t="n">
        <v>0</v>
      </c>
      <c r="U29" s="17" t="n">
        <v>3</v>
      </c>
      <c r="V29" s="17" t="n">
        <v>2</v>
      </c>
      <c r="W29" s="17" t="n">
        <v>0</v>
      </c>
      <c r="X29" s="17" t="n">
        <v>0</v>
      </c>
      <c r="Y29" s="17" t="n">
        <v>3</v>
      </c>
      <c r="Z29" s="17" t="n">
        <v>0</v>
      </c>
      <c r="AA29" s="17" t="n">
        <v>0</v>
      </c>
      <c r="AB29" s="18" t="n">
        <v>0</v>
      </c>
      <c r="AC29" s="16" t="n">
        <v>-8</v>
      </c>
      <c r="AD29" s="17" t="n">
        <v>0</v>
      </c>
      <c r="AE29" s="17" t="n">
        <v>0</v>
      </c>
      <c r="AF29" s="17" t="n">
        <v>-3</v>
      </c>
      <c r="AG29" s="17" t="n">
        <v>-2</v>
      </c>
      <c r="AH29" s="17" t="n">
        <v>0</v>
      </c>
      <c r="AI29" s="17" t="n">
        <v>0</v>
      </c>
      <c r="AJ29" s="17" t="n">
        <v>-3</v>
      </c>
      <c r="AK29" s="17" t="n">
        <v>0</v>
      </c>
      <c r="AL29" s="17" t="n">
        <v>0</v>
      </c>
      <c r="AM29" s="18" t="n">
        <v>0</v>
      </c>
      <c r="AN29" s="16" t="n">
        <v>63</v>
      </c>
      <c r="AO29" s="17" t="n">
        <v>0</v>
      </c>
      <c r="AP29" s="17" t="n">
        <v>0</v>
      </c>
      <c r="AQ29" s="17" t="n">
        <v>6</v>
      </c>
      <c r="AR29" s="17" t="n">
        <v>0</v>
      </c>
      <c r="AS29" s="17" t="n">
        <v>0</v>
      </c>
      <c r="AT29" s="17" t="n">
        <v>0</v>
      </c>
      <c r="AU29" s="17" t="n">
        <v>36</v>
      </c>
      <c r="AV29" s="17" t="n">
        <v>0</v>
      </c>
      <c r="AW29" s="17" t="n">
        <v>0</v>
      </c>
      <c r="AX29" s="18" t="n">
        <v>0</v>
      </c>
      <c r="AY29" s="16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8" t="n">
        <v>0</v>
      </c>
      <c r="BJ29" s="16" t="n">
        <v>63</v>
      </c>
      <c r="BK29" s="17" t="n">
        <v>0</v>
      </c>
      <c r="BL29" s="17" t="n">
        <v>0</v>
      </c>
      <c r="BM29" s="17" t="n">
        <v>6</v>
      </c>
      <c r="BN29" s="17" t="n">
        <v>0</v>
      </c>
      <c r="BO29" s="17" t="n">
        <v>0</v>
      </c>
      <c r="BP29" s="17" t="n">
        <v>0</v>
      </c>
      <c r="BQ29" s="17" t="n">
        <v>36</v>
      </c>
      <c r="BR29" s="17" t="n">
        <v>0</v>
      </c>
      <c r="BS29" s="17" t="n">
        <v>0</v>
      </c>
      <c r="BT29" s="18" t="n">
        <v>0</v>
      </c>
      <c r="BU29" s="17" t="inlineStr">
        <is>
          <t>Unclassified</t>
        </is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0</v>
      </c>
      <c r="J30" s="17" t="n">
        <v>150</v>
      </c>
      <c r="K30" s="17" t="n">
        <v>0</v>
      </c>
      <c r="L30" s="17" t="n">
        <v>0</v>
      </c>
      <c r="M30" s="17" t="n">
        <v>0</v>
      </c>
      <c r="N30" s="17" t="n">
        <v>75</v>
      </c>
      <c r="O30" s="17" t="n">
        <v>0</v>
      </c>
      <c r="P30" s="17" t="n">
        <v>0</v>
      </c>
      <c r="Q30" s="18" t="n">
        <v>0</v>
      </c>
      <c r="R30" s="16" t="n">
        <v>3</v>
      </c>
      <c r="S30" s="17" t="n">
        <v>0</v>
      </c>
      <c r="T30" s="17" t="n">
        <v>0</v>
      </c>
      <c r="U30" s="17" t="n">
        <v>2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8" t="n">
        <v>0</v>
      </c>
      <c r="AC30" s="16" t="n">
        <v>-3</v>
      </c>
      <c r="AD30" s="17" t="n">
        <v>0</v>
      </c>
      <c r="AE30" s="17" t="n">
        <v>0</v>
      </c>
      <c r="AF30" s="17" t="n">
        <v>-2</v>
      </c>
      <c r="AG30" s="17" t="n">
        <v>0</v>
      </c>
      <c r="AH30" s="17" t="n">
        <v>0</v>
      </c>
      <c r="AI30" s="17" t="n">
        <v>0</v>
      </c>
      <c r="AJ30" s="17" t="n">
        <v>-1</v>
      </c>
      <c r="AK30" s="17" t="n">
        <v>0</v>
      </c>
      <c r="AL30" s="17" t="n">
        <v>0</v>
      </c>
      <c r="AM30" s="18" t="n">
        <v>0</v>
      </c>
      <c r="AN30" s="16" t="n">
        <v>41</v>
      </c>
      <c r="AO30" s="17" t="n">
        <v>0</v>
      </c>
      <c r="AP30" s="17" t="n">
        <v>0</v>
      </c>
      <c r="AQ30" s="17" t="n">
        <v>13</v>
      </c>
      <c r="AR30" s="17" t="n">
        <v>0</v>
      </c>
      <c r="AS30" s="17" t="n">
        <v>0</v>
      </c>
      <c r="AT30" s="17" t="n">
        <v>0</v>
      </c>
      <c r="AU30" s="17" t="n">
        <v>25</v>
      </c>
      <c r="AV30" s="17" t="n">
        <v>0</v>
      </c>
      <c r="AW30" s="17" t="n">
        <v>0</v>
      </c>
      <c r="AX30" s="18" t="n">
        <v>0</v>
      </c>
      <c r="AY30" s="16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8" t="n">
        <v>0</v>
      </c>
      <c r="BJ30" s="16" t="n">
        <v>41</v>
      </c>
      <c r="BK30" s="17" t="n">
        <v>0</v>
      </c>
      <c r="BL30" s="17" t="n">
        <v>0</v>
      </c>
      <c r="BM30" s="17" t="n">
        <v>13</v>
      </c>
      <c r="BN30" s="17" t="n">
        <v>0</v>
      </c>
      <c r="BO30" s="17" t="n">
        <v>0</v>
      </c>
      <c r="BP30" s="17" t="n">
        <v>0</v>
      </c>
      <c r="BQ30" s="17" t="n">
        <v>25</v>
      </c>
      <c r="BR30" s="17" t="n">
        <v>0</v>
      </c>
      <c r="BS30" s="17" t="n">
        <v>0</v>
      </c>
      <c r="BT30" s="18" t="n">
        <v>0</v>
      </c>
      <c r="BU30" s="17" t="inlineStr">
        <is>
          <t>Unclassified</t>
        </is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8.5</v>
      </c>
      <c r="J31" s="17" t="n">
        <v>289</v>
      </c>
      <c r="K31" s="17" t="n">
        <v>85</v>
      </c>
      <c r="L31" s="17" t="n">
        <v>0</v>
      </c>
      <c r="M31" s="17" t="n">
        <v>34</v>
      </c>
      <c r="N31" s="17" t="n">
        <v>340</v>
      </c>
      <c r="O31" s="17" t="n">
        <v>51</v>
      </c>
      <c r="P31" s="17" t="n">
        <v>0</v>
      </c>
      <c r="Q31" s="18" t="n">
        <v>0</v>
      </c>
      <c r="R31" s="16" t="n">
        <v>95</v>
      </c>
      <c r="S31" s="17" t="n">
        <v>0</v>
      </c>
      <c r="T31" s="17" t="n">
        <v>1</v>
      </c>
      <c r="U31" s="17" t="n">
        <v>34</v>
      </c>
      <c r="V31" s="17" t="n">
        <v>10</v>
      </c>
      <c r="W31" s="17" t="n">
        <v>0</v>
      </c>
      <c r="X31" s="17" t="n">
        <v>4</v>
      </c>
      <c r="Y31" s="17" t="n">
        <v>40</v>
      </c>
      <c r="Z31" s="17" t="n">
        <v>6</v>
      </c>
      <c r="AA31" s="17" t="n">
        <v>0</v>
      </c>
      <c r="AB31" s="18" t="n">
        <v>0</v>
      </c>
      <c r="AC31" s="16" t="n">
        <v>-47</v>
      </c>
      <c r="AD31" s="17" t="n">
        <v>48</v>
      </c>
      <c r="AE31" s="17" t="n">
        <v>47</v>
      </c>
      <c r="AF31" s="17" t="n">
        <v>14</v>
      </c>
      <c r="AG31" s="17" t="n">
        <v>38</v>
      </c>
      <c r="AH31" s="17" t="n">
        <v>48</v>
      </c>
      <c r="AI31" s="17" t="n">
        <v>44</v>
      </c>
      <c r="AJ31" s="17" t="n">
        <v>8</v>
      </c>
      <c r="AK31" s="17" t="n">
        <v>42</v>
      </c>
      <c r="AL31" s="17" t="n">
        <v>48</v>
      </c>
      <c r="AM31" s="18" t="n">
        <v>48</v>
      </c>
      <c r="AN31" s="16" t="n">
        <v>1941</v>
      </c>
      <c r="AO31" s="17" t="n">
        <v>0</v>
      </c>
      <c r="AP31" s="17" t="n">
        <v>21</v>
      </c>
      <c r="AQ31" s="17" t="n">
        <v>539</v>
      </c>
      <c r="AR31" s="17" t="n">
        <v>131</v>
      </c>
      <c r="AS31" s="17" t="n">
        <v>0</v>
      </c>
      <c r="AT31" s="17" t="n">
        <v>72</v>
      </c>
      <c r="AU31" s="17" t="n">
        <v>885</v>
      </c>
      <c r="AV31" s="17" t="n">
        <v>138</v>
      </c>
      <c r="AW31" s="17" t="n">
        <v>0</v>
      </c>
      <c r="AX31" s="18" t="n">
        <v>0</v>
      </c>
      <c r="AY31" s="16" t="n">
        <v>1235</v>
      </c>
      <c r="AZ31" s="17" t="n">
        <v>0</v>
      </c>
      <c r="BA31" s="17" t="n">
        <v>13</v>
      </c>
      <c r="BB31" s="17" t="n">
        <v>442</v>
      </c>
      <c r="BC31" s="17" t="n">
        <v>130</v>
      </c>
      <c r="BD31" s="17" t="n">
        <v>0</v>
      </c>
      <c r="BE31" s="17" t="n">
        <v>52</v>
      </c>
      <c r="BF31" s="17" t="n">
        <v>520</v>
      </c>
      <c r="BG31" s="17" t="n">
        <v>78</v>
      </c>
      <c r="BH31" s="17" t="n">
        <v>0</v>
      </c>
      <c r="BI31" s="18" t="n">
        <v>0</v>
      </c>
      <c r="BJ31" s="16" t="n">
        <v>706</v>
      </c>
      <c r="BK31" s="17" t="n">
        <v>0</v>
      </c>
      <c r="BL31" s="17" t="n">
        <v>8</v>
      </c>
      <c r="BM31" s="17" t="n">
        <v>97</v>
      </c>
      <c r="BN31" s="17" t="n">
        <v>1</v>
      </c>
      <c r="BO31" s="17" t="n">
        <v>0</v>
      </c>
      <c r="BP31" s="17" t="n">
        <v>20</v>
      </c>
      <c r="BQ31" s="17" t="n">
        <v>365</v>
      </c>
      <c r="BR31" s="17" t="n">
        <v>60</v>
      </c>
      <c r="BS31" s="17" t="n">
        <v>0</v>
      </c>
      <c r="BT31" s="18" t="n">
        <v>0</v>
      </c>
      <c r="BU31" s="17" t="inlineStr">
        <is>
          <t>Generic Drug</t>
        </is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0</v>
      </c>
      <c r="K32" s="17" t="n">
        <v>300</v>
      </c>
      <c r="L32" s="17" t="n">
        <v>0</v>
      </c>
      <c r="M32" s="17" t="n">
        <v>200</v>
      </c>
      <c r="N32" s="17" t="n">
        <v>100</v>
      </c>
      <c r="O32" s="17" t="n">
        <v>0</v>
      </c>
      <c r="P32" s="17" t="n">
        <v>0</v>
      </c>
      <c r="Q32" s="18" t="n">
        <v>0</v>
      </c>
      <c r="R32" s="16" t="n">
        <v>6</v>
      </c>
      <c r="S32" s="17" t="n">
        <v>0</v>
      </c>
      <c r="T32" s="17" t="n">
        <v>0</v>
      </c>
      <c r="U32" s="17" t="n">
        <v>0</v>
      </c>
      <c r="V32" s="17" t="n">
        <v>3</v>
      </c>
      <c r="W32" s="17" t="n">
        <v>0</v>
      </c>
      <c r="X32" s="17" t="n">
        <v>2</v>
      </c>
      <c r="Y32" s="17" t="n">
        <v>1</v>
      </c>
      <c r="Z32" s="17" t="n">
        <v>0</v>
      </c>
      <c r="AA32" s="17" t="n">
        <v>0</v>
      </c>
      <c r="AB32" s="18" t="n">
        <v>0</v>
      </c>
      <c r="AC32" s="16" t="n">
        <v>-6</v>
      </c>
      <c r="AD32" s="17" t="n">
        <v>0</v>
      </c>
      <c r="AE32" s="17" t="n">
        <v>0</v>
      </c>
      <c r="AF32" s="17" t="n">
        <v>0</v>
      </c>
      <c r="AG32" s="17" t="n">
        <v>-3</v>
      </c>
      <c r="AH32" s="17" t="n">
        <v>0</v>
      </c>
      <c r="AI32" s="17" t="n">
        <v>-2</v>
      </c>
      <c r="AJ32" s="17" t="n">
        <v>-1</v>
      </c>
      <c r="AK32" s="17" t="n">
        <v>0</v>
      </c>
      <c r="AL32" s="17" t="n">
        <v>0</v>
      </c>
      <c r="AM32" s="18" t="n">
        <v>0</v>
      </c>
      <c r="AN32" s="16" t="n">
        <v>86</v>
      </c>
      <c r="AO32" s="17" t="n">
        <v>0</v>
      </c>
      <c r="AP32" s="17" t="n">
        <v>0</v>
      </c>
      <c r="AQ32" s="17" t="n">
        <v>0</v>
      </c>
      <c r="AR32" s="17" t="n">
        <v>77</v>
      </c>
      <c r="AS32" s="17" t="n">
        <v>0</v>
      </c>
      <c r="AT32" s="17" t="n">
        <v>6</v>
      </c>
      <c r="AU32" s="17" t="n">
        <v>1</v>
      </c>
      <c r="AV32" s="17" t="n">
        <v>0</v>
      </c>
      <c r="AW32" s="17" t="n">
        <v>0</v>
      </c>
      <c r="AX32" s="18" t="n">
        <v>0</v>
      </c>
      <c r="AY32" s="16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8" t="n">
        <v>0</v>
      </c>
      <c r="BJ32" s="16" t="n">
        <v>86</v>
      </c>
      <c r="BK32" s="17" t="n">
        <v>0</v>
      </c>
      <c r="BL32" s="17" t="n">
        <v>0</v>
      </c>
      <c r="BM32" s="17" t="n">
        <v>0</v>
      </c>
      <c r="BN32" s="17" t="n">
        <v>77</v>
      </c>
      <c r="BO32" s="17" t="n">
        <v>0</v>
      </c>
      <c r="BP32" s="17" t="n">
        <v>6</v>
      </c>
      <c r="BQ32" s="17" t="n">
        <v>1</v>
      </c>
      <c r="BR32" s="17" t="n">
        <v>0</v>
      </c>
      <c r="BS32" s="17" t="n">
        <v>0</v>
      </c>
      <c r="BT32" s="18" t="n">
        <v>0</v>
      </c>
      <c r="BU32" s="17" t="inlineStr">
        <is>
          <t>Unclassified</t>
        </is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0</v>
      </c>
      <c r="J33" s="17" t="n">
        <v>1400</v>
      </c>
      <c r="K33" s="17" t="n">
        <v>100</v>
      </c>
      <c r="L33" s="17" t="n">
        <v>0</v>
      </c>
      <c r="M33" s="17" t="n">
        <v>0</v>
      </c>
      <c r="N33" s="17" t="n">
        <v>300</v>
      </c>
      <c r="O33" s="17" t="n">
        <v>200</v>
      </c>
      <c r="P33" s="17" t="n">
        <v>0</v>
      </c>
      <c r="Q33" s="18" t="n">
        <v>0</v>
      </c>
      <c r="R33" s="16" t="n">
        <v>20</v>
      </c>
      <c r="S33" s="17" t="n">
        <v>0</v>
      </c>
      <c r="T33" s="17" t="n">
        <v>0</v>
      </c>
      <c r="U33" s="17" t="n">
        <v>14</v>
      </c>
      <c r="V33" s="17" t="n">
        <v>1</v>
      </c>
      <c r="W33" s="17" t="n">
        <v>0</v>
      </c>
      <c r="X33" s="17" t="n">
        <v>0</v>
      </c>
      <c r="Y33" s="17" t="n">
        <v>3</v>
      </c>
      <c r="Z33" s="17" t="n">
        <v>2</v>
      </c>
      <c r="AA33" s="17" t="n">
        <v>0</v>
      </c>
      <c r="AB33" s="18" t="n">
        <v>0</v>
      </c>
      <c r="AC33" s="16" t="n">
        <v>-20</v>
      </c>
      <c r="AD33" s="17" t="n">
        <v>0</v>
      </c>
      <c r="AE33" s="17" t="n">
        <v>0</v>
      </c>
      <c r="AF33" s="17" t="n">
        <v>-14</v>
      </c>
      <c r="AG33" s="17" t="n">
        <v>-1</v>
      </c>
      <c r="AH33" s="17" t="n">
        <v>0</v>
      </c>
      <c r="AI33" s="17" t="n">
        <v>0</v>
      </c>
      <c r="AJ33" s="17" t="n">
        <v>-3</v>
      </c>
      <c r="AK33" s="17" t="n">
        <v>-2</v>
      </c>
      <c r="AL33" s="17" t="n">
        <v>0</v>
      </c>
      <c r="AM33" s="18" t="n">
        <v>0</v>
      </c>
      <c r="AN33" s="16" t="n">
        <v>100</v>
      </c>
      <c r="AO33" s="17" t="n">
        <v>0</v>
      </c>
      <c r="AP33" s="17" t="n">
        <v>0</v>
      </c>
      <c r="AQ33" s="17" t="n">
        <v>71</v>
      </c>
      <c r="AR33" s="17" t="n">
        <v>0</v>
      </c>
      <c r="AS33" s="17" t="n">
        <v>0</v>
      </c>
      <c r="AT33" s="17" t="n">
        <v>0</v>
      </c>
      <c r="AU33" s="17" t="n">
        <v>4</v>
      </c>
      <c r="AV33" s="17" t="n">
        <v>13</v>
      </c>
      <c r="AW33" s="17" t="n">
        <v>0</v>
      </c>
      <c r="AX33" s="18" t="n">
        <v>0</v>
      </c>
      <c r="AY33" s="16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8" t="n">
        <v>0</v>
      </c>
      <c r="BJ33" s="16" t="n">
        <v>100</v>
      </c>
      <c r="BK33" s="17" t="n">
        <v>0</v>
      </c>
      <c r="BL33" s="17" t="n">
        <v>0</v>
      </c>
      <c r="BM33" s="17" t="n">
        <v>71</v>
      </c>
      <c r="BN33" s="17" t="n">
        <v>0</v>
      </c>
      <c r="BO33" s="17" t="n">
        <v>0</v>
      </c>
      <c r="BP33" s="17" t="n">
        <v>0</v>
      </c>
      <c r="BQ33" s="17" t="n">
        <v>4</v>
      </c>
      <c r="BR33" s="17" t="n">
        <v>13</v>
      </c>
      <c r="BS33" s="17" t="n">
        <v>0</v>
      </c>
      <c r="BT33" s="18" t="n">
        <v>0</v>
      </c>
      <c r="BU33" s="17" t="inlineStr">
        <is>
          <t>Unclassified</t>
        </is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0</v>
      </c>
      <c r="J34" s="17" t="n">
        <v>1100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8" t="n">
        <v>0</v>
      </c>
      <c r="R34" s="16" t="n">
        <v>0</v>
      </c>
      <c r="S34" s="17" t="n">
        <v>0</v>
      </c>
      <c r="T34" s="17" t="n">
        <v>0</v>
      </c>
      <c r="U34" s="17" t="n">
        <v>11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8" t="n">
        <v>0</v>
      </c>
      <c r="AC34" s="16" t="n">
        <v>0</v>
      </c>
      <c r="AD34" s="17" t="n">
        <v>0</v>
      </c>
      <c r="AE34" s="17" t="n">
        <v>0</v>
      </c>
      <c r="AF34" s="17" t="n">
        <v>-11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8" t="n">
        <v>0</v>
      </c>
      <c r="AN34" s="16" t="n">
        <v>0</v>
      </c>
      <c r="AO34" s="17" t="n">
        <v>0</v>
      </c>
      <c r="AP34" s="17" t="n">
        <v>0</v>
      </c>
      <c r="AQ34" s="17" t="n">
        <v>16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8" t="n">
        <v>0</v>
      </c>
      <c r="AY34" s="16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8" t="n">
        <v>0</v>
      </c>
      <c r="BJ34" s="16" t="n">
        <v>0</v>
      </c>
      <c r="BK34" s="17" t="n">
        <v>0</v>
      </c>
      <c r="BL34" s="17" t="n">
        <v>0</v>
      </c>
      <c r="BM34" s="17" t="n">
        <v>16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8" t="n">
        <v>0</v>
      </c>
      <c r="BU34" s="17" t="inlineStr">
        <is>
          <t>Unclassified</t>
        </is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0</v>
      </c>
      <c r="J35" s="17" t="n">
        <v>84</v>
      </c>
      <c r="K35" s="17" t="n">
        <v>20</v>
      </c>
      <c r="L35" s="17" t="n">
        <v>0</v>
      </c>
      <c r="M35" s="17" t="n">
        <v>0</v>
      </c>
      <c r="N35" s="17" t="n">
        <v>0</v>
      </c>
      <c r="O35" s="17" t="n">
        <v>4</v>
      </c>
      <c r="P35" s="17" t="n">
        <v>0</v>
      </c>
      <c r="Q35" s="18" t="n">
        <v>0</v>
      </c>
      <c r="R35" s="16" t="n">
        <v>27</v>
      </c>
      <c r="S35" s="17" t="n">
        <v>0</v>
      </c>
      <c r="T35" s="17" t="n">
        <v>0</v>
      </c>
      <c r="U35" s="17" t="n">
        <v>21</v>
      </c>
      <c r="V35" s="17" t="n">
        <v>5</v>
      </c>
      <c r="W35" s="17" t="n">
        <v>0</v>
      </c>
      <c r="X35" s="17" t="n">
        <v>0</v>
      </c>
      <c r="Y35" s="17" t="n">
        <v>0</v>
      </c>
      <c r="Z35" s="17" t="n">
        <v>1</v>
      </c>
      <c r="AA35" s="17" t="n">
        <v>0</v>
      </c>
      <c r="AB35" s="18" t="n">
        <v>0</v>
      </c>
      <c r="AC35" s="16" t="n">
        <v>-17</v>
      </c>
      <c r="AD35" s="17" t="n">
        <v>10</v>
      </c>
      <c r="AE35" s="17" t="n">
        <v>10</v>
      </c>
      <c r="AF35" s="17" t="n">
        <v>-11</v>
      </c>
      <c r="AG35" s="17" t="n">
        <v>5</v>
      </c>
      <c r="AH35" s="17" t="n">
        <v>10</v>
      </c>
      <c r="AI35" s="17" t="n">
        <v>10</v>
      </c>
      <c r="AJ35" s="17" t="n">
        <v>10</v>
      </c>
      <c r="AK35" s="17" t="n">
        <v>9</v>
      </c>
      <c r="AL35" s="17" t="n">
        <v>10</v>
      </c>
      <c r="AM35" s="18" t="n">
        <v>10</v>
      </c>
      <c r="AN35" s="16" t="n">
        <v>66</v>
      </c>
      <c r="AO35" s="17" t="n">
        <v>0</v>
      </c>
      <c r="AP35" s="17" t="n">
        <v>0</v>
      </c>
      <c r="AQ35" s="17" t="n">
        <v>48</v>
      </c>
      <c r="AR35" s="17" t="n">
        <v>7</v>
      </c>
      <c r="AS35" s="17" t="n">
        <v>0</v>
      </c>
      <c r="AT35" s="17" t="n">
        <v>0</v>
      </c>
      <c r="AU35" s="17" t="n">
        <v>0</v>
      </c>
      <c r="AV35" s="17" t="n">
        <v>3</v>
      </c>
      <c r="AW35" s="17" t="n">
        <v>0</v>
      </c>
      <c r="AX35" s="18" t="n">
        <v>0</v>
      </c>
      <c r="AY35" s="16" t="n">
        <v>27</v>
      </c>
      <c r="AZ35" s="17" t="n">
        <v>0</v>
      </c>
      <c r="BA35" s="17" t="n">
        <v>0</v>
      </c>
      <c r="BB35" s="17" t="n">
        <v>21</v>
      </c>
      <c r="BC35" s="17" t="n">
        <v>5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8" t="n">
        <v>0</v>
      </c>
      <c r="BJ35" s="16" t="n">
        <v>39</v>
      </c>
      <c r="BK35" s="17" t="n">
        <v>0</v>
      </c>
      <c r="BL35" s="17" t="n">
        <v>0</v>
      </c>
      <c r="BM35" s="17" t="n">
        <v>27</v>
      </c>
      <c r="BN35" s="17" t="n">
        <v>2</v>
      </c>
      <c r="BO35" s="17" t="n">
        <v>0</v>
      </c>
      <c r="BP35" s="17" t="n">
        <v>0</v>
      </c>
      <c r="BQ35" s="17" t="n">
        <v>0</v>
      </c>
      <c r="BR35" s="17" t="n">
        <v>2</v>
      </c>
      <c r="BS35" s="17" t="n">
        <v>0</v>
      </c>
      <c r="BT35" s="18" t="n">
        <v>0</v>
      </c>
      <c r="BU35" s="17" t="inlineStr">
        <is>
          <t>Generic Drug</t>
        </is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0</v>
      </c>
      <c r="J36" s="17" t="n">
        <v>12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8" t="n">
        <v>0</v>
      </c>
      <c r="R36" s="16" t="n">
        <v>1</v>
      </c>
      <c r="S36" s="17" t="n">
        <v>0</v>
      </c>
      <c r="T36" s="17" t="n">
        <v>0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8" t="n">
        <v>0</v>
      </c>
      <c r="AC36" s="16" t="n">
        <v>-1</v>
      </c>
      <c r="AD36" s="17" t="n">
        <v>0</v>
      </c>
      <c r="AE36" s="17" t="n">
        <v>0</v>
      </c>
      <c r="AF36" s="17" t="n">
        <v>-1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8" t="n">
        <v>0</v>
      </c>
      <c r="AN36" s="16" t="n">
        <v>2</v>
      </c>
      <c r="AO36" s="17" t="n">
        <v>0</v>
      </c>
      <c r="AP36" s="17" t="n">
        <v>0</v>
      </c>
      <c r="AQ36" s="17" t="n">
        <v>2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8" t="n">
        <v>0</v>
      </c>
      <c r="AY36" s="16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8" t="n">
        <v>0</v>
      </c>
      <c r="BJ36" s="16" t="n">
        <v>2</v>
      </c>
      <c r="BK36" s="17" t="n">
        <v>0</v>
      </c>
      <c r="BL36" s="17" t="n">
        <v>0</v>
      </c>
      <c r="BM36" s="17" t="n">
        <v>2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8" t="n">
        <v>0</v>
      </c>
      <c r="BU36" s="17" t="inlineStr">
        <is>
          <t>Unclassified</t>
        </is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0</v>
      </c>
      <c r="J37" s="17" t="n">
        <v>28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8" t="n">
        <v>0</v>
      </c>
      <c r="R37" s="16" t="n">
        <v>0.28</v>
      </c>
      <c r="S37" s="17" t="n">
        <v>0</v>
      </c>
      <c r="T37" s="17" t="n">
        <v>0</v>
      </c>
      <c r="U37" s="17" t="n">
        <v>0.28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8" t="n">
        <v>0</v>
      </c>
      <c r="AC37" s="16" t="n">
        <v>-0.28</v>
      </c>
      <c r="AD37" s="17" t="n">
        <v>0</v>
      </c>
      <c r="AE37" s="17" t="n">
        <v>0</v>
      </c>
      <c r="AF37" s="17" t="n">
        <v>-0.28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8" t="n">
        <v>0</v>
      </c>
      <c r="AN37" s="16" t="n">
        <v>5</v>
      </c>
      <c r="AO37" s="17" t="n">
        <v>0</v>
      </c>
      <c r="AP37" s="17" t="n">
        <v>0</v>
      </c>
      <c r="AQ37" s="17" t="n">
        <v>5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8" t="n">
        <v>0</v>
      </c>
      <c r="AY37" s="16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8" t="n">
        <v>0</v>
      </c>
      <c r="BJ37" s="16" t="n">
        <v>5</v>
      </c>
      <c r="BK37" s="17" t="n">
        <v>0</v>
      </c>
      <c r="BL37" s="17" t="n">
        <v>0</v>
      </c>
      <c r="BM37" s="17" t="n">
        <v>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8" t="n">
        <v>0</v>
      </c>
      <c r="BU37" s="17" t="inlineStr">
        <is>
          <t>Unclassified</t>
        </is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0</v>
      </c>
      <c r="J38" s="17" t="n">
        <v>91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8" t="n">
        <v>0</v>
      </c>
      <c r="R38" s="16" t="n">
        <v>0.91</v>
      </c>
      <c r="S38" s="17" t="n">
        <v>0</v>
      </c>
      <c r="T38" s="17" t="n">
        <v>0</v>
      </c>
      <c r="U38" s="17" t="n">
        <v>0.91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8" t="n">
        <v>0</v>
      </c>
      <c r="AC38" s="16" t="n">
        <v>-0.91</v>
      </c>
      <c r="AD38" s="17" t="n">
        <v>0</v>
      </c>
      <c r="AE38" s="17" t="n">
        <v>0</v>
      </c>
      <c r="AF38" s="17" t="n">
        <v>-0.91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8" t="n">
        <v>0</v>
      </c>
      <c r="AN38" s="16" t="n">
        <v>7</v>
      </c>
      <c r="AO38" s="17" t="n">
        <v>0</v>
      </c>
      <c r="AP38" s="17" t="n">
        <v>0</v>
      </c>
      <c r="AQ38" s="17" t="n">
        <v>4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8" t="n">
        <v>0</v>
      </c>
      <c r="AY38" s="16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8" t="n">
        <v>0</v>
      </c>
      <c r="BJ38" s="16" t="n">
        <v>7</v>
      </c>
      <c r="BK38" s="17" t="n">
        <v>0</v>
      </c>
      <c r="BL38" s="17" t="n">
        <v>0</v>
      </c>
      <c r="BM38" s="17" t="n">
        <v>4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8" t="n">
        <v>0</v>
      </c>
      <c r="BU38" s="17" t="inlineStr">
        <is>
          <t>Unclassified</t>
        </is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30</v>
      </c>
      <c r="O39" s="17" t="n">
        <v>0</v>
      </c>
      <c r="P39" s="17" t="n">
        <v>0</v>
      </c>
      <c r="Q39" s="18" t="n">
        <v>0</v>
      </c>
      <c r="R39" s="16" t="n">
        <v>0.12</v>
      </c>
      <c r="S39" s="17" t="n">
        <v>0</v>
      </c>
      <c r="T39" s="17" t="n">
        <v>0</v>
      </c>
      <c r="U39" s="17" t="n">
        <v>0.09</v>
      </c>
      <c r="V39" s="17" t="n">
        <v>0</v>
      </c>
      <c r="W39" s="17" t="n">
        <v>0</v>
      </c>
      <c r="X39" s="17" t="n">
        <v>0</v>
      </c>
      <c r="Y39" s="17" t="n">
        <v>0.03</v>
      </c>
      <c r="Z39" s="17" t="n">
        <v>0</v>
      </c>
      <c r="AA39" s="17" t="n">
        <v>0</v>
      </c>
      <c r="AB39" s="18" t="n">
        <v>0</v>
      </c>
      <c r="AC39" s="16" t="n">
        <v>-0.12</v>
      </c>
      <c r="AD39" s="17" t="n">
        <v>0</v>
      </c>
      <c r="AE39" s="17" t="n">
        <v>0</v>
      </c>
      <c r="AF39" s="17" t="n">
        <v>-0.09</v>
      </c>
      <c r="AG39" s="17" t="n">
        <v>0</v>
      </c>
      <c r="AH39" s="17" t="n">
        <v>0</v>
      </c>
      <c r="AI39" s="17" t="n">
        <v>0</v>
      </c>
      <c r="AJ39" s="17" t="n">
        <v>-0.03</v>
      </c>
      <c r="AK39" s="17" t="n">
        <v>0</v>
      </c>
      <c r="AL39" s="17" t="n">
        <v>0</v>
      </c>
      <c r="AM39" s="18" t="n">
        <v>0</v>
      </c>
      <c r="AN39" s="16" t="n">
        <v>17</v>
      </c>
      <c r="AO39" s="17" t="n">
        <v>0</v>
      </c>
      <c r="AP39" s="17" t="n">
        <v>0</v>
      </c>
      <c r="AQ39" s="17" t="n">
        <v>5</v>
      </c>
      <c r="AR39" s="17" t="n">
        <v>0</v>
      </c>
      <c r="AS39" s="17" t="n">
        <v>0</v>
      </c>
      <c r="AT39" s="17" t="n">
        <v>0</v>
      </c>
      <c r="AU39" s="17" t="n">
        <v>11</v>
      </c>
      <c r="AV39" s="17" t="n">
        <v>0</v>
      </c>
      <c r="AW39" s="17" t="n">
        <v>0</v>
      </c>
      <c r="AX39" s="18" t="n">
        <v>0</v>
      </c>
      <c r="AY39" s="16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8" t="n">
        <v>0</v>
      </c>
      <c r="BJ39" s="16" t="n">
        <v>17</v>
      </c>
      <c r="BK39" s="17" t="n">
        <v>0</v>
      </c>
      <c r="BL39" s="17" t="n">
        <v>0</v>
      </c>
      <c r="BM39" s="17" t="n">
        <v>5</v>
      </c>
      <c r="BN39" s="17" t="n">
        <v>0</v>
      </c>
      <c r="BO39" s="17" t="n">
        <v>0</v>
      </c>
      <c r="BP39" s="17" t="n">
        <v>0</v>
      </c>
      <c r="BQ39" s="17" t="n">
        <v>11</v>
      </c>
      <c r="BR39" s="17" t="n">
        <v>0</v>
      </c>
      <c r="BS39" s="17" t="n">
        <v>0</v>
      </c>
      <c r="BT39" s="18" t="n">
        <v>0</v>
      </c>
      <c r="BU39" s="17" t="inlineStr">
        <is>
          <t>Unclassified</t>
        </is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0</v>
      </c>
      <c r="J40" s="17" t="n">
        <v>90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8" t="n">
        <v>0</v>
      </c>
      <c r="R40" s="16" t="n">
        <v>0.18</v>
      </c>
      <c r="S40" s="17" t="n">
        <v>0</v>
      </c>
      <c r="T40" s="17" t="n">
        <v>0</v>
      </c>
      <c r="U40" s="17" t="n">
        <v>0.18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8" t="n">
        <v>0</v>
      </c>
      <c r="AC40" s="16" t="n">
        <v>-0.18</v>
      </c>
      <c r="AD40" s="17" t="n">
        <v>0</v>
      </c>
      <c r="AE40" s="17" t="n">
        <v>0</v>
      </c>
      <c r="AF40" s="17" t="n">
        <v>-0.18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8" t="n">
        <v>0</v>
      </c>
      <c r="AN40" s="16" t="n">
        <v>6</v>
      </c>
      <c r="AO40" s="17" t="n">
        <v>0</v>
      </c>
      <c r="AP40" s="17" t="n">
        <v>0</v>
      </c>
      <c r="AQ40" s="17" t="n">
        <v>6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8" t="n">
        <v>0</v>
      </c>
      <c r="AY40" s="16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8" t="n">
        <v>0</v>
      </c>
      <c r="BJ40" s="16" t="n">
        <v>6</v>
      </c>
      <c r="BK40" s="17" t="n">
        <v>0</v>
      </c>
      <c r="BL40" s="17" t="n">
        <v>0</v>
      </c>
      <c r="BM40" s="17" t="n">
        <v>6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8" t="n">
        <v>0</v>
      </c>
      <c r="BU40" s="17" t="inlineStr">
        <is>
          <t>Unclassified</t>
        </is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90</v>
      </c>
      <c r="O41" s="17" t="n">
        <v>0</v>
      </c>
      <c r="P41" s="17" t="n">
        <v>0</v>
      </c>
      <c r="Q41" s="18" t="n">
        <v>0</v>
      </c>
      <c r="R41" s="16" t="n">
        <v>3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3</v>
      </c>
      <c r="Z41" s="17" t="n">
        <v>0</v>
      </c>
      <c r="AA41" s="17" t="n">
        <v>0</v>
      </c>
      <c r="AB41" s="18" t="n">
        <v>0</v>
      </c>
      <c r="AC41" s="16" t="n">
        <v>-3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-3</v>
      </c>
      <c r="AK41" s="17" t="n">
        <v>0</v>
      </c>
      <c r="AL41" s="17" t="n">
        <v>0</v>
      </c>
      <c r="AM41" s="18" t="n">
        <v>0</v>
      </c>
      <c r="AN41" s="16" t="n">
        <v>420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419</v>
      </c>
      <c r="AV41" s="17" t="n">
        <v>0</v>
      </c>
      <c r="AW41" s="17" t="n">
        <v>0</v>
      </c>
      <c r="AX41" s="18" t="n">
        <v>0</v>
      </c>
      <c r="AY41" s="16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8" t="n">
        <v>0</v>
      </c>
      <c r="BJ41" s="16" t="n">
        <v>420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419</v>
      </c>
      <c r="BR41" s="17" t="n">
        <v>0</v>
      </c>
      <c r="BS41" s="17" t="n">
        <v>0</v>
      </c>
      <c r="BT41" s="18" t="n">
        <v>0</v>
      </c>
      <c r="BU41" s="17" t="inlineStr">
        <is>
          <t>Unclassified</t>
        </is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60</v>
      </c>
      <c r="N42" s="17" t="n">
        <v>0</v>
      </c>
      <c r="O42" s="17" t="n">
        <v>0</v>
      </c>
      <c r="P42" s="17" t="n">
        <v>0</v>
      </c>
      <c r="Q42" s="18" t="n">
        <v>0</v>
      </c>
      <c r="R42" s="16" t="n">
        <v>0.6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0.6</v>
      </c>
      <c r="Y42" s="17" t="n">
        <v>0</v>
      </c>
      <c r="Z42" s="17" t="n">
        <v>0</v>
      </c>
      <c r="AA42" s="17" t="n">
        <v>0</v>
      </c>
      <c r="AB42" s="18" t="n">
        <v>0</v>
      </c>
      <c r="AC42" s="16" t="n">
        <v>-0.6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-0.6</v>
      </c>
      <c r="AJ42" s="17" t="n">
        <v>0</v>
      </c>
      <c r="AK42" s="17" t="n">
        <v>0</v>
      </c>
      <c r="AL42" s="17" t="n">
        <v>0</v>
      </c>
      <c r="AM42" s="18" t="n">
        <v>0</v>
      </c>
      <c r="AN42" s="16" t="n">
        <v>4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3</v>
      </c>
      <c r="AU42" s="17" t="n">
        <v>0</v>
      </c>
      <c r="AV42" s="17" t="n">
        <v>0</v>
      </c>
      <c r="AW42" s="17" t="n">
        <v>0</v>
      </c>
      <c r="AX42" s="18" t="n">
        <v>0</v>
      </c>
      <c r="AY42" s="16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8" t="n">
        <v>0</v>
      </c>
      <c r="BJ42" s="16" t="n">
        <v>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3</v>
      </c>
      <c r="BQ42" s="17" t="n">
        <v>0</v>
      </c>
      <c r="BR42" s="17" t="n">
        <v>0</v>
      </c>
      <c r="BS42" s="17" t="n">
        <v>0</v>
      </c>
      <c r="BT42" s="18" t="n">
        <v>0</v>
      </c>
      <c r="BU42" s="17" t="inlineStr">
        <is>
          <t>Unclassified</t>
        </is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90</v>
      </c>
      <c r="O43" s="17" t="n">
        <v>0</v>
      </c>
      <c r="P43" s="17" t="n">
        <v>0</v>
      </c>
      <c r="Q43" s="18" t="n">
        <v>0</v>
      </c>
      <c r="R43" s="16" t="n">
        <v>0.9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0.9</v>
      </c>
      <c r="Z43" s="17" t="n">
        <v>0</v>
      </c>
      <c r="AA43" s="17" t="n">
        <v>0</v>
      </c>
      <c r="AB43" s="18" t="n">
        <v>0</v>
      </c>
      <c r="AC43" s="16" t="n">
        <v>2.1</v>
      </c>
      <c r="AD43" s="17" t="n">
        <v>3</v>
      </c>
      <c r="AE43" s="17" t="n">
        <v>3</v>
      </c>
      <c r="AF43" s="17" t="n">
        <v>3</v>
      </c>
      <c r="AG43" s="17" t="n">
        <v>3</v>
      </c>
      <c r="AH43" s="17" t="n">
        <v>3</v>
      </c>
      <c r="AI43" s="17" t="n">
        <v>3</v>
      </c>
      <c r="AJ43" s="17" t="n">
        <v>2.1</v>
      </c>
      <c r="AK43" s="17" t="n">
        <v>3</v>
      </c>
      <c r="AL43" s="17" t="n">
        <v>3</v>
      </c>
      <c r="AM43" s="18" t="n">
        <v>3</v>
      </c>
      <c r="AN43" s="16" t="n">
        <v>14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14</v>
      </c>
      <c r="AV43" s="17" t="n">
        <v>0</v>
      </c>
      <c r="AW43" s="17" t="n">
        <v>0</v>
      </c>
      <c r="AX43" s="18" t="n">
        <v>0</v>
      </c>
      <c r="AY43" s="16" t="n">
        <v>4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4</v>
      </c>
      <c r="BG43" s="17" t="n">
        <v>0</v>
      </c>
      <c r="BH43" s="17" t="n">
        <v>0</v>
      </c>
      <c r="BI43" s="18" t="n">
        <v>0</v>
      </c>
      <c r="BJ43" s="16" t="n">
        <v>10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10</v>
      </c>
      <c r="BR43" s="17" t="n">
        <v>0</v>
      </c>
      <c r="BS43" s="17" t="n">
        <v>0</v>
      </c>
      <c r="BT43" s="18" t="n">
        <v>0</v>
      </c>
      <c r="BU43" s="17" t="inlineStr">
        <is>
          <t>Generic Drug</t>
        </is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112</v>
      </c>
      <c r="O44" s="17" t="n">
        <v>0</v>
      </c>
      <c r="P44" s="17" t="n">
        <v>0</v>
      </c>
      <c r="Q44" s="18" t="n">
        <v>0</v>
      </c>
      <c r="R44" s="16" t="n">
        <v>4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4</v>
      </c>
      <c r="Z44" s="17" t="n">
        <v>0</v>
      </c>
      <c r="AA44" s="17" t="n">
        <v>0</v>
      </c>
      <c r="AB44" s="18" t="n">
        <v>0</v>
      </c>
      <c r="AC44" s="16" t="n">
        <v>-3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-3</v>
      </c>
      <c r="AK44" s="17" t="n">
        <v>1</v>
      </c>
      <c r="AL44" s="17" t="n">
        <v>1</v>
      </c>
      <c r="AM44" s="18" t="n">
        <v>1</v>
      </c>
      <c r="AN44" s="16" t="n">
        <v>33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33</v>
      </c>
      <c r="AV44" s="17" t="n">
        <v>0</v>
      </c>
      <c r="AW44" s="17" t="n">
        <v>0</v>
      </c>
      <c r="AX44" s="18" t="n">
        <v>0</v>
      </c>
      <c r="AY44" s="16" t="n">
        <v>56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56</v>
      </c>
      <c r="BG44" s="17" t="n">
        <v>0</v>
      </c>
      <c r="BH44" s="17" t="n">
        <v>0</v>
      </c>
      <c r="BI44" s="18" t="n">
        <v>0</v>
      </c>
      <c r="BJ44" s="16" t="n">
        <v>-23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-23</v>
      </c>
      <c r="BR44" s="17" t="n">
        <v>0</v>
      </c>
      <c r="BS44" s="17" t="n">
        <v>0</v>
      </c>
      <c r="BT44" s="18" t="n">
        <v>0</v>
      </c>
      <c r="BU44" s="17" t="inlineStr">
        <is>
          <t>Generic Drug</t>
        </is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0</v>
      </c>
      <c r="J45" s="17" t="n">
        <v>30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8" t="n">
        <v>0</v>
      </c>
      <c r="R45" s="16" t="n">
        <v>0.06</v>
      </c>
      <c r="S45" s="17" t="n">
        <v>0</v>
      </c>
      <c r="T45" s="17" t="n">
        <v>0</v>
      </c>
      <c r="U45" s="17" t="n">
        <v>0.06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8" t="n">
        <v>0</v>
      </c>
      <c r="AC45" s="16" t="n">
        <v>-0.06</v>
      </c>
      <c r="AD45" s="17" t="n">
        <v>0</v>
      </c>
      <c r="AE45" s="17" t="n">
        <v>0</v>
      </c>
      <c r="AF45" s="17" t="n">
        <v>-0.06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8" t="n">
        <v>0</v>
      </c>
      <c r="AN45" s="16" t="n">
        <v>9</v>
      </c>
      <c r="AO45" s="17" t="n">
        <v>0</v>
      </c>
      <c r="AP45" s="17" t="n">
        <v>0</v>
      </c>
      <c r="AQ45" s="17" t="n">
        <v>9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8" t="n">
        <v>0</v>
      </c>
      <c r="AY45" s="16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8" t="n">
        <v>0</v>
      </c>
      <c r="BJ45" s="16" t="n">
        <v>9</v>
      </c>
      <c r="BK45" s="17" t="n">
        <v>0</v>
      </c>
      <c r="BL45" s="17" t="n">
        <v>0</v>
      </c>
      <c r="BM45" s="17" t="n">
        <v>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8" t="n">
        <v>0</v>
      </c>
      <c r="BU45" s="17" t="inlineStr">
        <is>
          <t>Unclassified</t>
        </is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0</v>
      </c>
      <c r="J46" s="17" t="n">
        <v>60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8" t="n">
        <v>0</v>
      </c>
      <c r="R46" s="16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8" t="n">
        <v>0</v>
      </c>
      <c r="AC46" s="16" t="n">
        <v>-1</v>
      </c>
      <c r="AD46" s="17" t="n">
        <v>0</v>
      </c>
      <c r="AE46" s="17" t="n">
        <v>0</v>
      </c>
      <c r="AF46" s="17" t="n">
        <v>-1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8" t="n">
        <v>0</v>
      </c>
      <c r="AN46" s="16" t="n">
        <v>1132</v>
      </c>
      <c r="AO46" s="17" t="n">
        <v>0</v>
      </c>
      <c r="AP46" s="17" t="n">
        <v>0</v>
      </c>
      <c r="AQ46" s="17" t="n">
        <v>1130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8" t="n">
        <v>0</v>
      </c>
      <c r="AY46" s="16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8" t="n">
        <v>0</v>
      </c>
      <c r="BJ46" s="16" t="n">
        <v>1132</v>
      </c>
      <c r="BK46" s="17" t="n">
        <v>0</v>
      </c>
      <c r="BL46" s="17" t="n">
        <v>0</v>
      </c>
      <c r="BM46" s="17" t="n">
        <v>1130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8" t="n">
        <v>0</v>
      </c>
      <c r="BU46" s="17" t="inlineStr">
        <is>
          <t>Unclassified</t>
        </is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0</v>
      </c>
      <c r="J47" s="17" t="n">
        <v>120</v>
      </c>
      <c r="K47" s="17" t="n">
        <v>0</v>
      </c>
      <c r="L47" s="17" t="n">
        <v>0</v>
      </c>
      <c r="M47" s="17" t="n">
        <v>90</v>
      </c>
      <c r="N47" s="17" t="n">
        <v>0</v>
      </c>
      <c r="O47" s="17" t="n">
        <v>0</v>
      </c>
      <c r="P47" s="17" t="n">
        <v>0</v>
      </c>
      <c r="Q47" s="18" t="n">
        <v>0</v>
      </c>
      <c r="R47" s="16" t="n">
        <v>0.42</v>
      </c>
      <c r="S47" s="17" t="n">
        <v>0</v>
      </c>
      <c r="T47" s="17" t="n">
        <v>0</v>
      </c>
      <c r="U47" s="17" t="n">
        <v>0.24</v>
      </c>
      <c r="V47" s="17" t="n">
        <v>0</v>
      </c>
      <c r="W47" s="17" t="n">
        <v>0</v>
      </c>
      <c r="X47" s="17" t="n">
        <v>0.18</v>
      </c>
      <c r="Y47" s="17" t="n">
        <v>0</v>
      </c>
      <c r="Z47" s="17" t="n">
        <v>0</v>
      </c>
      <c r="AA47" s="17" t="n">
        <v>0</v>
      </c>
      <c r="AB47" s="18" t="n">
        <v>0</v>
      </c>
      <c r="AC47" s="16" t="n">
        <v>-0.42</v>
      </c>
      <c r="AD47" s="17" t="n">
        <v>0</v>
      </c>
      <c r="AE47" s="17" t="n">
        <v>0</v>
      </c>
      <c r="AF47" s="17" t="n">
        <v>-0.24</v>
      </c>
      <c r="AG47" s="17" t="n">
        <v>0</v>
      </c>
      <c r="AH47" s="17" t="n">
        <v>0</v>
      </c>
      <c r="AI47" s="17" t="n">
        <v>-0.18</v>
      </c>
      <c r="AJ47" s="17" t="n">
        <v>0</v>
      </c>
      <c r="AK47" s="17" t="n">
        <v>0</v>
      </c>
      <c r="AL47" s="17" t="n">
        <v>0</v>
      </c>
      <c r="AM47" s="18" t="n">
        <v>0</v>
      </c>
      <c r="AN47" s="16" t="n">
        <v>22</v>
      </c>
      <c r="AO47" s="17" t="n">
        <v>0</v>
      </c>
      <c r="AP47" s="17" t="n">
        <v>0</v>
      </c>
      <c r="AQ47" s="17" t="n">
        <v>8</v>
      </c>
      <c r="AR47" s="17" t="n">
        <v>0</v>
      </c>
      <c r="AS47" s="17" t="n">
        <v>0</v>
      </c>
      <c r="AT47" s="17" t="n">
        <v>14</v>
      </c>
      <c r="AU47" s="17" t="n">
        <v>0</v>
      </c>
      <c r="AV47" s="17" t="n">
        <v>0</v>
      </c>
      <c r="AW47" s="17" t="n">
        <v>0</v>
      </c>
      <c r="AX47" s="18" t="n">
        <v>0</v>
      </c>
      <c r="AY47" s="16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8" t="n">
        <v>0</v>
      </c>
      <c r="BJ47" s="16" t="n">
        <v>22</v>
      </c>
      <c r="BK47" s="17" t="n">
        <v>0</v>
      </c>
      <c r="BL47" s="17" t="n">
        <v>0</v>
      </c>
      <c r="BM47" s="17" t="n">
        <v>8</v>
      </c>
      <c r="BN47" s="17" t="n">
        <v>0</v>
      </c>
      <c r="BO47" s="17" t="n">
        <v>0</v>
      </c>
      <c r="BP47" s="17" t="n">
        <v>14</v>
      </c>
      <c r="BQ47" s="17" t="n">
        <v>0</v>
      </c>
      <c r="BR47" s="17" t="n">
        <v>0</v>
      </c>
      <c r="BS47" s="17" t="n">
        <v>0</v>
      </c>
      <c r="BT47" s="18" t="n">
        <v>0</v>
      </c>
      <c r="BU47" s="17" t="inlineStr">
        <is>
          <t>Unclassified</t>
        </is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240</v>
      </c>
      <c r="O48" s="17" t="n">
        <v>0</v>
      </c>
      <c r="P48" s="17" t="n">
        <v>0</v>
      </c>
      <c r="Q48" s="18" t="n">
        <v>0</v>
      </c>
      <c r="R48" s="16" t="n">
        <v>2.4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2.4</v>
      </c>
      <c r="Z48" s="17" t="n">
        <v>0</v>
      </c>
      <c r="AA48" s="17" t="n">
        <v>0</v>
      </c>
      <c r="AB48" s="18" t="n">
        <v>0</v>
      </c>
      <c r="AC48" s="16" t="n">
        <v>-2.4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-2.4</v>
      </c>
      <c r="AK48" s="17" t="n">
        <v>0</v>
      </c>
      <c r="AL48" s="17" t="n">
        <v>0</v>
      </c>
      <c r="AM48" s="18" t="n">
        <v>0</v>
      </c>
      <c r="AN48" s="16" t="n">
        <v>39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39</v>
      </c>
      <c r="AV48" s="17" t="n">
        <v>0</v>
      </c>
      <c r="AW48" s="17" t="n">
        <v>0</v>
      </c>
      <c r="AX48" s="18" t="n">
        <v>0</v>
      </c>
      <c r="AY48" s="16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8" t="n">
        <v>0</v>
      </c>
      <c r="BJ48" s="16" t="n">
        <v>39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39</v>
      </c>
      <c r="BR48" s="17" t="n">
        <v>0</v>
      </c>
      <c r="BS48" s="17" t="n">
        <v>0</v>
      </c>
      <c r="BT48" s="18" t="n">
        <v>0</v>
      </c>
      <c r="BU48" s="17" t="inlineStr">
        <is>
          <t>Unclassified</t>
        </is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30</v>
      </c>
      <c r="O49" s="17" t="n">
        <v>0</v>
      </c>
      <c r="P49" s="17" t="n">
        <v>0</v>
      </c>
      <c r="Q49" s="18" t="n">
        <v>0</v>
      </c>
      <c r="R49" s="16" t="n">
        <v>0.3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0.3</v>
      </c>
      <c r="Z49" s="17" t="n">
        <v>0</v>
      </c>
      <c r="AA49" s="17" t="n">
        <v>0</v>
      </c>
      <c r="AB49" s="18" t="n">
        <v>0</v>
      </c>
      <c r="AC49" s="16" t="n">
        <v>-0.3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-0.3</v>
      </c>
      <c r="AK49" s="17" t="n">
        <v>0</v>
      </c>
      <c r="AL49" s="17" t="n">
        <v>0</v>
      </c>
      <c r="AM49" s="18" t="n">
        <v>0</v>
      </c>
      <c r="AN49" s="16" t="n">
        <v>12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12</v>
      </c>
      <c r="AV49" s="17" t="n">
        <v>0</v>
      </c>
      <c r="AW49" s="17" t="n">
        <v>0</v>
      </c>
      <c r="AX49" s="18" t="n">
        <v>0</v>
      </c>
      <c r="AY49" s="16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8" t="n">
        <v>0</v>
      </c>
      <c r="BJ49" s="16" t="n">
        <v>12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12</v>
      </c>
      <c r="BR49" s="17" t="n">
        <v>0</v>
      </c>
      <c r="BS49" s="17" t="n">
        <v>0</v>
      </c>
      <c r="BT49" s="18" t="n">
        <v>0</v>
      </c>
      <c r="BU49" s="17" t="inlineStr">
        <is>
          <t>Unclassified</t>
        </is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30</v>
      </c>
      <c r="O50" s="17" t="n">
        <v>0</v>
      </c>
      <c r="P50" s="17" t="n">
        <v>0</v>
      </c>
      <c r="Q50" s="18" t="n">
        <v>0</v>
      </c>
      <c r="R50" s="16" t="n">
        <v>0.6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7" t="n">
        <v>0</v>
      </c>
      <c r="Y50" s="17" t="n">
        <v>0.3</v>
      </c>
      <c r="Z50" s="17" t="n">
        <v>0</v>
      </c>
      <c r="AA50" s="17" t="n">
        <v>0</v>
      </c>
      <c r="AB50" s="18" t="n">
        <v>0</v>
      </c>
      <c r="AC50" s="16" t="n">
        <v>-0.6</v>
      </c>
      <c r="AD50" s="17" t="n">
        <v>0</v>
      </c>
      <c r="AE50" s="17" t="n">
        <v>0</v>
      </c>
      <c r="AF50" s="17" t="n">
        <v>-0.3</v>
      </c>
      <c r="AG50" s="17" t="n">
        <v>0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8" t="n">
        <v>0</v>
      </c>
      <c r="AN50" s="16" t="n">
        <v>13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12</v>
      </c>
      <c r="AV50" s="17" t="n">
        <v>0</v>
      </c>
      <c r="AW50" s="17" t="n">
        <v>0</v>
      </c>
      <c r="AX50" s="18" t="n">
        <v>0</v>
      </c>
      <c r="AY50" s="16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8" t="n">
        <v>0</v>
      </c>
      <c r="BJ50" s="16" t="n">
        <v>13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12</v>
      </c>
      <c r="BR50" s="17" t="n">
        <v>0</v>
      </c>
      <c r="BS50" s="17" t="n">
        <v>0</v>
      </c>
      <c r="BT50" s="18" t="n">
        <v>0</v>
      </c>
      <c r="BU50" s="17" t="inlineStr">
        <is>
          <t>Unclassified</t>
        </is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0</v>
      </c>
      <c r="J51" s="17" t="n">
        <v>1980</v>
      </c>
      <c r="K51" s="17" t="n">
        <v>90</v>
      </c>
      <c r="L51" s="17" t="n">
        <v>0</v>
      </c>
      <c r="M51" s="17" t="n">
        <v>120</v>
      </c>
      <c r="N51" s="17" t="n">
        <v>450</v>
      </c>
      <c r="O51" s="17" t="n">
        <v>30</v>
      </c>
      <c r="P51" s="17" t="n">
        <v>0</v>
      </c>
      <c r="Q51" s="18" t="n">
        <v>0</v>
      </c>
      <c r="R51" s="16" t="n">
        <v>2.67</v>
      </c>
      <c r="S51" s="17" t="n">
        <v>0</v>
      </c>
      <c r="T51" s="17" t="n">
        <v>0</v>
      </c>
      <c r="U51" s="17" t="n">
        <v>1.98</v>
      </c>
      <c r="V51" s="17" t="n">
        <v>0.09</v>
      </c>
      <c r="W51" s="17" t="n">
        <v>0</v>
      </c>
      <c r="X51" s="17" t="n">
        <v>0.12</v>
      </c>
      <c r="Y51" s="17" t="n">
        <v>0.45</v>
      </c>
      <c r="Z51" s="17" t="n">
        <v>0.03</v>
      </c>
      <c r="AA51" s="17" t="n">
        <v>0</v>
      </c>
      <c r="AB51" s="18" t="n">
        <v>0</v>
      </c>
      <c r="AC51" s="16" t="n">
        <v>-2.67</v>
      </c>
      <c r="AD51" s="17" t="n">
        <v>0</v>
      </c>
      <c r="AE51" s="17" t="n">
        <v>0</v>
      </c>
      <c r="AF51" s="17" t="n">
        <v>-1.98</v>
      </c>
      <c r="AG51" s="17" t="n">
        <v>-0.09</v>
      </c>
      <c r="AH51" s="17" t="n">
        <v>0</v>
      </c>
      <c r="AI51" s="17" t="n">
        <v>-0.12</v>
      </c>
      <c r="AJ51" s="17" t="n">
        <v>-0.45</v>
      </c>
      <c r="AK51" s="17" t="n">
        <v>-0.03</v>
      </c>
      <c r="AL51" s="17" t="n">
        <v>0</v>
      </c>
      <c r="AM51" s="18" t="n">
        <v>0</v>
      </c>
      <c r="AN51" s="16" t="n">
        <v>132</v>
      </c>
      <c r="AO51" s="17" t="n">
        <v>0</v>
      </c>
      <c r="AP51" s="17" t="n">
        <v>0</v>
      </c>
      <c r="AQ51" s="17" t="n">
        <v>38</v>
      </c>
      <c r="AR51" s="17" t="n">
        <v>0</v>
      </c>
      <c r="AS51" s="17" t="n">
        <v>0</v>
      </c>
      <c r="AT51" s="17" t="n">
        <v>3</v>
      </c>
      <c r="AU51" s="17" t="n">
        <v>77</v>
      </c>
      <c r="AV51" s="17" t="n">
        <v>0</v>
      </c>
      <c r="AW51" s="17" t="n">
        <v>0</v>
      </c>
      <c r="AX51" s="18" t="n">
        <v>0</v>
      </c>
      <c r="AY51" s="16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8" t="n">
        <v>0</v>
      </c>
      <c r="BJ51" s="16" t="n">
        <v>132</v>
      </c>
      <c r="BK51" s="17" t="n">
        <v>0</v>
      </c>
      <c r="BL51" s="17" t="n">
        <v>0</v>
      </c>
      <c r="BM51" s="17" t="n">
        <v>38</v>
      </c>
      <c r="BN51" s="17" t="n">
        <v>0</v>
      </c>
      <c r="BO51" s="17" t="n">
        <v>0</v>
      </c>
      <c r="BP51" s="17" t="n">
        <v>3</v>
      </c>
      <c r="BQ51" s="17" t="n">
        <v>77</v>
      </c>
      <c r="BR51" s="17" t="n">
        <v>0</v>
      </c>
      <c r="BS51" s="17" t="n">
        <v>0</v>
      </c>
      <c r="BT51" s="18" t="n">
        <v>0</v>
      </c>
      <c r="BU51" s="17" t="inlineStr">
        <is>
          <t>Unclassified</t>
        </is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0</v>
      </c>
      <c r="J52" s="17" t="n">
        <v>450</v>
      </c>
      <c r="K52" s="17" t="n">
        <v>0</v>
      </c>
      <c r="L52" s="17" t="n">
        <v>0</v>
      </c>
      <c r="M52" s="17" t="n">
        <v>0</v>
      </c>
      <c r="N52" s="17" t="n">
        <v>210</v>
      </c>
      <c r="O52" s="17" t="n">
        <v>0</v>
      </c>
      <c r="P52" s="17" t="n">
        <v>0</v>
      </c>
      <c r="Q52" s="18" t="n">
        <v>0</v>
      </c>
      <c r="R52" s="16" t="n">
        <v>0.66</v>
      </c>
      <c r="S52" s="17" t="n">
        <v>0</v>
      </c>
      <c r="T52" s="17" t="n">
        <v>0</v>
      </c>
      <c r="U52" s="17" t="n">
        <v>0.45</v>
      </c>
      <c r="V52" s="17" t="n">
        <v>0</v>
      </c>
      <c r="W52" s="17" t="n">
        <v>0</v>
      </c>
      <c r="X52" s="17" t="n">
        <v>0</v>
      </c>
      <c r="Y52" s="17" t="n">
        <v>0.21</v>
      </c>
      <c r="Z52" s="17" t="n">
        <v>0</v>
      </c>
      <c r="AA52" s="17" t="n">
        <v>0</v>
      </c>
      <c r="AB52" s="18" t="n">
        <v>0</v>
      </c>
      <c r="AC52" s="16" t="n">
        <v>0.34</v>
      </c>
      <c r="AD52" s="17" t="n">
        <v>1</v>
      </c>
      <c r="AE52" s="17" t="n">
        <v>1</v>
      </c>
      <c r="AF52" s="17" t="n">
        <v>0.55</v>
      </c>
      <c r="AG52" s="17" t="n">
        <v>1</v>
      </c>
      <c r="AH52" s="17" t="n">
        <v>1</v>
      </c>
      <c r="AI52" s="17" t="n">
        <v>1</v>
      </c>
      <c r="AJ52" s="17" t="n">
        <v>0.79</v>
      </c>
      <c r="AK52" s="17" t="n">
        <v>1</v>
      </c>
      <c r="AL52" s="17" t="n">
        <v>1</v>
      </c>
      <c r="AM52" s="18" t="n">
        <v>1</v>
      </c>
      <c r="AN52" s="16" t="n">
        <v>37</v>
      </c>
      <c r="AO52" s="17" t="n">
        <v>0</v>
      </c>
      <c r="AP52" s="17" t="n">
        <v>0</v>
      </c>
      <c r="AQ52" s="17" t="n">
        <v>4</v>
      </c>
      <c r="AR52" s="17" t="n">
        <v>0</v>
      </c>
      <c r="AS52" s="17" t="n">
        <v>0</v>
      </c>
      <c r="AT52" s="17" t="n">
        <v>0</v>
      </c>
      <c r="AU52" s="17" t="n">
        <v>33</v>
      </c>
      <c r="AV52" s="17" t="n">
        <v>0</v>
      </c>
      <c r="AW52" s="17" t="n">
        <v>0</v>
      </c>
      <c r="AX52" s="18" t="n">
        <v>0</v>
      </c>
      <c r="AY52" s="16" t="n">
        <v>7</v>
      </c>
      <c r="AZ52" s="17" t="n">
        <v>0</v>
      </c>
      <c r="BA52" s="17" t="n">
        <v>0</v>
      </c>
      <c r="BB52" s="17" t="n">
        <v>4</v>
      </c>
      <c r="BC52" s="17" t="n">
        <v>0</v>
      </c>
      <c r="BD52" s="17" t="n">
        <v>0</v>
      </c>
      <c r="BE52" s="17" t="n">
        <v>0</v>
      </c>
      <c r="BF52" s="17" t="n">
        <v>2</v>
      </c>
      <c r="BG52" s="17" t="n">
        <v>0</v>
      </c>
      <c r="BH52" s="17" t="n">
        <v>0</v>
      </c>
      <c r="BI52" s="18" t="n">
        <v>0</v>
      </c>
      <c r="BJ52" s="16" t="n">
        <v>31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31</v>
      </c>
      <c r="BR52" s="17" t="n">
        <v>0</v>
      </c>
      <c r="BS52" s="17" t="n">
        <v>0</v>
      </c>
      <c r="BT52" s="18" t="n">
        <v>0</v>
      </c>
      <c r="BU52" s="17" t="inlineStr">
        <is>
          <t>Generic Drug</t>
        </is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0</v>
      </c>
      <c r="J53" s="17" t="n">
        <v>1800</v>
      </c>
      <c r="K53" s="17" t="n">
        <v>300</v>
      </c>
      <c r="L53" s="17" t="n">
        <v>0</v>
      </c>
      <c r="M53" s="17" t="n">
        <v>0</v>
      </c>
      <c r="N53" s="17" t="n">
        <v>690</v>
      </c>
      <c r="O53" s="17" t="n">
        <v>120</v>
      </c>
      <c r="P53" s="17" t="n">
        <v>0</v>
      </c>
      <c r="Q53" s="18" t="n">
        <v>0</v>
      </c>
      <c r="R53" s="16" t="n">
        <v>2.91</v>
      </c>
      <c r="S53" s="17" t="n">
        <v>0</v>
      </c>
      <c r="T53" s="17" t="n">
        <v>0</v>
      </c>
      <c r="U53" s="17" t="n">
        <v>1.8</v>
      </c>
      <c r="V53" s="17" t="n">
        <v>0.3</v>
      </c>
      <c r="W53" s="17" t="n">
        <v>0</v>
      </c>
      <c r="X53" s="17" t="n">
        <v>0</v>
      </c>
      <c r="Y53" s="17" t="n">
        <v>0.6899999999999999</v>
      </c>
      <c r="Z53" s="17" t="n">
        <v>0.12</v>
      </c>
      <c r="AA53" s="17" t="n">
        <v>0</v>
      </c>
      <c r="AB53" s="18" t="n">
        <v>0</v>
      </c>
      <c r="AC53" s="16" t="n">
        <v>-2.91</v>
      </c>
      <c r="AD53" s="17" t="n">
        <v>0</v>
      </c>
      <c r="AE53" s="17" t="n">
        <v>0</v>
      </c>
      <c r="AF53" s="17" t="n">
        <v>-1.8</v>
      </c>
      <c r="AG53" s="17" t="n">
        <v>-0.3</v>
      </c>
      <c r="AH53" s="17" t="n">
        <v>0</v>
      </c>
      <c r="AI53" s="17" t="n">
        <v>0</v>
      </c>
      <c r="AJ53" s="17" t="n">
        <v>-0.6899999999999999</v>
      </c>
      <c r="AK53" s="17" t="n">
        <v>-0.12</v>
      </c>
      <c r="AL53" s="17" t="n">
        <v>0</v>
      </c>
      <c r="AM53" s="18" t="n">
        <v>0</v>
      </c>
      <c r="AN53" s="16" t="n">
        <v>155</v>
      </c>
      <c r="AO53" s="17" t="n">
        <v>0</v>
      </c>
      <c r="AP53" s="17" t="n">
        <v>0</v>
      </c>
      <c r="AQ53" s="17" t="n">
        <v>41</v>
      </c>
      <c r="AR53" s="17" t="n">
        <v>2</v>
      </c>
      <c r="AS53" s="17" t="n">
        <v>0</v>
      </c>
      <c r="AT53" s="17" t="n">
        <v>0</v>
      </c>
      <c r="AU53" s="17" t="n">
        <v>97</v>
      </c>
      <c r="AV53" s="17" t="n">
        <v>8</v>
      </c>
      <c r="AW53" s="17" t="n">
        <v>0</v>
      </c>
      <c r="AX53" s="18" t="n">
        <v>0</v>
      </c>
      <c r="AY53" s="16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8" t="n">
        <v>0</v>
      </c>
      <c r="BJ53" s="16" t="n">
        <v>155</v>
      </c>
      <c r="BK53" s="17" t="n">
        <v>0</v>
      </c>
      <c r="BL53" s="17" t="n">
        <v>0</v>
      </c>
      <c r="BM53" s="17" t="n">
        <v>41</v>
      </c>
      <c r="BN53" s="17" t="n">
        <v>2</v>
      </c>
      <c r="BO53" s="17" t="n">
        <v>0</v>
      </c>
      <c r="BP53" s="17" t="n">
        <v>0</v>
      </c>
      <c r="BQ53" s="17" t="n">
        <v>97</v>
      </c>
      <c r="BR53" s="17" t="n">
        <v>8</v>
      </c>
      <c r="BS53" s="17" t="n">
        <v>0</v>
      </c>
      <c r="BT53" s="18" t="n">
        <v>0</v>
      </c>
      <c r="BU53" s="17" t="inlineStr">
        <is>
          <t>Unclassified</t>
        </is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0</v>
      </c>
      <c r="J54" s="17" t="n">
        <v>90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8" t="n">
        <v>0</v>
      </c>
      <c r="R54" s="16" t="n">
        <v>0.9</v>
      </c>
      <c r="S54" s="17" t="n">
        <v>0</v>
      </c>
      <c r="T54" s="17" t="n">
        <v>0</v>
      </c>
      <c r="U54" s="17" t="n">
        <v>0.9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8" t="n">
        <v>0</v>
      </c>
      <c r="AC54" s="16" t="n">
        <v>-0.9</v>
      </c>
      <c r="AD54" s="17" t="n">
        <v>0</v>
      </c>
      <c r="AE54" s="17" t="n">
        <v>0</v>
      </c>
      <c r="AF54" s="17" t="n">
        <v>-0.9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8" t="n">
        <v>0</v>
      </c>
      <c r="AN54" s="16" t="n">
        <v>12</v>
      </c>
      <c r="AO54" s="17" t="n">
        <v>0</v>
      </c>
      <c r="AP54" s="17" t="n">
        <v>0</v>
      </c>
      <c r="AQ54" s="17" t="n">
        <v>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8" t="n">
        <v>0</v>
      </c>
      <c r="AY54" s="16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8" t="n">
        <v>0</v>
      </c>
      <c r="BJ54" s="16" t="n">
        <v>12</v>
      </c>
      <c r="BK54" s="17" t="n">
        <v>0</v>
      </c>
      <c r="BL54" s="17" t="n">
        <v>0</v>
      </c>
      <c r="BM54" s="17" t="n">
        <v>12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8" t="n">
        <v>0</v>
      </c>
      <c r="BU54" s="17" t="inlineStr">
        <is>
          <t>Unclassified</t>
        </is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30</v>
      </c>
      <c r="N55" s="17" t="n">
        <v>0</v>
      </c>
      <c r="O55" s="17" t="n">
        <v>0</v>
      </c>
      <c r="P55" s="17" t="n">
        <v>0</v>
      </c>
      <c r="Q55" s="18" t="n">
        <v>0</v>
      </c>
      <c r="R55" s="16" t="n">
        <v>0.3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0.3</v>
      </c>
      <c r="Y55" s="17" t="n">
        <v>0</v>
      </c>
      <c r="Z55" s="17" t="n">
        <v>0</v>
      </c>
      <c r="AA55" s="17" t="n">
        <v>0</v>
      </c>
      <c r="AB55" s="18" t="n">
        <v>0</v>
      </c>
      <c r="AC55" s="16" t="n">
        <v>-0.3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-0.3</v>
      </c>
      <c r="AJ55" s="17" t="n">
        <v>0</v>
      </c>
      <c r="AK55" s="17" t="n">
        <v>0</v>
      </c>
      <c r="AL55" s="17" t="n">
        <v>0</v>
      </c>
      <c r="AM55" s="18" t="n">
        <v>0</v>
      </c>
      <c r="AN55" s="16" t="n">
        <v>2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8" t="n">
        <v>0</v>
      </c>
      <c r="AY55" s="16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8" t="n">
        <v>0</v>
      </c>
      <c r="BJ55" s="16" t="n">
        <v>2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8" t="n">
        <v>0</v>
      </c>
      <c r="BU55" s="17" t="inlineStr">
        <is>
          <t>Unclassified</t>
        </is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0</v>
      </c>
      <c r="J56" s="17" t="n">
        <v>120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8" t="n">
        <v>0</v>
      </c>
      <c r="R56" s="16" t="n">
        <v>4</v>
      </c>
      <c r="S56" s="17" t="n">
        <v>0</v>
      </c>
      <c r="T56" s="17" t="n">
        <v>0</v>
      </c>
      <c r="U56" s="17" t="n">
        <v>4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8" t="n">
        <v>0</v>
      </c>
      <c r="AC56" s="16" t="n">
        <v>2</v>
      </c>
      <c r="AD56" s="17" t="n">
        <v>6</v>
      </c>
      <c r="AE56" s="17" t="n">
        <v>6</v>
      </c>
      <c r="AF56" s="17" t="n">
        <v>2</v>
      </c>
      <c r="AG56" s="17" t="n">
        <v>6</v>
      </c>
      <c r="AH56" s="17" t="n">
        <v>6</v>
      </c>
      <c r="AI56" s="17" t="n">
        <v>6</v>
      </c>
      <c r="AJ56" s="17" t="n">
        <v>6</v>
      </c>
      <c r="AK56" s="17" t="n">
        <v>6</v>
      </c>
      <c r="AL56" s="17" t="n">
        <v>6</v>
      </c>
      <c r="AM56" s="18" t="n">
        <v>6</v>
      </c>
      <c r="AN56" s="16" t="n">
        <v>38</v>
      </c>
      <c r="AO56" s="17" t="n">
        <v>0</v>
      </c>
      <c r="AP56" s="17" t="n">
        <v>0</v>
      </c>
      <c r="AQ56" s="17" t="n">
        <v>37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8" t="n">
        <v>0</v>
      </c>
      <c r="AY56" s="16" t="n">
        <v>64</v>
      </c>
      <c r="AZ56" s="17" t="n">
        <v>0</v>
      </c>
      <c r="BA56" s="17" t="n">
        <v>0</v>
      </c>
      <c r="BB56" s="17" t="n">
        <v>64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8" t="n">
        <v>0</v>
      </c>
      <c r="BJ56" s="16" t="n">
        <v>-26</v>
      </c>
      <c r="BK56" s="17" t="n">
        <v>0</v>
      </c>
      <c r="BL56" s="17" t="n">
        <v>0</v>
      </c>
      <c r="BM56" s="17" t="n">
        <v>-27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8" t="n">
        <v>0</v>
      </c>
      <c r="BU56" s="17" t="inlineStr">
        <is>
          <t>Generic Drug</t>
        </is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8" t="n">
        <v>0</v>
      </c>
      <c r="R57" s="16" t="n">
        <v>3</v>
      </c>
      <c r="S57" s="17" t="n">
        <v>0</v>
      </c>
      <c r="T57" s="17" t="n">
        <v>0</v>
      </c>
      <c r="U57" s="17" t="n">
        <v>3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8" t="n">
        <v>0</v>
      </c>
      <c r="AC57" s="16" t="n">
        <v>-3</v>
      </c>
      <c r="AD57" s="17" t="n">
        <v>0</v>
      </c>
      <c r="AE57" s="17" t="n">
        <v>0</v>
      </c>
      <c r="AF57" s="17" t="n">
        <v>-3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8" t="n">
        <v>0</v>
      </c>
      <c r="AN57" s="16" t="n">
        <v>29</v>
      </c>
      <c r="AO57" s="17" t="n">
        <v>0</v>
      </c>
      <c r="AP57" s="17" t="n">
        <v>0</v>
      </c>
      <c r="AQ57" s="17" t="n">
        <v>29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8" t="n">
        <v>0</v>
      </c>
      <c r="AY57" s="16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8" t="n">
        <v>0</v>
      </c>
      <c r="BJ57" s="16" t="n">
        <v>29</v>
      </c>
      <c r="BK57" s="17" t="n">
        <v>0</v>
      </c>
      <c r="BL57" s="17" t="n">
        <v>0</v>
      </c>
      <c r="BM57" s="17" t="n">
        <v>29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8" t="n">
        <v>0</v>
      </c>
      <c r="BU57" s="17" t="inlineStr">
        <is>
          <t>Unclassified</t>
        </is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0</v>
      </c>
      <c r="J58" s="17" t="n">
        <v>90</v>
      </c>
      <c r="K58" s="17" t="n">
        <v>0</v>
      </c>
      <c r="L58" s="17" t="n">
        <v>0</v>
      </c>
      <c r="M58" s="17" t="n">
        <v>90</v>
      </c>
      <c r="N58" s="17" t="n">
        <v>0</v>
      </c>
      <c r="O58" s="17" t="n">
        <v>0</v>
      </c>
      <c r="P58" s="17" t="n">
        <v>0</v>
      </c>
      <c r="Q58" s="18" t="n">
        <v>0</v>
      </c>
      <c r="R58" s="16" t="n">
        <v>1.8</v>
      </c>
      <c r="S58" s="17" t="n">
        <v>0</v>
      </c>
      <c r="T58" s="17" t="n">
        <v>0</v>
      </c>
      <c r="U58" s="17" t="n">
        <v>0.9</v>
      </c>
      <c r="V58" s="17" t="n">
        <v>0</v>
      </c>
      <c r="W58" s="17" t="n">
        <v>0</v>
      </c>
      <c r="X58" s="17" t="n">
        <v>0.9</v>
      </c>
      <c r="Y58" s="17" t="n">
        <v>0</v>
      </c>
      <c r="Z58" s="17" t="n">
        <v>0</v>
      </c>
      <c r="AA58" s="17" t="n">
        <v>0</v>
      </c>
      <c r="AB58" s="18" t="n">
        <v>0</v>
      </c>
      <c r="AC58" s="16" t="n">
        <v>-1.8</v>
      </c>
      <c r="AD58" s="17" t="n">
        <v>0</v>
      </c>
      <c r="AE58" s="17" t="n">
        <v>0</v>
      </c>
      <c r="AF58" s="17" t="n">
        <v>-0.9</v>
      </c>
      <c r="AG58" s="17" t="n">
        <v>0</v>
      </c>
      <c r="AH58" s="17" t="n">
        <v>0</v>
      </c>
      <c r="AI58" s="17" t="n">
        <v>-0.9</v>
      </c>
      <c r="AJ58" s="17" t="n">
        <v>0</v>
      </c>
      <c r="AK58" s="17" t="n">
        <v>0</v>
      </c>
      <c r="AL58" s="17" t="n">
        <v>0</v>
      </c>
      <c r="AM58" s="18" t="n">
        <v>0</v>
      </c>
      <c r="AN58" s="16" t="n">
        <v>28</v>
      </c>
      <c r="AO58" s="17" t="n">
        <v>0</v>
      </c>
      <c r="AP58" s="17" t="n">
        <v>0</v>
      </c>
      <c r="AQ58" s="17" t="n">
        <v>12</v>
      </c>
      <c r="AR58" s="17" t="n">
        <v>0</v>
      </c>
      <c r="AS58" s="17" t="n">
        <v>0</v>
      </c>
      <c r="AT58" s="17" t="n">
        <v>16</v>
      </c>
      <c r="AU58" s="17" t="n">
        <v>0</v>
      </c>
      <c r="AV58" s="17" t="n">
        <v>0</v>
      </c>
      <c r="AW58" s="17" t="n">
        <v>0</v>
      </c>
      <c r="AX58" s="18" t="n">
        <v>0</v>
      </c>
      <c r="AY58" s="16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8" t="n">
        <v>0</v>
      </c>
      <c r="BJ58" s="16" t="n">
        <v>28</v>
      </c>
      <c r="BK58" s="17" t="n">
        <v>0</v>
      </c>
      <c r="BL58" s="17" t="n">
        <v>0</v>
      </c>
      <c r="BM58" s="17" t="n">
        <v>12</v>
      </c>
      <c r="BN58" s="17" t="n">
        <v>0</v>
      </c>
      <c r="BO58" s="17" t="n">
        <v>0</v>
      </c>
      <c r="BP58" s="17" t="n">
        <v>16</v>
      </c>
      <c r="BQ58" s="17" t="n">
        <v>0</v>
      </c>
      <c r="BR58" s="17" t="n">
        <v>0</v>
      </c>
      <c r="BS58" s="17" t="n">
        <v>0</v>
      </c>
      <c r="BT58" s="18" t="n">
        <v>0</v>
      </c>
      <c r="BU58" s="17" t="inlineStr">
        <is>
          <t>Unclassified</t>
        </is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8" t="n">
        <v>0</v>
      </c>
      <c r="R59" s="16" t="n">
        <v>0.3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0.3</v>
      </c>
      <c r="Y59" s="17" t="n">
        <v>0</v>
      </c>
      <c r="Z59" s="17" t="n">
        <v>0</v>
      </c>
      <c r="AA59" s="17" t="n">
        <v>0</v>
      </c>
      <c r="AB59" s="18" t="n">
        <v>0</v>
      </c>
      <c r="AC59" s="16" t="n">
        <v>-0.3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-0.3</v>
      </c>
      <c r="AJ59" s="17" t="n">
        <v>0</v>
      </c>
      <c r="AK59" s="17" t="n">
        <v>0</v>
      </c>
      <c r="AL59" s="17" t="n">
        <v>0</v>
      </c>
      <c r="AM59" s="18" t="n">
        <v>0</v>
      </c>
      <c r="AN59" s="16" t="n">
        <v>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6</v>
      </c>
      <c r="AU59" s="17" t="n">
        <v>0</v>
      </c>
      <c r="AV59" s="17" t="n">
        <v>0</v>
      </c>
      <c r="AW59" s="17" t="n">
        <v>0</v>
      </c>
      <c r="AX59" s="18" t="n">
        <v>0</v>
      </c>
      <c r="AY59" s="16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8" t="n">
        <v>0</v>
      </c>
      <c r="BJ59" s="16" t="n">
        <v>6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</v>
      </c>
      <c r="BQ59" s="17" t="n">
        <v>0</v>
      </c>
      <c r="BR59" s="17" t="n">
        <v>0</v>
      </c>
      <c r="BS59" s="17" t="n">
        <v>0</v>
      </c>
      <c r="BT59" s="18" t="n">
        <v>0</v>
      </c>
      <c r="BU59" s="17" t="inlineStr">
        <is>
          <t>Unclassified</t>
        </is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90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8" t="n">
        <v>0</v>
      </c>
      <c r="R60" s="16" t="n">
        <v>0.9</v>
      </c>
      <c r="S60" s="17" t="n">
        <v>0</v>
      </c>
      <c r="T60" s="17" t="n">
        <v>0</v>
      </c>
      <c r="U60" s="17" t="n">
        <v>0.9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8" t="n">
        <v>0</v>
      </c>
      <c r="AC60" s="16" t="n">
        <v>-0.9</v>
      </c>
      <c r="AD60" s="17" t="n">
        <v>0</v>
      </c>
      <c r="AE60" s="17" t="n">
        <v>0</v>
      </c>
      <c r="AF60" s="17" t="n">
        <v>-0.9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8" t="n">
        <v>0</v>
      </c>
      <c r="AN60" s="16" t="n">
        <v>12</v>
      </c>
      <c r="AO60" s="17" t="n">
        <v>0</v>
      </c>
      <c r="AP60" s="17" t="n">
        <v>0</v>
      </c>
      <c r="AQ60" s="17" t="n">
        <v>12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8" t="n">
        <v>0</v>
      </c>
      <c r="AY60" s="16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8" t="n">
        <v>0</v>
      </c>
      <c r="BJ60" s="16" t="n">
        <v>12</v>
      </c>
      <c r="BK60" s="17" t="n">
        <v>0</v>
      </c>
      <c r="BL60" s="17" t="n">
        <v>0</v>
      </c>
      <c r="BM60" s="17" t="n">
        <v>12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8" t="n">
        <v>0</v>
      </c>
      <c r="BU60" s="17" t="inlineStr">
        <is>
          <t>Unclassified</t>
        </is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0</v>
      </c>
      <c r="J61" s="17" t="n">
        <v>120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8" t="n">
        <v>0</v>
      </c>
      <c r="R61" s="16" t="n">
        <v>4</v>
      </c>
      <c r="S61" s="17" t="n">
        <v>0</v>
      </c>
      <c r="T61" s="17" t="n">
        <v>0</v>
      </c>
      <c r="U61" s="17" t="n">
        <v>4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8" t="n">
        <v>0</v>
      </c>
      <c r="AC61" s="16" t="n">
        <v>-4</v>
      </c>
      <c r="AD61" s="17" t="n">
        <v>0</v>
      </c>
      <c r="AE61" s="17" t="n">
        <v>0</v>
      </c>
      <c r="AF61" s="17" t="n">
        <v>-4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8" t="n">
        <v>0</v>
      </c>
      <c r="AN61" s="16" t="n">
        <v>17</v>
      </c>
      <c r="AO61" s="17" t="n">
        <v>0</v>
      </c>
      <c r="AP61" s="17" t="n">
        <v>0</v>
      </c>
      <c r="AQ61" s="17" t="n">
        <v>17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8" t="n">
        <v>0</v>
      </c>
      <c r="AY61" s="16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8" t="n">
        <v>0</v>
      </c>
      <c r="BJ61" s="16" t="n">
        <v>17</v>
      </c>
      <c r="BK61" s="17" t="n">
        <v>0</v>
      </c>
      <c r="BL61" s="17" t="n">
        <v>0</v>
      </c>
      <c r="BM61" s="17" t="n">
        <v>17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8" t="n">
        <v>0</v>
      </c>
      <c r="BU61" s="17" t="inlineStr">
        <is>
          <t>Unclassified</t>
        </is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0</v>
      </c>
      <c r="J62" s="17" t="n">
        <v>90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8" t="n">
        <v>0</v>
      </c>
      <c r="R62" s="16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8" t="n">
        <v>0</v>
      </c>
      <c r="AC62" s="16" t="n">
        <v>-1</v>
      </c>
      <c r="AD62" s="17" t="n">
        <v>0</v>
      </c>
      <c r="AE62" s="17" t="n">
        <v>0</v>
      </c>
      <c r="AF62" s="17" t="n">
        <v>-1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8" t="n">
        <v>0</v>
      </c>
      <c r="AN62" s="16" t="n">
        <v>13</v>
      </c>
      <c r="AO62" s="17" t="n">
        <v>0</v>
      </c>
      <c r="AP62" s="17" t="n">
        <v>0</v>
      </c>
      <c r="AQ62" s="17" t="n">
        <v>13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8" t="n">
        <v>0</v>
      </c>
      <c r="AY62" s="16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8" t="n">
        <v>0</v>
      </c>
      <c r="BJ62" s="16" t="n">
        <v>13</v>
      </c>
      <c r="BK62" s="17" t="n">
        <v>0</v>
      </c>
      <c r="BL62" s="17" t="n">
        <v>0</v>
      </c>
      <c r="BM62" s="17" t="n">
        <v>13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8" t="n">
        <v>0</v>
      </c>
      <c r="BU62" s="17" t="inlineStr">
        <is>
          <t>Unclassified</t>
        </is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90</v>
      </c>
      <c r="O63" s="17" t="n">
        <v>0</v>
      </c>
      <c r="P63" s="17" t="n">
        <v>0</v>
      </c>
      <c r="Q63" s="18" t="n">
        <v>0</v>
      </c>
      <c r="R63" s="16" t="n">
        <v>3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3</v>
      </c>
      <c r="Z63" s="17" t="n">
        <v>0</v>
      </c>
      <c r="AA63" s="17" t="n">
        <v>0</v>
      </c>
      <c r="AB63" s="18" t="n">
        <v>0</v>
      </c>
      <c r="AC63" s="16" t="n">
        <v>0</v>
      </c>
      <c r="AD63" s="17" t="n">
        <v>3</v>
      </c>
      <c r="AE63" s="17" t="n">
        <v>3</v>
      </c>
      <c r="AF63" s="17" t="n">
        <v>3</v>
      </c>
      <c r="AG63" s="17" t="n">
        <v>3</v>
      </c>
      <c r="AH63" s="17" t="n">
        <v>3</v>
      </c>
      <c r="AI63" s="17" t="n">
        <v>3</v>
      </c>
      <c r="AJ63" s="17" t="n">
        <v>0</v>
      </c>
      <c r="AK63" s="17" t="n">
        <v>3</v>
      </c>
      <c r="AL63" s="17" t="n">
        <v>3</v>
      </c>
      <c r="AM63" s="18" t="n">
        <v>3</v>
      </c>
      <c r="AN63" s="16" t="n">
        <v>398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398</v>
      </c>
      <c r="AV63" s="17" t="n">
        <v>0</v>
      </c>
      <c r="AW63" s="17" t="n">
        <v>0</v>
      </c>
      <c r="AX63" s="18" t="n">
        <v>0</v>
      </c>
      <c r="AY63" s="16" t="n">
        <v>318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318</v>
      </c>
      <c r="BG63" s="17" t="n">
        <v>0</v>
      </c>
      <c r="BH63" s="17" t="n">
        <v>0</v>
      </c>
      <c r="BI63" s="18" t="n">
        <v>0</v>
      </c>
      <c r="BJ63" s="16" t="n">
        <v>80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80</v>
      </c>
      <c r="BR63" s="17" t="n">
        <v>0</v>
      </c>
      <c r="BS63" s="17" t="n">
        <v>0</v>
      </c>
      <c r="BT63" s="18" t="n">
        <v>0</v>
      </c>
      <c r="BU63" s="17" t="inlineStr">
        <is>
          <t>Generic Drug</t>
        </is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30</v>
      </c>
      <c r="Q64" s="18" t="n">
        <v>0</v>
      </c>
      <c r="R64" s="16" t="n">
        <v>1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1</v>
      </c>
      <c r="AB64" s="18" t="n">
        <v>0</v>
      </c>
      <c r="AC64" s="16" t="n">
        <v>-1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-1</v>
      </c>
      <c r="AM64" s="18" t="n">
        <v>0</v>
      </c>
      <c r="AN64" s="16" t="n">
        <v>187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181</v>
      </c>
      <c r="AX64" s="18" t="n">
        <v>0</v>
      </c>
      <c r="AY64" s="16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8" t="n">
        <v>0</v>
      </c>
      <c r="BJ64" s="16" t="n">
        <v>187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181</v>
      </c>
      <c r="BT64" s="18" t="n">
        <v>0</v>
      </c>
      <c r="BU64" s="17" t="inlineStr">
        <is>
          <t>Unclassified</t>
        </is>
      </c>
    </row>
    <row r="65" ht="20" customHeight="1">
      <c r="A65" s="15" t="inlineStr">
        <is>
          <t>51672130100</t>
        </is>
      </c>
      <c r="B65" s="15" t="inlineStr">
        <is>
          <t>AMMONIUM LACTATE 12 % EXTERNAL CREAM</t>
        </is>
      </c>
      <c r="C65" s="16" t="n">
        <v>385</v>
      </c>
      <c r="D65" s="16" t="n">
        <v>0</v>
      </c>
      <c r="E65" s="16" t="n">
        <v>0</v>
      </c>
      <c r="F65" s="16" t="n">
        <v>0</v>
      </c>
      <c r="G65" s="16" t="n">
        <v>5005</v>
      </c>
      <c r="H65" s="17" t="n">
        <v>0</v>
      </c>
      <c r="I65" s="17" t="n">
        <v>0</v>
      </c>
      <c r="J65" s="17" t="n">
        <v>3850</v>
      </c>
      <c r="K65" s="17" t="n">
        <v>770</v>
      </c>
      <c r="L65" s="17" t="n">
        <v>0</v>
      </c>
      <c r="M65" s="17" t="n">
        <v>385</v>
      </c>
      <c r="N65" s="17" t="n">
        <v>0</v>
      </c>
      <c r="O65" s="17" t="n">
        <v>0</v>
      </c>
      <c r="P65" s="17" t="n">
        <v>0</v>
      </c>
      <c r="Q65" s="18" t="n">
        <v>0</v>
      </c>
      <c r="R65" s="16" t="n">
        <v>13</v>
      </c>
      <c r="S65" s="17" t="n">
        <v>0</v>
      </c>
      <c r="T65" s="17" t="n">
        <v>0</v>
      </c>
      <c r="U65" s="17" t="n">
        <v>10</v>
      </c>
      <c r="V65" s="17" t="n">
        <v>2</v>
      </c>
      <c r="W65" s="17" t="n">
        <v>0</v>
      </c>
      <c r="X65" s="17" t="n">
        <v>1</v>
      </c>
      <c r="Y65" s="17" t="n">
        <v>0</v>
      </c>
      <c r="Z65" s="17" t="n">
        <v>0</v>
      </c>
      <c r="AA65" s="17" t="n">
        <v>0</v>
      </c>
      <c r="AB65" s="18" t="n">
        <v>0</v>
      </c>
      <c r="AC65" s="16" t="n">
        <v>-13</v>
      </c>
      <c r="AD65" s="17" t="n">
        <v>0</v>
      </c>
      <c r="AE65" s="17" t="n">
        <v>0</v>
      </c>
      <c r="AF65" s="17" t="n">
        <v>-10</v>
      </c>
      <c r="AG65" s="17" t="n">
        <v>-2</v>
      </c>
      <c r="AH65" s="17" t="n">
        <v>0</v>
      </c>
      <c r="AI65" s="17" t="n">
        <v>-1</v>
      </c>
      <c r="AJ65" s="17" t="n">
        <v>0</v>
      </c>
      <c r="AK65" s="17" t="n">
        <v>0</v>
      </c>
      <c r="AL65" s="17" t="n">
        <v>0</v>
      </c>
      <c r="AM65" s="18" t="n">
        <v>0</v>
      </c>
      <c r="AN65" s="16" t="n">
        <v>327</v>
      </c>
      <c r="AO65" s="17" t="n">
        <v>0</v>
      </c>
      <c r="AP65" s="17" t="n">
        <v>0</v>
      </c>
      <c r="AQ65" s="17" t="n">
        <v>240</v>
      </c>
      <c r="AR65" s="17" t="n">
        <v>49</v>
      </c>
      <c r="AS65" s="17" t="n">
        <v>0</v>
      </c>
      <c r="AT65" s="17" t="n">
        <v>26</v>
      </c>
      <c r="AU65" s="17" t="n">
        <v>0</v>
      </c>
      <c r="AV65" s="17" t="n">
        <v>0</v>
      </c>
      <c r="AW65" s="17" t="n">
        <v>0</v>
      </c>
      <c r="AX65" s="18" t="n">
        <v>0</v>
      </c>
      <c r="AY65" s="16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8" t="n">
        <v>0</v>
      </c>
      <c r="BJ65" s="16" t="n">
        <v>327</v>
      </c>
      <c r="BK65" s="17" t="n">
        <v>0</v>
      </c>
      <c r="BL65" s="17" t="n">
        <v>0</v>
      </c>
      <c r="BM65" s="17" t="n">
        <v>240</v>
      </c>
      <c r="BN65" s="17" t="n">
        <v>49</v>
      </c>
      <c r="BO65" s="17" t="n">
        <v>0</v>
      </c>
      <c r="BP65" s="17" t="n">
        <v>26</v>
      </c>
      <c r="BQ65" s="17" t="n">
        <v>0</v>
      </c>
      <c r="BR65" s="17" t="n">
        <v>0</v>
      </c>
      <c r="BS65" s="17" t="n">
        <v>0</v>
      </c>
      <c r="BT65" s="18" t="n">
        <v>0</v>
      </c>
      <c r="BU65" s="17" t="inlineStr">
        <is>
          <t>Unclassified</t>
        </is>
      </c>
    </row>
    <row r="66" ht="20" customHeight="1">
      <c r="A66" s="15" t="inlineStr">
        <is>
          <t>51672130104</t>
        </is>
      </c>
      <c r="B66" s="15" t="inlineStr">
        <is>
          <t>AMMONIUM LACTATE 12 % EXTERNAL CREAM</t>
        </is>
      </c>
      <c r="C66" s="16" t="n">
        <v>280</v>
      </c>
      <c r="D66" s="16" t="n">
        <v>8</v>
      </c>
      <c r="E66" s="16" t="n">
        <v>8</v>
      </c>
      <c r="F66" s="16" t="n">
        <v>17</v>
      </c>
      <c r="G66" s="16" t="n">
        <v>1820</v>
      </c>
      <c r="H66" s="17" t="n">
        <v>0</v>
      </c>
      <c r="I66" s="17" t="n">
        <v>0</v>
      </c>
      <c r="J66" s="17" t="n">
        <v>1680</v>
      </c>
      <c r="K66" s="17" t="n">
        <v>140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8" t="n">
        <v>0</v>
      </c>
      <c r="R66" s="16" t="n">
        <v>6.5</v>
      </c>
      <c r="S66" s="17" t="n">
        <v>0</v>
      </c>
      <c r="T66" s="17" t="n">
        <v>0</v>
      </c>
      <c r="U66" s="17" t="n">
        <v>6</v>
      </c>
      <c r="V66" s="17" t="n">
        <v>0.5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8" t="n">
        <v>0</v>
      </c>
      <c r="AC66" s="16" t="n">
        <v>1.5</v>
      </c>
      <c r="AD66" s="17" t="n">
        <v>8</v>
      </c>
      <c r="AE66" s="17" t="n">
        <v>8</v>
      </c>
      <c r="AF66" s="17" t="n">
        <v>2</v>
      </c>
      <c r="AG66" s="17" t="n">
        <v>7.5</v>
      </c>
      <c r="AH66" s="17" t="n">
        <v>8</v>
      </c>
      <c r="AI66" s="17" t="n">
        <v>8</v>
      </c>
      <c r="AJ66" s="17" t="n">
        <v>8</v>
      </c>
      <c r="AK66" s="17" t="n">
        <v>8</v>
      </c>
      <c r="AL66" s="17" t="n">
        <v>8</v>
      </c>
      <c r="AM66" s="18" t="n">
        <v>8</v>
      </c>
      <c r="AN66" s="16" t="n">
        <v>117</v>
      </c>
      <c r="AO66" s="17" t="n">
        <v>0</v>
      </c>
      <c r="AP66" s="17" t="n">
        <v>0</v>
      </c>
      <c r="AQ66" s="17" t="n">
        <v>95</v>
      </c>
      <c r="AR66" s="17" t="n">
        <v>10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8" t="n">
        <v>0</v>
      </c>
      <c r="AY66" s="16" t="n">
        <v>110</v>
      </c>
      <c r="AZ66" s="17" t="n">
        <v>0</v>
      </c>
      <c r="BA66" s="17" t="n">
        <v>0</v>
      </c>
      <c r="BB66" s="17" t="n">
        <v>102</v>
      </c>
      <c r="BC66" s="17" t="n">
        <v>8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8" t="n">
        <v>0</v>
      </c>
      <c r="BJ66" s="16" t="n">
        <v>6</v>
      </c>
      <c r="BK66" s="17" t="n">
        <v>0</v>
      </c>
      <c r="BL66" s="17" t="n">
        <v>0</v>
      </c>
      <c r="BM66" s="17" t="n">
        <v>-7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8" t="n">
        <v>0</v>
      </c>
      <c r="BU66" s="17" t="inlineStr">
        <is>
          <t>Generic Drug</t>
        </is>
      </c>
    </row>
    <row r="67" ht="20" customHeight="1">
      <c r="A67" s="15" t="inlineStr">
        <is>
          <t>51672130005</t>
        </is>
      </c>
      <c r="B67" s="15" t="inlineStr">
        <is>
          <t>AMMONIUM LACTATE 12 % EXTERNAL LOTION</t>
        </is>
      </c>
      <c r="C67" s="16" t="n">
        <v>225</v>
      </c>
      <c r="D67" s="16" t="n">
        <v>0</v>
      </c>
      <c r="E67" s="16" t="n">
        <v>0</v>
      </c>
      <c r="F67" s="16" t="n">
        <v>0</v>
      </c>
      <c r="G67" s="16" t="n">
        <v>1300</v>
      </c>
      <c r="H67" s="17" t="n">
        <v>0</v>
      </c>
      <c r="I67" s="17" t="n">
        <v>0</v>
      </c>
      <c r="J67" s="17" t="n">
        <v>850</v>
      </c>
      <c r="K67" s="17" t="n">
        <v>450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8" t="n">
        <v>0</v>
      </c>
      <c r="R67" s="16" t="n">
        <v>5.778</v>
      </c>
      <c r="S67" s="17" t="n">
        <v>0</v>
      </c>
      <c r="T67" s="17" t="n">
        <v>0</v>
      </c>
      <c r="U67" s="17" t="n">
        <v>3.778</v>
      </c>
      <c r="V67" s="17" t="n">
        <v>2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8" t="n">
        <v>0</v>
      </c>
      <c r="AC67" s="16" t="n">
        <v>-5.778</v>
      </c>
      <c r="AD67" s="17" t="n">
        <v>0</v>
      </c>
      <c r="AE67" s="17" t="n">
        <v>0</v>
      </c>
      <c r="AF67" s="17" t="n">
        <v>-3.778</v>
      </c>
      <c r="AG67" s="17" t="n">
        <v>-2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8" t="n">
        <v>0</v>
      </c>
      <c r="AN67" s="16" t="n">
        <v>58</v>
      </c>
      <c r="AO67" s="17" t="n">
        <v>0</v>
      </c>
      <c r="AP67" s="17" t="n">
        <v>0</v>
      </c>
      <c r="AQ67" s="17" t="n">
        <v>25</v>
      </c>
      <c r="AR67" s="17" t="n">
        <v>34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8" t="n">
        <v>0</v>
      </c>
      <c r="AY67" s="16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8" t="n">
        <v>0</v>
      </c>
      <c r="BJ67" s="16" t="n">
        <v>58</v>
      </c>
      <c r="BK67" s="17" t="n">
        <v>0</v>
      </c>
      <c r="BL67" s="17" t="n">
        <v>0</v>
      </c>
      <c r="BM67" s="17" t="n">
        <v>25</v>
      </c>
      <c r="BN67" s="17" t="n">
        <v>34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8" t="n">
        <v>0</v>
      </c>
      <c r="BU67" s="17" t="inlineStr">
        <is>
          <t>Unclassified</t>
        </is>
      </c>
    </row>
    <row r="68" ht="20" customHeight="1">
      <c r="A68" s="15" t="inlineStr">
        <is>
          <t>51672130009</t>
        </is>
      </c>
      <c r="B68" s="15" t="inlineStr">
        <is>
          <t>AMMONIUM LACTATE 12 % EXTERNAL LOTION</t>
        </is>
      </c>
      <c r="C68" s="16" t="n">
        <v>400</v>
      </c>
      <c r="D68" s="16" t="n">
        <v>0</v>
      </c>
      <c r="E68" s="16" t="n">
        <v>0</v>
      </c>
      <c r="F68" s="16" t="n">
        <v>0</v>
      </c>
      <c r="G68" s="16" t="n">
        <v>3200</v>
      </c>
      <c r="H68" s="17" t="n">
        <v>0</v>
      </c>
      <c r="I68" s="17" t="n">
        <v>0</v>
      </c>
      <c r="J68" s="17" t="n">
        <v>1600</v>
      </c>
      <c r="K68" s="17" t="n">
        <v>1200</v>
      </c>
      <c r="L68" s="17" t="n">
        <v>0</v>
      </c>
      <c r="M68" s="17" t="n">
        <v>400</v>
      </c>
      <c r="N68" s="17" t="n">
        <v>0</v>
      </c>
      <c r="O68" s="17" t="n">
        <v>0</v>
      </c>
      <c r="P68" s="17" t="n">
        <v>0</v>
      </c>
      <c r="Q68" s="18" t="n">
        <v>0</v>
      </c>
      <c r="R68" s="16" t="n">
        <v>8</v>
      </c>
      <c r="S68" s="17" t="n">
        <v>0</v>
      </c>
      <c r="T68" s="17" t="n">
        <v>0</v>
      </c>
      <c r="U68" s="17" t="n">
        <v>4</v>
      </c>
      <c r="V68" s="17" t="n">
        <v>3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0</v>
      </c>
      <c r="AB68" s="18" t="n">
        <v>0</v>
      </c>
      <c r="AC68" s="16" t="n">
        <v>-8</v>
      </c>
      <c r="AD68" s="17" t="n">
        <v>0</v>
      </c>
      <c r="AE68" s="17" t="n">
        <v>0</v>
      </c>
      <c r="AF68" s="17" t="n">
        <v>-4</v>
      </c>
      <c r="AG68" s="17" t="n">
        <v>-3</v>
      </c>
      <c r="AH68" s="17" t="n">
        <v>0</v>
      </c>
      <c r="AI68" s="17" t="n">
        <v>-1</v>
      </c>
      <c r="AJ68" s="17" t="n">
        <v>0</v>
      </c>
      <c r="AK68" s="17" t="n">
        <v>0</v>
      </c>
      <c r="AL68" s="17" t="n">
        <v>0</v>
      </c>
      <c r="AM68" s="18" t="n">
        <v>0</v>
      </c>
      <c r="AN68" s="16" t="n">
        <v>163</v>
      </c>
      <c r="AO68" s="17" t="n">
        <v>0</v>
      </c>
      <c r="AP68" s="17" t="n">
        <v>0</v>
      </c>
      <c r="AQ68" s="17" t="n">
        <v>44</v>
      </c>
      <c r="AR68" s="17" t="n">
        <v>80</v>
      </c>
      <c r="AS68" s="17" t="n">
        <v>0</v>
      </c>
      <c r="AT68" s="17" t="n">
        <v>27</v>
      </c>
      <c r="AU68" s="17" t="n">
        <v>0</v>
      </c>
      <c r="AV68" s="17" t="n">
        <v>0</v>
      </c>
      <c r="AW68" s="17" t="n">
        <v>0</v>
      </c>
      <c r="AX68" s="18" t="n">
        <v>0</v>
      </c>
      <c r="AY68" s="16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8" t="n">
        <v>0</v>
      </c>
      <c r="BJ68" s="16" t="n">
        <v>163</v>
      </c>
      <c r="BK68" s="17" t="n">
        <v>0</v>
      </c>
      <c r="BL68" s="17" t="n">
        <v>0</v>
      </c>
      <c r="BM68" s="17" t="n">
        <v>44</v>
      </c>
      <c r="BN68" s="17" t="n">
        <v>80</v>
      </c>
      <c r="BO68" s="17" t="n">
        <v>0</v>
      </c>
      <c r="BP68" s="17" t="n">
        <v>27</v>
      </c>
      <c r="BQ68" s="17" t="n">
        <v>0</v>
      </c>
      <c r="BR68" s="17" t="n">
        <v>0</v>
      </c>
      <c r="BS68" s="17" t="n">
        <v>0</v>
      </c>
      <c r="BT68" s="18" t="n">
        <v>0</v>
      </c>
      <c r="BU68" s="17" t="inlineStr">
        <is>
          <t>Unclassified</t>
        </is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0</v>
      </c>
      <c r="K69" s="17" t="n">
        <v>770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8" t="n">
        <v>0</v>
      </c>
      <c r="R69" s="16" t="n">
        <v>2</v>
      </c>
      <c r="S69" s="17" t="n">
        <v>0</v>
      </c>
      <c r="T69" s="17" t="n">
        <v>0</v>
      </c>
      <c r="U69" s="17" t="n">
        <v>0</v>
      </c>
      <c r="V69" s="17" t="n">
        <v>2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8" t="n">
        <v>0</v>
      </c>
      <c r="AC69" s="16" t="n">
        <v>-2</v>
      </c>
      <c r="AD69" s="17" t="n">
        <v>0</v>
      </c>
      <c r="AE69" s="17" t="n">
        <v>0</v>
      </c>
      <c r="AF69" s="17" t="n">
        <v>0</v>
      </c>
      <c r="AG69" s="17" t="n">
        <v>-2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8" t="n">
        <v>0</v>
      </c>
      <c r="AN69" s="16" t="n">
        <v>43</v>
      </c>
      <c r="AO69" s="17" t="n">
        <v>0</v>
      </c>
      <c r="AP69" s="17" t="n">
        <v>0</v>
      </c>
      <c r="AQ69" s="17" t="n">
        <v>0</v>
      </c>
      <c r="AR69" s="17" t="n">
        <v>41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8" t="n">
        <v>0</v>
      </c>
      <c r="AY69" s="16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8" t="n">
        <v>0</v>
      </c>
      <c r="BJ69" s="16" t="n">
        <v>43</v>
      </c>
      <c r="BK69" s="17" t="n">
        <v>0</v>
      </c>
      <c r="BL69" s="17" t="n">
        <v>0</v>
      </c>
      <c r="BM69" s="17" t="n">
        <v>0</v>
      </c>
      <c r="BN69" s="17" t="n">
        <v>41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8" t="n">
        <v>0</v>
      </c>
      <c r="BU69" s="17" t="inlineStr">
        <is>
          <t>Unclassified</t>
        </is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0</v>
      </c>
      <c r="J70" s="17" t="n">
        <v>105</v>
      </c>
      <c r="K70" s="17" t="n">
        <v>0</v>
      </c>
      <c r="L70" s="17" t="n">
        <v>0</v>
      </c>
      <c r="M70" s="17" t="n">
        <v>0</v>
      </c>
      <c r="N70" s="17" t="n">
        <v>42</v>
      </c>
      <c r="O70" s="17" t="n">
        <v>0</v>
      </c>
      <c r="P70" s="17" t="n">
        <v>0</v>
      </c>
      <c r="Q70" s="18" t="n">
        <v>0</v>
      </c>
      <c r="R70" s="16" t="n">
        <v>0.294</v>
      </c>
      <c r="S70" s="17" t="n">
        <v>0</v>
      </c>
      <c r="T70" s="17" t="n">
        <v>0</v>
      </c>
      <c r="U70" s="17" t="n">
        <v>0.21</v>
      </c>
      <c r="V70" s="17" t="n">
        <v>0</v>
      </c>
      <c r="W70" s="17" t="n">
        <v>0</v>
      </c>
      <c r="X70" s="17" t="n">
        <v>0</v>
      </c>
      <c r="Y70" s="17" t="n">
        <v>0.08400000000000001</v>
      </c>
      <c r="Z70" s="17" t="n">
        <v>0</v>
      </c>
      <c r="AA70" s="17" t="n">
        <v>0</v>
      </c>
      <c r="AB70" s="18" t="n">
        <v>0</v>
      </c>
      <c r="AC70" s="16" t="n">
        <v>-0.294</v>
      </c>
      <c r="AD70" s="17" t="n">
        <v>0</v>
      </c>
      <c r="AE70" s="17" t="n">
        <v>0</v>
      </c>
      <c r="AF70" s="17" t="n">
        <v>-0.21</v>
      </c>
      <c r="AG70" s="17" t="n">
        <v>0</v>
      </c>
      <c r="AH70" s="17" t="n">
        <v>0</v>
      </c>
      <c r="AI70" s="17" t="n">
        <v>0</v>
      </c>
      <c r="AJ70" s="17" t="n">
        <v>-0.08400000000000001</v>
      </c>
      <c r="AK70" s="17" t="n">
        <v>0</v>
      </c>
      <c r="AL70" s="17" t="n">
        <v>0</v>
      </c>
      <c r="AM70" s="18" t="n">
        <v>0</v>
      </c>
      <c r="AN70" s="16" t="n">
        <v>29</v>
      </c>
      <c r="AO70" s="17" t="n">
        <v>0</v>
      </c>
      <c r="AP70" s="17" t="n">
        <v>0</v>
      </c>
      <c r="AQ70" s="17" t="n">
        <v>4</v>
      </c>
      <c r="AR70" s="17" t="n">
        <v>0</v>
      </c>
      <c r="AS70" s="17" t="n">
        <v>0</v>
      </c>
      <c r="AT70" s="17" t="n">
        <v>0</v>
      </c>
      <c r="AU70" s="17" t="n">
        <v>24</v>
      </c>
      <c r="AV70" s="17" t="n">
        <v>0</v>
      </c>
      <c r="AW70" s="17" t="n">
        <v>0</v>
      </c>
      <c r="AX70" s="18" t="n">
        <v>0</v>
      </c>
      <c r="AY70" s="16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8" t="n">
        <v>0</v>
      </c>
      <c r="BJ70" s="16" t="n">
        <v>29</v>
      </c>
      <c r="BK70" s="17" t="n">
        <v>0</v>
      </c>
      <c r="BL70" s="17" t="n">
        <v>0</v>
      </c>
      <c r="BM70" s="17" t="n">
        <v>4</v>
      </c>
      <c r="BN70" s="17" t="n">
        <v>0</v>
      </c>
      <c r="BO70" s="17" t="n">
        <v>0</v>
      </c>
      <c r="BP70" s="17" t="n">
        <v>0</v>
      </c>
      <c r="BQ70" s="17" t="n">
        <v>24</v>
      </c>
      <c r="BR70" s="17" t="n">
        <v>0</v>
      </c>
      <c r="BS70" s="17" t="n">
        <v>0</v>
      </c>
      <c r="BT70" s="18" t="n">
        <v>0</v>
      </c>
      <c r="BU70" s="17" t="inlineStr">
        <is>
          <t>Unclassified</t>
        </is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21</v>
      </c>
      <c r="O71" s="17" t="n">
        <v>0</v>
      </c>
      <c r="P71" s="17" t="n">
        <v>0</v>
      </c>
      <c r="Q71" s="18" t="n">
        <v>0</v>
      </c>
      <c r="R71" s="16" t="n">
        <v>0.21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0.21</v>
      </c>
      <c r="Z71" s="17" t="n">
        <v>0</v>
      </c>
      <c r="AA71" s="17" t="n">
        <v>0</v>
      </c>
      <c r="AB71" s="18" t="n">
        <v>0</v>
      </c>
      <c r="AC71" s="16" t="n">
        <v>-0.21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-0.21</v>
      </c>
      <c r="AK71" s="17" t="n">
        <v>0</v>
      </c>
      <c r="AL71" s="17" t="n">
        <v>0</v>
      </c>
      <c r="AM71" s="18" t="n">
        <v>0</v>
      </c>
      <c r="AN71" s="16" t="n">
        <v>12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12</v>
      </c>
      <c r="AV71" s="17" t="n">
        <v>0</v>
      </c>
      <c r="AW71" s="17" t="n">
        <v>0</v>
      </c>
      <c r="AX71" s="18" t="n">
        <v>0</v>
      </c>
      <c r="AY71" s="16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8" t="n">
        <v>0</v>
      </c>
      <c r="BJ71" s="16" t="n">
        <v>12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12</v>
      </c>
      <c r="BR71" s="17" t="n">
        <v>0</v>
      </c>
      <c r="BS71" s="17" t="n">
        <v>0</v>
      </c>
      <c r="BT71" s="18" t="n">
        <v>0</v>
      </c>
      <c r="BU71" s="17" t="inlineStr">
        <is>
          <t>Unclassified</t>
        </is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20</v>
      </c>
      <c r="O72" s="17" t="n">
        <v>0</v>
      </c>
      <c r="P72" s="17" t="n">
        <v>0</v>
      </c>
      <c r="Q72" s="18" t="n">
        <v>0</v>
      </c>
      <c r="R72" s="16" t="n">
        <v>1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1</v>
      </c>
      <c r="Z72" s="17" t="n">
        <v>0</v>
      </c>
      <c r="AA72" s="17" t="n">
        <v>0</v>
      </c>
      <c r="AB72" s="18" t="n">
        <v>0</v>
      </c>
      <c r="AC72" s="16" t="n">
        <v>4</v>
      </c>
      <c r="AD72" s="17" t="n">
        <v>5</v>
      </c>
      <c r="AE72" s="17" t="n">
        <v>5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4</v>
      </c>
      <c r="AK72" s="17" t="n">
        <v>5</v>
      </c>
      <c r="AL72" s="17" t="n">
        <v>5</v>
      </c>
      <c r="AM72" s="18" t="n">
        <v>5</v>
      </c>
      <c r="AN72" s="16" t="n">
        <v>16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16</v>
      </c>
      <c r="AV72" s="17" t="n">
        <v>0</v>
      </c>
      <c r="AW72" s="17" t="n">
        <v>0</v>
      </c>
      <c r="AX72" s="18" t="n">
        <v>0</v>
      </c>
      <c r="AY72" s="16" t="n">
        <v>5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5</v>
      </c>
      <c r="BG72" s="17" t="n">
        <v>0</v>
      </c>
      <c r="BH72" s="17" t="n">
        <v>0</v>
      </c>
      <c r="BI72" s="18" t="n">
        <v>0</v>
      </c>
      <c r="BJ72" s="16" t="n">
        <v>11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11</v>
      </c>
      <c r="BR72" s="17" t="n">
        <v>0</v>
      </c>
      <c r="BS72" s="17" t="n">
        <v>0</v>
      </c>
      <c r="BT72" s="18" t="n">
        <v>0</v>
      </c>
      <c r="BU72" s="17" t="inlineStr">
        <is>
          <t>Generic Drug</t>
        </is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0</v>
      </c>
      <c r="J73" s="17" t="n">
        <v>14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</v>
      </c>
      <c r="R73" s="16" t="n">
        <v>0.14</v>
      </c>
      <c r="S73" s="17" t="n">
        <v>0</v>
      </c>
      <c r="T73" s="17" t="n">
        <v>0</v>
      </c>
      <c r="U73" s="17" t="n">
        <v>0.14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8" t="n">
        <v>0</v>
      </c>
      <c r="AC73" s="16" t="n">
        <v>-0.14</v>
      </c>
      <c r="AD73" s="17" t="n">
        <v>0</v>
      </c>
      <c r="AE73" s="17" t="n">
        <v>0</v>
      </c>
      <c r="AF73" s="17" t="n">
        <v>-0.14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8" t="n">
        <v>0</v>
      </c>
      <c r="AN73" s="16" t="n">
        <v>2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8" t="n">
        <v>0</v>
      </c>
      <c r="AY73" s="16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8" t="n">
        <v>0</v>
      </c>
      <c r="BJ73" s="16" t="n">
        <v>2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8" t="n">
        <v>0</v>
      </c>
      <c r="BU73" s="17" t="inlineStr">
        <is>
          <t>Unclassified</t>
        </is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0</v>
      </c>
      <c r="J74" s="17" t="n">
        <v>14</v>
      </c>
      <c r="K74" s="17" t="n">
        <v>14</v>
      </c>
      <c r="L74" s="17" t="n">
        <v>0</v>
      </c>
      <c r="M74" s="17" t="n">
        <v>0</v>
      </c>
      <c r="N74" s="17" t="n">
        <v>34</v>
      </c>
      <c r="O74" s="17" t="n">
        <v>0</v>
      </c>
      <c r="P74" s="17" t="n">
        <v>0</v>
      </c>
      <c r="Q74" s="18" t="n">
        <v>0</v>
      </c>
      <c r="R74" s="16" t="n">
        <v>3.1</v>
      </c>
      <c r="S74" s="17" t="n">
        <v>0</v>
      </c>
      <c r="T74" s="17" t="n">
        <v>0</v>
      </c>
      <c r="U74" s="17" t="n">
        <v>0.7</v>
      </c>
      <c r="V74" s="17" t="n">
        <v>0.7</v>
      </c>
      <c r="W74" s="17" t="n">
        <v>0</v>
      </c>
      <c r="X74" s="17" t="n">
        <v>0</v>
      </c>
      <c r="Y74" s="17" t="n">
        <v>1.7</v>
      </c>
      <c r="Z74" s="17" t="n">
        <v>0</v>
      </c>
      <c r="AA74" s="17" t="n">
        <v>0</v>
      </c>
      <c r="AB74" s="18" t="n">
        <v>0</v>
      </c>
      <c r="AC74" s="16" t="n">
        <v>-3.1</v>
      </c>
      <c r="AD74" s="17" t="n">
        <v>0</v>
      </c>
      <c r="AE74" s="17" t="n">
        <v>0</v>
      </c>
      <c r="AF74" s="17" t="n">
        <v>-0.7</v>
      </c>
      <c r="AG74" s="17" t="n">
        <v>-0.7</v>
      </c>
      <c r="AH74" s="17" t="n">
        <v>0</v>
      </c>
      <c r="AI74" s="17" t="n">
        <v>0</v>
      </c>
      <c r="AJ74" s="17" t="n">
        <v>-1.7</v>
      </c>
      <c r="AK74" s="17" t="n">
        <v>0</v>
      </c>
      <c r="AL74" s="17" t="n">
        <v>0</v>
      </c>
      <c r="AM74" s="18" t="n">
        <v>0</v>
      </c>
      <c r="AN74" s="16" t="n">
        <v>36</v>
      </c>
      <c r="AO74" s="17" t="n">
        <v>0</v>
      </c>
      <c r="AP74" s="17" t="n">
        <v>0</v>
      </c>
      <c r="AQ74" s="17" t="n">
        <v>3</v>
      </c>
      <c r="AR74" s="17" t="n">
        <v>2</v>
      </c>
      <c r="AS74" s="17" t="n">
        <v>0</v>
      </c>
      <c r="AT74" s="17" t="n">
        <v>0</v>
      </c>
      <c r="AU74" s="17" t="n">
        <v>28</v>
      </c>
      <c r="AV74" s="17" t="n">
        <v>0</v>
      </c>
      <c r="AW74" s="17" t="n">
        <v>0</v>
      </c>
      <c r="AX74" s="18" t="n">
        <v>0</v>
      </c>
      <c r="AY74" s="16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8" t="n">
        <v>0</v>
      </c>
      <c r="BJ74" s="16" t="n">
        <v>36</v>
      </c>
      <c r="BK74" s="17" t="n">
        <v>0</v>
      </c>
      <c r="BL74" s="17" t="n">
        <v>0</v>
      </c>
      <c r="BM74" s="17" t="n">
        <v>3</v>
      </c>
      <c r="BN74" s="17" t="n">
        <v>2</v>
      </c>
      <c r="BO74" s="17" t="n">
        <v>0</v>
      </c>
      <c r="BP74" s="17" t="n">
        <v>0</v>
      </c>
      <c r="BQ74" s="17" t="n">
        <v>28</v>
      </c>
      <c r="BR74" s="17" t="n">
        <v>0</v>
      </c>
      <c r="BS74" s="17" t="n">
        <v>0</v>
      </c>
      <c r="BT74" s="18" t="n">
        <v>0</v>
      </c>
      <c r="BU74" s="17" t="inlineStr">
        <is>
          <t>Unclassified</t>
        </is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0</v>
      </c>
      <c r="K75" s="17" t="n">
        <v>15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8" t="n">
        <v>0</v>
      </c>
      <c r="R75" s="16" t="n">
        <v>0.15</v>
      </c>
      <c r="S75" s="17" t="n">
        <v>0</v>
      </c>
      <c r="T75" s="17" t="n">
        <v>0</v>
      </c>
      <c r="U75" s="17" t="n">
        <v>0</v>
      </c>
      <c r="V75" s="17" t="n">
        <v>0.15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8" t="n">
        <v>0</v>
      </c>
      <c r="AC75" s="16" t="n">
        <v>-0.15</v>
      </c>
      <c r="AD75" s="17" t="n">
        <v>0</v>
      </c>
      <c r="AE75" s="17" t="n">
        <v>0</v>
      </c>
      <c r="AF75" s="17" t="n">
        <v>0</v>
      </c>
      <c r="AG75" s="17" t="n">
        <v>-0.15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8" t="n">
        <v>0</v>
      </c>
      <c r="AN75" s="16" t="n">
        <v>11</v>
      </c>
      <c r="AO75" s="17" t="n">
        <v>0</v>
      </c>
      <c r="AP75" s="17" t="n">
        <v>0</v>
      </c>
      <c r="AQ75" s="17" t="n">
        <v>0</v>
      </c>
      <c r="AR75" s="17" t="n">
        <v>11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8" t="n">
        <v>0</v>
      </c>
      <c r="AY75" s="16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8" t="n">
        <v>0</v>
      </c>
      <c r="BJ75" s="16" t="n">
        <v>11</v>
      </c>
      <c r="BK75" s="17" t="n">
        <v>0</v>
      </c>
      <c r="BL75" s="17" t="n">
        <v>0</v>
      </c>
      <c r="BM75" s="17" t="n">
        <v>0</v>
      </c>
      <c r="BN75" s="17" t="n">
        <v>11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8" t="n">
        <v>0</v>
      </c>
      <c r="BU75" s="17" t="inlineStr">
        <is>
          <t>Unclassified</t>
        </is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60</v>
      </c>
      <c r="O76" s="17" t="n">
        <v>0</v>
      </c>
      <c r="P76" s="17" t="n">
        <v>0</v>
      </c>
      <c r="Q76" s="18" t="n">
        <v>0</v>
      </c>
      <c r="R76" s="16" t="n">
        <v>0.6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0.6</v>
      </c>
      <c r="Z76" s="17" t="n">
        <v>0</v>
      </c>
      <c r="AA76" s="17" t="n">
        <v>0</v>
      </c>
      <c r="AB76" s="18" t="n">
        <v>0</v>
      </c>
      <c r="AC76" s="16" t="n">
        <v>-0.6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-0.6</v>
      </c>
      <c r="AK76" s="17" t="n">
        <v>0</v>
      </c>
      <c r="AL76" s="17" t="n">
        <v>0</v>
      </c>
      <c r="AM76" s="18" t="n">
        <v>0</v>
      </c>
      <c r="AN76" s="16" t="n">
        <v>29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29</v>
      </c>
      <c r="AV76" s="17" t="n">
        <v>0</v>
      </c>
      <c r="AW76" s="17" t="n">
        <v>0</v>
      </c>
      <c r="AX76" s="18" t="n">
        <v>0</v>
      </c>
      <c r="AY76" s="16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8" t="n">
        <v>0</v>
      </c>
      <c r="BJ76" s="16" t="n">
        <v>29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29</v>
      </c>
      <c r="BR76" s="17" t="n">
        <v>0</v>
      </c>
      <c r="BS76" s="17" t="n">
        <v>0</v>
      </c>
      <c r="BT76" s="18" t="n">
        <v>0</v>
      </c>
      <c r="BU76" s="17" t="inlineStr">
        <is>
          <t>Unclassified</t>
        </is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0</v>
      </c>
      <c r="J77" s="17" t="n">
        <v>120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</v>
      </c>
      <c r="R77" s="16" t="n">
        <v>4</v>
      </c>
      <c r="S77" s="17" t="n">
        <v>0</v>
      </c>
      <c r="T77" s="17" t="n">
        <v>0</v>
      </c>
      <c r="U77" s="17" t="n">
        <v>4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8" t="n">
        <v>0</v>
      </c>
      <c r="AC77" s="16" t="n">
        <v>-4</v>
      </c>
      <c r="AD77" s="17" t="n">
        <v>0</v>
      </c>
      <c r="AE77" s="17" t="n">
        <v>0</v>
      </c>
      <c r="AF77" s="17" t="n">
        <v>-4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8" t="n">
        <v>0</v>
      </c>
      <c r="AN77" s="16" t="n">
        <v>13</v>
      </c>
      <c r="AO77" s="17" t="n">
        <v>0</v>
      </c>
      <c r="AP77" s="17" t="n">
        <v>0</v>
      </c>
      <c r="AQ77" s="17" t="n">
        <v>13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8" t="n">
        <v>0</v>
      </c>
      <c r="AY77" s="16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8" t="n">
        <v>0</v>
      </c>
      <c r="BJ77" s="16" t="n">
        <v>13</v>
      </c>
      <c r="BK77" s="17" t="n">
        <v>0</v>
      </c>
      <c r="BL77" s="17" t="n">
        <v>0</v>
      </c>
      <c r="BM77" s="17" t="n">
        <v>13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8" t="n">
        <v>0</v>
      </c>
      <c r="BU77" s="17" t="inlineStr">
        <is>
          <t>Unclassified</t>
        </is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0</v>
      </c>
      <c r="J78" s="17" t="n">
        <v>60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8" t="n">
        <v>0</v>
      </c>
      <c r="R78" s="16" t="n">
        <v>1</v>
      </c>
      <c r="S78" s="17" t="n">
        <v>0</v>
      </c>
      <c r="T78" s="17" t="n">
        <v>0</v>
      </c>
      <c r="U78" s="17" t="n">
        <v>1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8" t="n">
        <v>0</v>
      </c>
      <c r="AC78" s="16" t="n">
        <v>-1</v>
      </c>
      <c r="AD78" s="17" t="n">
        <v>0</v>
      </c>
      <c r="AE78" s="17" t="n">
        <v>0</v>
      </c>
      <c r="AF78" s="17" t="n">
        <v>-1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8" t="n">
        <v>0</v>
      </c>
      <c r="AN78" s="16" t="n">
        <v>465</v>
      </c>
      <c r="AO78" s="17" t="n">
        <v>0</v>
      </c>
      <c r="AP78" s="17" t="n">
        <v>0</v>
      </c>
      <c r="AQ78" s="17" t="n">
        <v>465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8" t="n">
        <v>0</v>
      </c>
      <c r="AY78" s="16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8" t="n">
        <v>0</v>
      </c>
      <c r="BJ78" s="16" t="n">
        <v>465</v>
      </c>
      <c r="BK78" s="17" t="n">
        <v>0</v>
      </c>
      <c r="BL78" s="17" t="n">
        <v>0</v>
      </c>
      <c r="BM78" s="17" t="n">
        <v>465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8" t="n">
        <v>0</v>
      </c>
      <c r="BU78" s="17" t="inlineStr">
        <is>
          <t>Unclassified</t>
        </is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0</v>
      </c>
      <c r="J79" s="17" t="n">
        <v>355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8" t="n">
        <v>0</v>
      </c>
      <c r="R79" s="16" t="n">
        <v>0</v>
      </c>
      <c r="S79" s="17" t="n">
        <v>0</v>
      </c>
      <c r="T79" s="17" t="n">
        <v>0</v>
      </c>
      <c r="U79" s="17" t="n">
        <v>1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8" t="n">
        <v>0</v>
      </c>
      <c r="AC79" s="16" t="n">
        <v>0</v>
      </c>
      <c r="AD79" s="17" t="n">
        <v>0</v>
      </c>
      <c r="AE79" s="17" t="n">
        <v>0</v>
      </c>
      <c r="AF79" s="17" t="n">
        <v>-1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8" t="n">
        <v>0</v>
      </c>
      <c r="AN79" s="16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8" t="n">
        <v>0</v>
      </c>
      <c r="AY79" s="16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8" t="n">
        <v>0</v>
      </c>
      <c r="BJ79" s="16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8" t="n">
        <v>0</v>
      </c>
      <c r="BU79" s="17" t="inlineStr">
        <is>
          <t>Unclassified</t>
        </is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30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8" t="n">
        <v>0</v>
      </c>
      <c r="R80" s="16" t="n">
        <v>1</v>
      </c>
      <c r="S80" s="17" t="n">
        <v>0</v>
      </c>
      <c r="T80" s="17" t="n">
        <v>0</v>
      </c>
      <c r="U80" s="17" t="n">
        <v>1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8" t="n">
        <v>0</v>
      </c>
      <c r="AC80" s="16" t="n">
        <v>-1</v>
      </c>
      <c r="AD80" s="17" t="n">
        <v>0</v>
      </c>
      <c r="AE80" s="17" t="n">
        <v>0</v>
      </c>
      <c r="AF80" s="17" t="n">
        <v>-1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8" t="n">
        <v>0</v>
      </c>
      <c r="AN80" s="16" t="n">
        <v>2</v>
      </c>
      <c r="AO80" s="17" t="n">
        <v>0</v>
      </c>
      <c r="AP80" s="17" t="n">
        <v>0</v>
      </c>
      <c r="AQ80" s="17" t="n">
        <v>2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8" t="n">
        <v>0</v>
      </c>
      <c r="AY80" s="16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8" t="n">
        <v>0</v>
      </c>
      <c r="BJ80" s="16" t="n">
        <v>2</v>
      </c>
      <c r="BK80" s="17" t="n">
        <v>0</v>
      </c>
      <c r="BL80" s="17" t="n">
        <v>0</v>
      </c>
      <c r="BM80" s="17" t="n">
        <v>2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8" t="n">
        <v>0</v>
      </c>
      <c r="BU80" s="17" t="inlineStr">
        <is>
          <t>Unclassified</t>
        </is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0</v>
      </c>
      <c r="J81" s="17" t="n">
        <v>30</v>
      </c>
      <c r="K81" s="17" t="n">
        <v>30</v>
      </c>
      <c r="L81" s="17" t="n">
        <v>0</v>
      </c>
      <c r="M81" s="17" t="n">
        <v>0</v>
      </c>
      <c r="N81" s="17" t="n">
        <v>30</v>
      </c>
      <c r="O81" s="17" t="n">
        <v>0</v>
      </c>
      <c r="P81" s="17" t="n">
        <v>0</v>
      </c>
      <c r="Q81" s="18" t="n">
        <v>0</v>
      </c>
      <c r="R81" s="16" t="n">
        <v>0.18</v>
      </c>
      <c r="S81" s="17" t="n">
        <v>0</v>
      </c>
      <c r="T81" s="17" t="n">
        <v>0</v>
      </c>
      <c r="U81" s="17" t="n">
        <v>0.06</v>
      </c>
      <c r="V81" s="17" t="n">
        <v>0.06</v>
      </c>
      <c r="W81" s="17" t="n">
        <v>0</v>
      </c>
      <c r="X81" s="17" t="n">
        <v>0</v>
      </c>
      <c r="Y81" s="17" t="n">
        <v>0.06</v>
      </c>
      <c r="Z81" s="17" t="n">
        <v>0</v>
      </c>
      <c r="AA81" s="17" t="n">
        <v>0</v>
      </c>
      <c r="AB81" s="18" t="n">
        <v>0</v>
      </c>
      <c r="AC81" s="16" t="n">
        <v>-0.18</v>
      </c>
      <c r="AD81" s="17" t="n">
        <v>0</v>
      </c>
      <c r="AE81" s="17" t="n">
        <v>0</v>
      </c>
      <c r="AF81" s="17" t="n">
        <v>-0.06</v>
      </c>
      <c r="AG81" s="17" t="n">
        <v>-0.06</v>
      </c>
      <c r="AH81" s="17" t="n">
        <v>0</v>
      </c>
      <c r="AI81" s="17" t="n">
        <v>0</v>
      </c>
      <c r="AJ81" s="17" t="n">
        <v>-0.06</v>
      </c>
      <c r="AK81" s="17" t="n">
        <v>0</v>
      </c>
      <c r="AL81" s="17" t="n">
        <v>0</v>
      </c>
      <c r="AM81" s="18" t="n">
        <v>0</v>
      </c>
      <c r="AN81" s="16" t="n">
        <v>29</v>
      </c>
      <c r="AO81" s="17" t="n">
        <v>0</v>
      </c>
      <c r="AP81" s="17" t="n">
        <v>0</v>
      </c>
      <c r="AQ81" s="17" t="n">
        <v>9</v>
      </c>
      <c r="AR81" s="17" t="n">
        <v>6</v>
      </c>
      <c r="AS81" s="17" t="n">
        <v>0</v>
      </c>
      <c r="AT81" s="17" t="n">
        <v>0</v>
      </c>
      <c r="AU81" s="17" t="n">
        <v>13</v>
      </c>
      <c r="AV81" s="17" t="n">
        <v>0</v>
      </c>
      <c r="AW81" s="17" t="n">
        <v>0</v>
      </c>
      <c r="AX81" s="18" t="n">
        <v>0</v>
      </c>
      <c r="AY81" s="16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8" t="n">
        <v>0</v>
      </c>
      <c r="BJ81" s="16" t="n">
        <v>29</v>
      </c>
      <c r="BK81" s="17" t="n">
        <v>0</v>
      </c>
      <c r="BL81" s="17" t="n">
        <v>0</v>
      </c>
      <c r="BM81" s="17" t="n">
        <v>9</v>
      </c>
      <c r="BN81" s="17" t="n">
        <v>6</v>
      </c>
      <c r="BO81" s="17" t="n">
        <v>0</v>
      </c>
      <c r="BP81" s="17" t="n">
        <v>0</v>
      </c>
      <c r="BQ81" s="17" t="n">
        <v>13</v>
      </c>
      <c r="BR81" s="17" t="n">
        <v>0</v>
      </c>
      <c r="BS81" s="17" t="n">
        <v>0</v>
      </c>
      <c r="BT81" s="18" t="n">
        <v>0</v>
      </c>
      <c r="BU81" s="17" t="inlineStr">
        <is>
          <t>Unclassified</t>
        </is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0</v>
      </c>
      <c r="J82" s="17" t="n">
        <v>90</v>
      </c>
      <c r="K82" s="17" t="n">
        <v>0</v>
      </c>
      <c r="L82" s="17" t="n">
        <v>0</v>
      </c>
      <c r="M82" s="17" t="n">
        <v>0</v>
      </c>
      <c r="N82" s="17" t="n">
        <v>30</v>
      </c>
      <c r="O82" s="17" t="n">
        <v>0</v>
      </c>
      <c r="P82" s="17" t="n">
        <v>0</v>
      </c>
      <c r="Q82" s="18" t="n">
        <v>0</v>
      </c>
      <c r="R82" s="16" t="n">
        <v>4</v>
      </c>
      <c r="S82" s="17" t="n">
        <v>0</v>
      </c>
      <c r="T82" s="17" t="n">
        <v>0</v>
      </c>
      <c r="U82" s="17" t="n">
        <v>3</v>
      </c>
      <c r="V82" s="17" t="n">
        <v>0</v>
      </c>
      <c r="W82" s="17" t="n">
        <v>0</v>
      </c>
      <c r="X82" s="17" t="n">
        <v>0</v>
      </c>
      <c r="Y82" s="17" t="n">
        <v>1</v>
      </c>
      <c r="Z82" s="17" t="n">
        <v>0</v>
      </c>
      <c r="AA82" s="17" t="n">
        <v>0</v>
      </c>
      <c r="AB82" s="18" t="n">
        <v>0</v>
      </c>
      <c r="AC82" s="16" t="n">
        <v>-4</v>
      </c>
      <c r="AD82" s="17" t="n">
        <v>0</v>
      </c>
      <c r="AE82" s="17" t="n">
        <v>0</v>
      </c>
      <c r="AF82" s="17" t="n">
        <v>-3</v>
      </c>
      <c r="AG82" s="17" t="n">
        <v>0</v>
      </c>
      <c r="AH82" s="17" t="n">
        <v>0</v>
      </c>
      <c r="AI82" s="17" t="n">
        <v>0</v>
      </c>
      <c r="AJ82" s="17" t="n">
        <v>-1</v>
      </c>
      <c r="AK82" s="17" t="n">
        <v>0</v>
      </c>
      <c r="AL82" s="17" t="n">
        <v>0</v>
      </c>
      <c r="AM82" s="18" t="n">
        <v>0</v>
      </c>
      <c r="AN82" s="16" t="n">
        <v>18</v>
      </c>
      <c r="AO82" s="17" t="n">
        <v>0</v>
      </c>
      <c r="AP82" s="17" t="n">
        <v>0</v>
      </c>
      <c r="AQ82" s="17" t="n">
        <v>6</v>
      </c>
      <c r="AR82" s="17" t="n">
        <v>0</v>
      </c>
      <c r="AS82" s="17" t="n">
        <v>0</v>
      </c>
      <c r="AT82" s="17" t="n">
        <v>0</v>
      </c>
      <c r="AU82" s="17" t="n">
        <v>11</v>
      </c>
      <c r="AV82" s="17" t="n">
        <v>0</v>
      </c>
      <c r="AW82" s="17" t="n">
        <v>0</v>
      </c>
      <c r="AX82" s="18" t="n">
        <v>0</v>
      </c>
      <c r="AY82" s="16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8" t="n">
        <v>0</v>
      </c>
      <c r="BJ82" s="16" t="n">
        <v>18</v>
      </c>
      <c r="BK82" s="17" t="n">
        <v>0</v>
      </c>
      <c r="BL82" s="17" t="n">
        <v>0</v>
      </c>
      <c r="BM82" s="17" t="n">
        <v>6</v>
      </c>
      <c r="BN82" s="17" t="n">
        <v>0</v>
      </c>
      <c r="BO82" s="17" t="n">
        <v>0</v>
      </c>
      <c r="BP82" s="17" t="n">
        <v>0</v>
      </c>
      <c r="BQ82" s="17" t="n">
        <v>11</v>
      </c>
      <c r="BR82" s="17" t="n">
        <v>0</v>
      </c>
      <c r="BS82" s="17" t="n">
        <v>0</v>
      </c>
      <c r="BT82" s="18" t="n">
        <v>0</v>
      </c>
      <c r="BU82" s="17" t="inlineStr">
        <is>
          <t>Unclassified</t>
        </is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30</v>
      </c>
      <c r="O83" s="17" t="n">
        <v>0</v>
      </c>
      <c r="P83" s="17" t="n">
        <v>0</v>
      </c>
      <c r="Q83" s="18" t="n">
        <v>0</v>
      </c>
      <c r="R83" s="16" t="n">
        <v>1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1</v>
      </c>
      <c r="Z83" s="17" t="n">
        <v>0</v>
      </c>
      <c r="AA83" s="17" t="n">
        <v>0</v>
      </c>
      <c r="AB83" s="18" t="n">
        <v>0</v>
      </c>
      <c r="AC83" s="16" t="n">
        <v>-1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-1</v>
      </c>
      <c r="AK83" s="17" t="n">
        <v>0</v>
      </c>
      <c r="AL83" s="17" t="n">
        <v>0</v>
      </c>
      <c r="AM83" s="18" t="n">
        <v>0</v>
      </c>
      <c r="AN83" s="16" t="n">
        <v>12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</v>
      </c>
      <c r="AV83" s="17" t="n">
        <v>0</v>
      </c>
      <c r="AW83" s="17" t="n">
        <v>0</v>
      </c>
      <c r="AX83" s="18" t="n">
        <v>0</v>
      </c>
      <c r="AY83" s="16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8" t="n">
        <v>0</v>
      </c>
      <c r="BJ83" s="16" t="n">
        <v>12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12</v>
      </c>
      <c r="BR83" s="17" t="n">
        <v>0</v>
      </c>
      <c r="BS83" s="17" t="n">
        <v>0</v>
      </c>
      <c r="BT83" s="18" t="n">
        <v>0</v>
      </c>
      <c r="BU83" s="17" t="inlineStr">
        <is>
          <t>Unclassified</t>
        </is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30</v>
      </c>
      <c r="O84" s="17" t="n">
        <v>0</v>
      </c>
      <c r="P84" s="17" t="n">
        <v>0</v>
      </c>
      <c r="Q84" s="18" t="n">
        <v>0</v>
      </c>
      <c r="R84" s="16" t="n">
        <v>1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1</v>
      </c>
      <c r="Z84" s="17" t="n">
        <v>0</v>
      </c>
      <c r="AA84" s="17" t="n">
        <v>0</v>
      </c>
      <c r="AB84" s="18" t="n">
        <v>0</v>
      </c>
      <c r="AC84" s="16" t="n">
        <v>-1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-1</v>
      </c>
      <c r="AK84" s="17" t="n">
        <v>0</v>
      </c>
      <c r="AL84" s="17" t="n">
        <v>0</v>
      </c>
      <c r="AM84" s="18" t="n">
        <v>0</v>
      </c>
      <c r="AN84" s="16" t="n">
        <v>210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210</v>
      </c>
      <c r="AV84" s="17" t="n">
        <v>0</v>
      </c>
      <c r="AW84" s="17" t="n">
        <v>0</v>
      </c>
      <c r="AX84" s="18" t="n">
        <v>0</v>
      </c>
      <c r="AY84" s="16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8" t="n">
        <v>0</v>
      </c>
      <c r="BJ84" s="16" t="n">
        <v>210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210</v>
      </c>
      <c r="BR84" s="17" t="n">
        <v>0</v>
      </c>
      <c r="BS84" s="17" t="n">
        <v>0</v>
      </c>
      <c r="BT84" s="18" t="n">
        <v>0</v>
      </c>
      <c r="BU84" s="17" t="inlineStr">
        <is>
          <t>Unclassified</t>
        </is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206</v>
      </c>
      <c r="O85" s="17" t="n">
        <v>0</v>
      </c>
      <c r="P85" s="17" t="n">
        <v>30</v>
      </c>
      <c r="Q85" s="18" t="n">
        <v>0</v>
      </c>
      <c r="R85" s="16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5.722</v>
      </c>
      <c r="Z85" s="17" t="n">
        <v>0</v>
      </c>
      <c r="AA85" s="17" t="n">
        <v>0.833</v>
      </c>
      <c r="AB85" s="18" t="n">
        <v>0</v>
      </c>
      <c r="AC85" s="16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-5.722</v>
      </c>
      <c r="AK85" s="17" t="n">
        <v>0</v>
      </c>
      <c r="AL85" s="17" t="n">
        <v>-0.833</v>
      </c>
      <c r="AM85" s="18" t="n">
        <v>0</v>
      </c>
      <c r="AN85" s="16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46</v>
      </c>
      <c r="AV85" s="17" t="n">
        <v>0</v>
      </c>
      <c r="AW85" s="17" t="n">
        <v>1</v>
      </c>
      <c r="AX85" s="18" t="n">
        <v>0</v>
      </c>
      <c r="AY85" s="16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8" t="n">
        <v>0</v>
      </c>
      <c r="BJ85" s="16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46</v>
      </c>
      <c r="BR85" s="17" t="n">
        <v>0</v>
      </c>
      <c r="BS85" s="17" t="n">
        <v>1</v>
      </c>
      <c r="BT85" s="18" t="n">
        <v>0</v>
      </c>
      <c r="BU85" s="17" t="inlineStr">
        <is>
          <t>Unclassified</t>
        </is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0</v>
      </c>
      <c r="J86" s="17" t="n">
        <v>60</v>
      </c>
      <c r="K86" s="17" t="n">
        <v>0</v>
      </c>
      <c r="L86" s="17" t="n">
        <v>0</v>
      </c>
      <c r="M86" s="17" t="n">
        <v>0</v>
      </c>
      <c r="N86" s="17" t="n">
        <v>3270</v>
      </c>
      <c r="O86" s="17" t="n">
        <v>30</v>
      </c>
      <c r="P86" s="17" t="n">
        <v>0</v>
      </c>
      <c r="Q86" s="18" t="n">
        <v>0</v>
      </c>
      <c r="R86" s="16" t="n">
        <v>0</v>
      </c>
      <c r="S86" s="17" t="n">
        <v>0</v>
      </c>
      <c r="T86" s="17" t="n">
        <v>0</v>
      </c>
      <c r="U86" s="17" t="n">
        <v>0.06</v>
      </c>
      <c r="V86" s="17" t="n">
        <v>0</v>
      </c>
      <c r="W86" s="17" t="n">
        <v>0</v>
      </c>
      <c r="X86" s="17" t="n">
        <v>0</v>
      </c>
      <c r="Y86" s="17" t="n">
        <v>3.27</v>
      </c>
      <c r="Z86" s="17" t="n">
        <v>0.03</v>
      </c>
      <c r="AA86" s="17" t="n">
        <v>0</v>
      </c>
      <c r="AB86" s="18" t="n">
        <v>0</v>
      </c>
      <c r="AC86" s="16" t="n">
        <v>0</v>
      </c>
      <c r="AD86" s="17" t="n">
        <v>0</v>
      </c>
      <c r="AE86" s="17" t="n">
        <v>0</v>
      </c>
      <c r="AF86" s="17" t="n">
        <v>-0.06</v>
      </c>
      <c r="AG86" s="17" t="n">
        <v>0</v>
      </c>
      <c r="AH86" s="17" t="n">
        <v>0</v>
      </c>
      <c r="AI86" s="17" t="n">
        <v>0</v>
      </c>
      <c r="AJ86" s="17" t="n">
        <v>-3.27</v>
      </c>
      <c r="AK86" s="17" t="n">
        <v>-0.03</v>
      </c>
      <c r="AL86" s="17" t="n">
        <v>0</v>
      </c>
      <c r="AM86" s="18" t="n">
        <v>0</v>
      </c>
      <c r="AN86" s="16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457</v>
      </c>
      <c r="AV86" s="17" t="n">
        <v>0</v>
      </c>
      <c r="AW86" s="17" t="n">
        <v>0</v>
      </c>
      <c r="AX86" s="18" t="n">
        <v>0</v>
      </c>
      <c r="AY86" s="16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8" t="n">
        <v>0</v>
      </c>
      <c r="BJ86" s="16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457</v>
      </c>
      <c r="BR86" s="17" t="n">
        <v>0</v>
      </c>
      <c r="BS86" s="17" t="n">
        <v>0</v>
      </c>
      <c r="BT86" s="18" t="n">
        <v>0</v>
      </c>
      <c r="BU86" s="17" t="inlineStr">
        <is>
          <t>Unclassified</t>
        </is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30</v>
      </c>
      <c r="O87" s="17" t="n">
        <v>0</v>
      </c>
      <c r="P87" s="17" t="n">
        <v>0</v>
      </c>
      <c r="Q87" s="18" t="n">
        <v>0</v>
      </c>
      <c r="R87" s="16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0.03</v>
      </c>
      <c r="Z87" s="17" t="n">
        <v>0</v>
      </c>
      <c r="AA87" s="17" t="n">
        <v>0</v>
      </c>
      <c r="AB87" s="18" t="n">
        <v>0</v>
      </c>
      <c r="AC87" s="16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-0.03</v>
      </c>
      <c r="AK87" s="17" t="n">
        <v>0</v>
      </c>
      <c r="AL87" s="17" t="n">
        <v>0</v>
      </c>
      <c r="AM87" s="18" t="n">
        <v>0</v>
      </c>
      <c r="AN87" s="16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11</v>
      </c>
      <c r="AV87" s="17" t="n">
        <v>0</v>
      </c>
      <c r="AW87" s="17" t="n">
        <v>0</v>
      </c>
      <c r="AX87" s="18" t="n">
        <v>0</v>
      </c>
      <c r="AY87" s="16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8" t="n">
        <v>0</v>
      </c>
      <c r="BJ87" s="16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11</v>
      </c>
      <c r="BR87" s="17" t="n">
        <v>0</v>
      </c>
      <c r="BS87" s="17" t="n">
        <v>0</v>
      </c>
      <c r="BT87" s="18" t="n">
        <v>0</v>
      </c>
      <c r="BU87" s="17" t="inlineStr">
        <is>
          <t>Unclassified</t>
        </is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0</v>
      </c>
      <c r="J88" s="17" t="n">
        <v>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8" t="n">
        <v>0</v>
      </c>
      <c r="R88" s="16" t="n">
        <v>0.09</v>
      </c>
      <c r="S88" s="17" t="n">
        <v>0</v>
      </c>
      <c r="T88" s="17" t="n">
        <v>0</v>
      </c>
      <c r="U88" s="17" t="n">
        <v>0.09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8" t="n">
        <v>0</v>
      </c>
      <c r="AC88" s="16" t="n">
        <v>-0.09</v>
      </c>
      <c r="AD88" s="17" t="n">
        <v>0</v>
      </c>
      <c r="AE88" s="17" t="n">
        <v>0</v>
      </c>
      <c r="AF88" s="17" t="n">
        <v>-0.09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8" t="n">
        <v>0</v>
      </c>
      <c r="AN88" s="16" t="n">
        <v>3</v>
      </c>
      <c r="AO88" s="17" t="n">
        <v>0</v>
      </c>
      <c r="AP88" s="17" t="n">
        <v>0</v>
      </c>
      <c r="AQ88" s="17" t="n">
        <v>3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8" t="n">
        <v>0</v>
      </c>
      <c r="AY88" s="16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8" t="n">
        <v>0</v>
      </c>
      <c r="BJ88" s="16" t="n">
        <v>3</v>
      </c>
      <c r="BK88" s="17" t="n">
        <v>0</v>
      </c>
      <c r="BL88" s="17" t="n">
        <v>0</v>
      </c>
      <c r="BM88" s="17" t="n">
        <v>3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8" t="n">
        <v>0</v>
      </c>
      <c r="BU88" s="17" t="inlineStr">
        <is>
          <t>Unclassified</t>
        </is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0</v>
      </c>
      <c r="J89" s="17" t="n">
        <v>90</v>
      </c>
      <c r="K89" s="17" t="n">
        <v>90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8" t="n">
        <v>0</v>
      </c>
      <c r="R89" s="16" t="n">
        <v>0.18</v>
      </c>
      <c r="S89" s="17" t="n">
        <v>0</v>
      </c>
      <c r="T89" s="17" t="n">
        <v>0</v>
      </c>
      <c r="U89" s="17" t="n">
        <v>0.09</v>
      </c>
      <c r="V89" s="17" t="n">
        <v>0.09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8" t="n">
        <v>0</v>
      </c>
      <c r="AC89" s="16" t="n">
        <v>-0.18</v>
      </c>
      <c r="AD89" s="17" t="n">
        <v>0</v>
      </c>
      <c r="AE89" s="17" t="n">
        <v>0</v>
      </c>
      <c r="AF89" s="17" t="n">
        <v>-0.09</v>
      </c>
      <c r="AG89" s="17" t="n">
        <v>-0.09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8" t="n">
        <v>0</v>
      </c>
      <c r="AN89" s="16" t="n">
        <v>5</v>
      </c>
      <c r="AO89" s="17" t="n">
        <v>0</v>
      </c>
      <c r="AP89" s="17" t="n">
        <v>0</v>
      </c>
      <c r="AQ89" s="17" t="n">
        <v>2</v>
      </c>
      <c r="AR89" s="17" t="n">
        <v>1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8" t="n">
        <v>0</v>
      </c>
      <c r="AY89" s="16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8" t="n">
        <v>0</v>
      </c>
      <c r="BJ89" s="16" t="n">
        <v>5</v>
      </c>
      <c r="BK89" s="17" t="n">
        <v>0</v>
      </c>
      <c r="BL89" s="17" t="n">
        <v>0</v>
      </c>
      <c r="BM89" s="17" t="n">
        <v>2</v>
      </c>
      <c r="BN89" s="17" t="n">
        <v>1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8" t="n">
        <v>0</v>
      </c>
      <c r="BU89" s="17" t="inlineStr">
        <is>
          <t>Unclassified</t>
        </is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0</v>
      </c>
      <c r="J90" s="17" t="n">
        <v>360</v>
      </c>
      <c r="K90" s="17" t="n">
        <v>0</v>
      </c>
      <c r="L90" s="17" t="n">
        <v>0</v>
      </c>
      <c r="M90" s="17" t="n">
        <v>0</v>
      </c>
      <c r="N90" s="17" t="n">
        <v>90</v>
      </c>
      <c r="O90" s="17" t="n">
        <v>0</v>
      </c>
      <c r="P90" s="17" t="n">
        <v>0</v>
      </c>
      <c r="Q90" s="18" t="n">
        <v>0</v>
      </c>
      <c r="R90" s="16" t="n">
        <v>0.45</v>
      </c>
      <c r="S90" s="17" t="n">
        <v>0</v>
      </c>
      <c r="T90" s="17" t="n">
        <v>0</v>
      </c>
      <c r="U90" s="17" t="n">
        <v>0.36</v>
      </c>
      <c r="V90" s="17" t="n">
        <v>0</v>
      </c>
      <c r="W90" s="17" t="n">
        <v>0</v>
      </c>
      <c r="X90" s="17" t="n">
        <v>0</v>
      </c>
      <c r="Y90" s="17" t="n">
        <v>0.09</v>
      </c>
      <c r="Z90" s="17" t="n">
        <v>0</v>
      </c>
      <c r="AA90" s="17" t="n">
        <v>0</v>
      </c>
      <c r="AB90" s="18" t="n">
        <v>0</v>
      </c>
      <c r="AC90" s="16" t="n">
        <v>-0.45</v>
      </c>
      <c r="AD90" s="17" t="n">
        <v>0</v>
      </c>
      <c r="AE90" s="17" t="n">
        <v>0</v>
      </c>
      <c r="AF90" s="17" t="n">
        <v>-0.36</v>
      </c>
      <c r="AG90" s="17" t="n">
        <v>0</v>
      </c>
      <c r="AH90" s="17" t="n">
        <v>0</v>
      </c>
      <c r="AI90" s="17" t="n">
        <v>0</v>
      </c>
      <c r="AJ90" s="17" t="n">
        <v>-0.09</v>
      </c>
      <c r="AK90" s="17" t="n">
        <v>0</v>
      </c>
      <c r="AL90" s="17" t="n">
        <v>0</v>
      </c>
      <c r="AM90" s="18" t="n">
        <v>0</v>
      </c>
      <c r="AN90" s="16" t="n">
        <v>23</v>
      </c>
      <c r="AO90" s="17" t="n">
        <v>0</v>
      </c>
      <c r="AP90" s="17" t="n">
        <v>0</v>
      </c>
      <c r="AQ90" s="17" t="n">
        <v>8</v>
      </c>
      <c r="AR90" s="17" t="n">
        <v>0</v>
      </c>
      <c r="AS90" s="17" t="n">
        <v>0</v>
      </c>
      <c r="AT90" s="17" t="n">
        <v>0</v>
      </c>
      <c r="AU90" s="17" t="n">
        <v>13</v>
      </c>
      <c r="AV90" s="17" t="n">
        <v>0</v>
      </c>
      <c r="AW90" s="17" t="n">
        <v>0</v>
      </c>
      <c r="AX90" s="18" t="n">
        <v>0</v>
      </c>
      <c r="AY90" s="16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8" t="n">
        <v>0</v>
      </c>
      <c r="BJ90" s="16" t="n">
        <v>23</v>
      </c>
      <c r="BK90" s="17" t="n">
        <v>0</v>
      </c>
      <c r="BL90" s="17" t="n">
        <v>0</v>
      </c>
      <c r="BM90" s="17" t="n">
        <v>8</v>
      </c>
      <c r="BN90" s="17" t="n">
        <v>0</v>
      </c>
      <c r="BO90" s="17" t="n">
        <v>0</v>
      </c>
      <c r="BP90" s="17" t="n">
        <v>0</v>
      </c>
      <c r="BQ90" s="17" t="n">
        <v>13</v>
      </c>
      <c r="BR90" s="17" t="n">
        <v>0</v>
      </c>
      <c r="BS90" s="17" t="n">
        <v>0</v>
      </c>
      <c r="BT90" s="18" t="n">
        <v>0</v>
      </c>
      <c r="BU90" s="17" t="inlineStr">
        <is>
          <t>Unclassified</t>
        </is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30</v>
      </c>
      <c r="N91" s="17" t="n">
        <v>0</v>
      </c>
      <c r="O91" s="17" t="n">
        <v>0</v>
      </c>
      <c r="P91" s="17" t="n">
        <v>0</v>
      </c>
      <c r="Q91" s="18" t="n">
        <v>0</v>
      </c>
      <c r="R91" s="16" t="n">
        <v>0.3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0.3</v>
      </c>
      <c r="Y91" s="17" t="n">
        <v>0</v>
      </c>
      <c r="Z91" s="17" t="n">
        <v>0</v>
      </c>
      <c r="AA91" s="17" t="n">
        <v>0</v>
      </c>
      <c r="AB91" s="18" t="n">
        <v>0</v>
      </c>
      <c r="AC91" s="16" t="n">
        <v>-0.3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-0.3</v>
      </c>
      <c r="AJ91" s="17" t="n">
        <v>0</v>
      </c>
      <c r="AK91" s="17" t="n">
        <v>0</v>
      </c>
      <c r="AL91" s="17" t="n">
        <v>0</v>
      </c>
      <c r="AM91" s="18" t="n">
        <v>0</v>
      </c>
      <c r="AN91" s="16" t="n">
        <v>14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</v>
      </c>
      <c r="AU91" s="17" t="n">
        <v>0</v>
      </c>
      <c r="AV91" s="17" t="n">
        <v>0</v>
      </c>
      <c r="AW91" s="17" t="n">
        <v>0</v>
      </c>
      <c r="AX91" s="18" t="n">
        <v>0</v>
      </c>
      <c r="AY91" s="16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8" t="n">
        <v>0</v>
      </c>
      <c r="BJ91" s="16" t="n">
        <v>14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13</v>
      </c>
      <c r="BQ91" s="17" t="n">
        <v>0</v>
      </c>
      <c r="BR91" s="17" t="n">
        <v>0</v>
      </c>
      <c r="BS91" s="17" t="n">
        <v>0</v>
      </c>
      <c r="BT91" s="18" t="n">
        <v>0</v>
      </c>
      <c r="BU91" s="17" t="inlineStr">
        <is>
          <t>Unclassified</t>
        </is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0</v>
      </c>
      <c r="J92" s="17" t="n">
        <v>120</v>
      </c>
      <c r="K92" s="17" t="n">
        <v>0</v>
      </c>
      <c r="L92" s="17" t="n">
        <v>0</v>
      </c>
      <c r="M92" s="17" t="n">
        <v>90</v>
      </c>
      <c r="N92" s="17" t="n">
        <v>0</v>
      </c>
      <c r="O92" s="17" t="n">
        <v>0</v>
      </c>
      <c r="P92" s="17" t="n">
        <v>0</v>
      </c>
      <c r="Q92" s="18" t="n">
        <v>0</v>
      </c>
      <c r="R92" s="16" t="n">
        <v>2.1</v>
      </c>
      <c r="S92" s="17" t="n">
        <v>0</v>
      </c>
      <c r="T92" s="17" t="n">
        <v>0</v>
      </c>
      <c r="U92" s="17" t="n">
        <v>1.2</v>
      </c>
      <c r="V92" s="17" t="n">
        <v>0</v>
      </c>
      <c r="W92" s="17" t="n">
        <v>0</v>
      </c>
      <c r="X92" s="17" t="n">
        <v>0.9</v>
      </c>
      <c r="Y92" s="17" t="n">
        <v>0</v>
      </c>
      <c r="Z92" s="17" t="n">
        <v>0</v>
      </c>
      <c r="AA92" s="17" t="n">
        <v>0</v>
      </c>
      <c r="AB92" s="18" t="n">
        <v>0</v>
      </c>
      <c r="AC92" s="16" t="n">
        <v>0.9</v>
      </c>
      <c r="AD92" s="17" t="n">
        <v>3</v>
      </c>
      <c r="AE92" s="17" t="n">
        <v>3</v>
      </c>
      <c r="AF92" s="17" t="n">
        <v>1.8</v>
      </c>
      <c r="AG92" s="17" t="n">
        <v>3</v>
      </c>
      <c r="AH92" s="17" t="n">
        <v>3</v>
      </c>
      <c r="AI92" s="17" t="n">
        <v>2.1</v>
      </c>
      <c r="AJ92" s="17" t="n">
        <v>3</v>
      </c>
      <c r="AK92" s="17" t="n">
        <v>3</v>
      </c>
      <c r="AL92" s="17" t="n">
        <v>3</v>
      </c>
      <c r="AM92" s="18" t="n">
        <v>3</v>
      </c>
      <c r="AN92" s="16" t="n">
        <v>52</v>
      </c>
      <c r="AO92" s="17" t="n">
        <v>0</v>
      </c>
      <c r="AP92" s="17" t="n">
        <v>0</v>
      </c>
      <c r="AQ92" s="17" t="n">
        <v>12</v>
      </c>
      <c r="AR92" s="17" t="n">
        <v>0</v>
      </c>
      <c r="AS92" s="17" t="n">
        <v>0</v>
      </c>
      <c r="AT92" s="17" t="n">
        <v>33</v>
      </c>
      <c r="AU92" s="17" t="n">
        <v>0</v>
      </c>
      <c r="AV92" s="17" t="n">
        <v>0</v>
      </c>
      <c r="AW92" s="17" t="n">
        <v>0</v>
      </c>
      <c r="AX92" s="18" t="n">
        <v>0</v>
      </c>
      <c r="AY92" s="16" t="n">
        <v>29</v>
      </c>
      <c r="AZ92" s="17" t="n">
        <v>0</v>
      </c>
      <c r="BA92" s="17" t="n">
        <v>0</v>
      </c>
      <c r="BB92" s="17" t="n">
        <v>17</v>
      </c>
      <c r="BC92" s="17" t="n">
        <v>0</v>
      </c>
      <c r="BD92" s="17" t="n">
        <v>0</v>
      </c>
      <c r="BE92" s="17" t="n">
        <v>13</v>
      </c>
      <c r="BF92" s="17" t="n">
        <v>0</v>
      </c>
      <c r="BG92" s="17" t="n">
        <v>0</v>
      </c>
      <c r="BH92" s="17" t="n">
        <v>0</v>
      </c>
      <c r="BI92" s="18" t="n">
        <v>0</v>
      </c>
      <c r="BJ92" s="16" t="n">
        <v>22</v>
      </c>
      <c r="BK92" s="17" t="n">
        <v>0</v>
      </c>
      <c r="BL92" s="17" t="n">
        <v>0</v>
      </c>
      <c r="BM92" s="17" t="n">
        <v>-5</v>
      </c>
      <c r="BN92" s="17" t="n">
        <v>0</v>
      </c>
      <c r="BO92" s="17" t="n">
        <v>0</v>
      </c>
      <c r="BP92" s="17" t="n">
        <v>20</v>
      </c>
      <c r="BQ92" s="17" t="n">
        <v>0</v>
      </c>
      <c r="BR92" s="17" t="n">
        <v>0</v>
      </c>
      <c r="BS92" s="17" t="n">
        <v>0</v>
      </c>
      <c r="BT92" s="18" t="n">
        <v>0</v>
      </c>
      <c r="BU92" s="17" t="inlineStr">
        <is>
          <t>Generic Drug</t>
        </is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0</v>
      </c>
      <c r="J93" s="17" t="n">
        <v>1080</v>
      </c>
      <c r="K93" s="17" t="n">
        <v>90</v>
      </c>
      <c r="L93" s="17" t="n">
        <v>0</v>
      </c>
      <c r="M93" s="17" t="n">
        <v>0</v>
      </c>
      <c r="N93" s="17" t="n">
        <v>180</v>
      </c>
      <c r="O93" s="17" t="n">
        <v>60</v>
      </c>
      <c r="P93" s="17" t="n">
        <v>0</v>
      </c>
      <c r="Q93" s="18" t="n">
        <v>0</v>
      </c>
      <c r="R93" s="16" t="n">
        <v>1.41</v>
      </c>
      <c r="S93" s="17" t="n">
        <v>0</v>
      </c>
      <c r="T93" s="17" t="n">
        <v>0</v>
      </c>
      <c r="U93" s="17" t="n">
        <v>1.08</v>
      </c>
      <c r="V93" s="17" t="n">
        <v>0.09</v>
      </c>
      <c r="W93" s="17" t="n">
        <v>0</v>
      </c>
      <c r="X93" s="17" t="n">
        <v>0</v>
      </c>
      <c r="Y93" s="17" t="n">
        <v>0.18</v>
      </c>
      <c r="Z93" s="17" t="n">
        <v>0.06</v>
      </c>
      <c r="AA93" s="17" t="n">
        <v>0</v>
      </c>
      <c r="AB93" s="18" t="n">
        <v>0</v>
      </c>
      <c r="AC93" s="16" t="n">
        <v>-1.41</v>
      </c>
      <c r="AD93" s="17" t="n">
        <v>0</v>
      </c>
      <c r="AE93" s="17" t="n">
        <v>0</v>
      </c>
      <c r="AF93" s="17" t="n">
        <v>-1.08</v>
      </c>
      <c r="AG93" s="17" t="n">
        <v>-0.09</v>
      </c>
      <c r="AH93" s="17" t="n">
        <v>0</v>
      </c>
      <c r="AI93" s="17" t="n">
        <v>0</v>
      </c>
      <c r="AJ93" s="17" t="n">
        <v>-0.18</v>
      </c>
      <c r="AK93" s="17" t="n">
        <v>-0.06</v>
      </c>
      <c r="AL93" s="17" t="n">
        <v>0</v>
      </c>
      <c r="AM93" s="18" t="n">
        <v>0</v>
      </c>
      <c r="AN93" s="16" t="n">
        <v>109</v>
      </c>
      <c r="AO93" s="17" t="n">
        <v>0</v>
      </c>
      <c r="AP93" s="17" t="n">
        <v>0</v>
      </c>
      <c r="AQ93" s="17" t="n">
        <v>45</v>
      </c>
      <c r="AR93" s="17" t="n">
        <v>3</v>
      </c>
      <c r="AS93" s="17" t="n">
        <v>0</v>
      </c>
      <c r="AT93" s="17" t="n">
        <v>0</v>
      </c>
      <c r="AU93" s="17" t="n">
        <v>44</v>
      </c>
      <c r="AV93" s="17" t="n">
        <v>5</v>
      </c>
      <c r="AW93" s="17" t="n">
        <v>0</v>
      </c>
      <c r="AX93" s="18" t="n">
        <v>0</v>
      </c>
      <c r="AY93" s="16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8" t="n">
        <v>0</v>
      </c>
      <c r="BJ93" s="16" t="n">
        <v>109</v>
      </c>
      <c r="BK93" s="17" t="n">
        <v>0</v>
      </c>
      <c r="BL93" s="17" t="n">
        <v>0</v>
      </c>
      <c r="BM93" s="17" t="n">
        <v>45</v>
      </c>
      <c r="BN93" s="17" t="n">
        <v>3</v>
      </c>
      <c r="BO93" s="17" t="n">
        <v>0</v>
      </c>
      <c r="BP93" s="17" t="n">
        <v>0</v>
      </c>
      <c r="BQ93" s="17" t="n">
        <v>44</v>
      </c>
      <c r="BR93" s="17" t="n">
        <v>5</v>
      </c>
      <c r="BS93" s="17" t="n">
        <v>0</v>
      </c>
      <c r="BT93" s="18" t="n">
        <v>0</v>
      </c>
      <c r="BU93" s="17" t="inlineStr">
        <is>
          <t>Unclassified</t>
        </is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0</v>
      </c>
      <c r="J94" s="17" t="n">
        <v>2160</v>
      </c>
      <c r="K94" s="17" t="n">
        <v>540</v>
      </c>
      <c r="L94" s="17" t="n">
        <v>0</v>
      </c>
      <c r="M94" s="17" t="n">
        <v>180</v>
      </c>
      <c r="N94" s="17" t="n">
        <v>930</v>
      </c>
      <c r="O94" s="17" t="n">
        <v>120</v>
      </c>
      <c r="P94" s="17" t="n">
        <v>120</v>
      </c>
      <c r="Q94" s="18" t="n">
        <v>0</v>
      </c>
      <c r="R94" s="16" t="n">
        <v>4.05</v>
      </c>
      <c r="S94" s="17" t="n">
        <v>0</v>
      </c>
      <c r="T94" s="17" t="n">
        <v>0</v>
      </c>
      <c r="U94" s="17" t="n">
        <v>2.16</v>
      </c>
      <c r="V94" s="17" t="n">
        <v>0.54</v>
      </c>
      <c r="W94" s="17" t="n">
        <v>0</v>
      </c>
      <c r="X94" s="17" t="n">
        <v>0.18</v>
      </c>
      <c r="Y94" s="17" t="n">
        <v>0.93</v>
      </c>
      <c r="Z94" s="17" t="n">
        <v>0.12</v>
      </c>
      <c r="AA94" s="17" t="n">
        <v>0.12</v>
      </c>
      <c r="AB94" s="18" t="n">
        <v>0</v>
      </c>
      <c r="AC94" s="16" t="n">
        <v>-3.05</v>
      </c>
      <c r="AD94" s="17" t="n">
        <v>1</v>
      </c>
      <c r="AE94" s="17" t="n">
        <v>1</v>
      </c>
      <c r="AF94" s="17" t="n">
        <v>-1.16</v>
      </c>
      <c r="AG94" s="17" t="n">
        <v>0.46</v>
      </c>
      <c r="AH94" s="17" t="n">
        <v>1</v>
      </c>
      <c r="AI94" s="17" t="n">
        <v>0.82</v>
      </c>
      <c r="AJ94" s="17" t="n">
        <v>0.07000000000000001</v>
      </c>
      <c r="AK94" s="17" t="n">
        <v>0.88</v>
      </c>
      <c r="AL94" s="17" t="n">
        <v>0.88</v>
      </c>
      <c r="AM94" s="18" t="n">
        <v>1</v>
      </c>
      <c r="AN94" s="16" t="n">
        <v>325</v>
      </c>
      <c r="AO94" s="17" t="n">
        <v>0</v>
      </c>
      <c r="AP94" s="17" t="n">
        <v>0</v>
      </c>
      <c r="AQ94" s="17" t="n">
        <v>124</v>
      </c>
      <c r="AR94" s="17" t="n">
        <v>19</v>
      </c>
      <c r="AS94" s="17" t="n">
        <v>0</v>
      </c>
      <c r="AT94" s="17" t="n">
        <v>11</v>
      </c>
      <c r="AU94" s="17" t="n">
        <v>134</v>
      </c>
      <c r="AV94" s="17" t="n">
        <v>8</v>
      </c>
      <c r="AW94" s="17" t="n">
        <v>6</v>
      </c>
      <c r="AX94" s="18" t="n">
        <v>0</v>
      </c>
      <c r="AY94" s="16" t="n">
        <v>93</v>
      </c>
      <c r="AZ94" s="17" t="n">
        <v>0</v>
      </c>
      <c r="BA94" s="17" t="n">
        <v>0</v>
      </c>
      <c r="BB94" s="17" t="n">
        <v>50</v>
      </c>
      <c r="BC94" s="17" t="n">
        <v>12</v>
      </c>
      <c r="BD94" s="17" t="n">
        <v>0</v>
      </c>
      <c r="BE94" s="17" t="n">
        <v>4</v>
      </c>
      <c r="BF94" s="17" t="n">
        <v>21</v>
      </c>
      <c r="BG94" s="17" t="n">
        <v>3</v>
      </c>
      <c r="BH94" s="17" t="n">
        <v>3</v>
      </c>
      <c r="BI94" s="18" t="n">
        <v>0</v>
      </c>
      <c r="BJ94" s="16" t="n">
        <v>232</v>
      </c>
      <c r="BK94" s="17" t="n">
        <v>0</v>
      </c>
      <c r="BL94" s="17" t="n">
        <v>0</v>
      </c>
      <c r="BM94" s="17" t="n">
        <v>74</v>
      </c>
      <c r="BN94" s="17" t="n">
        <v>6</v>
      </c>
      <c r="BO94" s="17" t="n">
        <v>0</v>
      </c>
      <c r="BP94" s="17" t="n">
        <v>7</v>
      </c>
      <c r="BQ94" s="17" t="n">
        <v>112</v>
      </c>
      <c r="BR94" s="17" t="n">
        <v>6</v>
      </c>
      <c r="BS94" s="17" t="n">
        <v>3</v>
      </c>
      <c r="BT94" s="18" t="n">
        <v>0</v>
      </c>
      <c r="BU94" s="17" t="inlineStr">
        <is>
          <t>Generic Drug</t>
        </is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0</v>
      </c>
      <c r="J95" s="17" t="n">
        <v>1770</v>
      </c>
      <c r="K95" s="17" t="n">
        <v>210</v>
      </c>
      <c r="L95" s="17" t="n">
        <v>0</v>
      </c>
      <c r="M95" s="17" t="n">
        <v>180</v>
      </c>
      <c r="N95" s="17" t="n">
        <v>1050</v>
      </c>
      <c r="O95" s="17" t="n">
        <v>0</v>
      </c>
      <c r="P95" s="17" t="n">
        <v>0</v>
      </c>
      <c r="Q95" s="18" t="n">
        <v>0</v>
      </c>
      <c r="R95" s="16" t="n">
        <v>3.21</v>
      </c>
      <c r="S95" s="17" t="n">
        <v>0</v>
      </c>
      <c r="T95" s="17" t="n">
        <v>0</v>
      </c>
      <c r="U95" s="17" t="n">
        <v>1.77</v>
      </c>
      <c r="V95" s="17" t="n">
        <v>0.21</v>
      </c>
      <c r="W95" s="17" t="n">
        <v>0</v>
      </c>
      <c r="X95" s="17" t="n">
        <v>0.18</v>
      </c>
      <c r="Y95" s="17" t="n">
        <v>1.05</v>
      </c>
      <c r="Z95" s="17" t="n">
        <v>0</v>
      </c>
      <c r="AA95" s="17" t="n">
        <v>0</v>
      </c>
      <c r="AB95" s="18" t="n">
        <v>0</v>
      </c>
      <c r="AC95" s="16" t="n">
        <v>0.79</v>
      </c>
      <c r="AD95" s="17" t="n">
        <v>4</v>
      </c>
      <c r="AE95" s="17" t="n">
        <v>4</v>
      </c>
      <c r="AF95" s="17" t="n">
        <v>2.23</v>
      </c>
      <c r="AG95" s="17" t="n">
        <v>3.79</v>
      </c>
      <c r="AH95" s="17" t="n">
        <v>4</v>
      </c>
      <c r="AI95" s="17" t="n">
        <v>3.82</v>
      </c>
      <c r="AJ95" s="17" t="n">
        <v>2.95</v>
      </c>
      <c r="AK95" s="17" t="n">
        <v>4</v>
      </c>
      <c r="AL95" s="17" t="n">
        <v>4</v>
      </c>
      <c r="AM95" s="18" t="n">
        <v>4</v>
      </c>
      <c r="AN95" s="16" t="n">
        <v>289</v>
      </c>
      <c r="AO95" s="17" t="n">
        <v>0</v>
      </c>
      <c r="AP95" s="17" t="n">
        <v>0</v>
      </c>
      <c r="AQ95" s="17" t="n">
        <v>68</v>
      </c>
      <c r="AR95" s="17" t="n">
        <v>10</v>
      </c>
      <c r="AS95" s="17" t="n">
        <v>0</v>
      </c>
      <c r="AT95" s="17" t="n">
        <v>13</v>
      </c>
      <c r="AU95" s="17" t="n">
        <v>173</v>
      </c>
      <c r="AV95" s="17" t="n">
        <v>0</v>
      </c>
      <c r="AW95" s="17" t="n">
        <v>0</v>
      </c>
      <c r="AX95" s="18" t="n">
        <v>0</v>
      </c>
      <c r="AY95" s="16" t="n">
        <v>106</v>
      </c>
      <c r="AZ95" s="17" t="n">
        <v>0</v>
      </c>
      <c r="BA95" s="17" t="n">
        <v>0</v>
      </c>
      <c r="BB95" s="17" t="n">
        <v>58</v>
      </c>
      <c r="BC95" s="17" t="n">
        <v>7</v>
      </c>
      <c r="BD95" s="17" t="n">
        <v>0</v>
      </c>
      <c r="BE95" s="17" t="n">
        <v>6</v>
      </c>
      <c r="BF95" s="17" t="n">
        <v>35</v>
      </c>
      <c r="BG95" s="17" t="n">
        <v>0</v>
      </c>
      <c r="BH95" s="17" t="n">
        <v>0</v>
      </c>
      <c r="BI95" s="18" t="n">
        <v>0</v>
      </c>
      <c r="BJ95" s="16" t="n">
        <v>183</v>
      </c>
      <c r="BK95" s="17" t="n">
        <v>0</v>
      </c>
      <c r="BL95" s="17" t="n">
        <v>0</v>
      </c>
      <c r="BM95" s="17" t="n">
        <v>9</v>
      </c>
      <c r="BN95" s="17" t="n">
        <v>3</v>
      </c>
      <c r="BO95" s="17" t="n">
        <v>0</v>
      </c>
      <c r="BP95" s="17" t="n">
        <v>7</v>
      </c>
      <c r="BQ95" s="17" t="n">
        <v>138</v>
      </c>
      <c r="BR95" s="17" t="n">
        <v>0</v>
      </c>
      <c r="BS95" s="17" t="n">
        <v>0</v>
      </c>
      <c r="BT95" s="18" t="n">
        <v>0</v>
      </c>
      <c r="BU95" s="17" t="inlineStr">
        <is>
          <t>Generic Drug</t>
        </is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0</v>
      </c>
      <c r="J96" s="17" t="n">
        <v>1440</v>
      </c>
      <c r="K96" s="17" t="n">
        <v>180</v>
      </c>
      <c r="L96" s="17" t="n">
        <v>0</v>
      </c>
      <c r="M96" s="17" t="n">
        <v>0</v>
      </c>
      <c r="N96" s="17" t="n">
        <v>420</v>
      </c>
      <c r="O96" s="17" t="n">
        <v>30</v>
      </c>
      <c r="P96" s="17" t="n">
        <v>0</v>
      </c>
      <c r="Q96" s="18" t="n">
        <v>0</v>
      </c>
      <c r="R96" s="16" t="n">
        <v>2.07</v>
      </c>
      <c r="S96" s="17" t="n">
        <v>0</v>
      </c>
      <c r="T96" s="17" t="n">
        <v>0</v>
      </c>
      <c r="U96" s="17" t="n">
        <v>1.44</v>
      </c>
      <c r="V96" s="17" t="n">
        <v>0.18</v>
      </c>
      <c r="W96" s="17" t="n">
        <v>0</v>
      </c>
      <c r="X96" s="17" t="n">
        <v>0</v>
      </c>
      <c r="Y96" s="17" t="n">
        <v>0.42</v>
      </c>
      <c r="Z96" s="17" t="n">
        <v>0.03</v>
      </c>
      <c r="AA96" s="17" t="n">
        <v>0</v>
      </c>
      <c r="AB96" s="18" t="n">
        <v>0</v>
      </c>
      <c r="AC96" s="16" t="n">
        <v>-2.07</v>
      </c>
      <c r="AD96" s="17" t="n">
        <v>0</v>
      </c>
      <c r="AE96" s="17" t="n">
        <v>0</v>
      </c>
      <c r="AF96" s="17" t="n">
        <v>-1.44</v>
      </c>
      <c r="AG96" s="17" t="n">
        <v>-0.18</v>
      </c>
      <c r="AH96" s="17" t="n">
        <v>0</v>
      </c>
      <c r="AI96" s="17" t="n">
        <v>0</v>
      </c>
      <c r="AJ96" s="17" t="n">
        <v>-0.42</v>
      </c>
      <c r="AK96" s="17" t="n">
        <v>-0.03</v>
      </c>
      <c r="AL96" s="17" t="n">
        <v>0</v>
      </c>
      <c r="AM96" s="18" t="n">
        <v>0</v>
      </c>
      <c r="AN96" s="16" t="n">
        <v>222</v>
      </c>
      <c r="AO96" s="17" t="n">
        <v>0</v>
      </c>
      <c r="AP96" s="17" t="n">
        <v>0</v>
      </c>
      <c r="AQ96" s="17" t="n">
        <v>102</v>
      </c>
      <c r="AR96" s="17" t="n">
        <v>8</v>
      </c>
      <c r="AS96" s="17" t="n">
        <v>0</v>
      </c>
      <c r="AT96" s="17" t="n">
        <v>0</v>
      </c>
      <c r="AU96" s="17" t="n">
        <v>75</v>
      </c>
      <c r="AV96" s="17" t="n">
        <v>0</v>
      </c>
      <c r="AW96" s="17" t="n">
        <v>0</v>
      </c>
      <c r="AX96" s="18" t="n">
        <v>0</v>
      </c>
      <c r="AY96" s="16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8" t="n">
        <v>0</v>
      </c>
      <c r="BJ96" s="16" t="n">
        <v>222</v>
      </c>
      <c r="BK96" s="17" t="n">
        <v>0</v>
      </c>
      <c r="BL96" s="17" t="n">
        <v>0</v>
      </c>
      <c r="BM96" s="17" t="n">
        <v>102</v>
      </c>
      <c r="BN96" s="17" t="n">
        <v>8</v>
      </c>
      <c r="BO96" s="17" t="n">
        <v>0</v>
      </c>
      <c r="BP96" s="17" t="n">
        <v>0</v>
      </c>
      <c r="BQ96" s="17" t="n">
        <v>75</v>
      </c>
      <c r="BR96" s="17" t="n">
        <v>0</v>
      </c>
      <c r="BS96" s="17" t="n">
        <v>0</v>
      </c>
      <c r="BT96" s="18" t="n">
        <v>0</v>
      </c>
      <c r="BU96" s="17" t="inlineStr">
        <is>
          <t>Unclassified</t>
        </is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0</v>
      </c>
      <c r="J97" s="17" t="n">
        <v>210</v>
      </c>
      <c r="K97" s="17" t="n">
        <v>0</v>
      </c>
      <c r="L97" s="17" t="n">
        <v>0</v>
      </c>
      <c r="M97" s="17" t="n">
        <v>0</v>
      </c>
      <c r="N97" s="17" t="n">
        <v>300</v>
      </c>
      <c r="O97" s="17" t="n">
        <v>0</v>
      </c>
      <c r="P97" s="17" t="n">
        <v>0</v>
      </c>
      <c r="Q97" s="18" t="n">
        <v>0</v>
      </c>
      <c r="R97" s="16" t="n">
        <v>2.429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1.429</v>
      </c>
      <c r="Z97" s="17" t="n">
        <v>0</v>
      </c>
      <c r="AA97" s="17" t="n">
        <v>0</v>
      </c>
      <c r="AB97" s="18" t="n">
        <v>0</v>
      </c>
      <c r="AC97" s="16" t="n">
        <v>0.571</v>
      </c>
      <c r="AD97" s="17" t="n">
        <v>3</v>
      </c>
      <c r="AE97" s="17" t="n">
        <v>3</v>
      </c>
      <c r="AF97" s="17" t="n">
        <v>2</v>
      </c>
      <c r="AG97" s="17" t="n">
        <v>3</v>
      </c>
      <c r="AH97" s="17" t="n">
        <v>3</v>
      </c>
      <c r="AI97" s="17" t="n">
        <v>3</v>
      </c>
      <c r="AJ97" s="17" t="n">
        <v>1.571</v>
      </c>
      <c r="AK97" s="17" t="n">
        <v>3</v>
      </c>
      <c r="AL97" s="17" t="n">
        <v>3</v>
      </c>
      <c r="AM97" s="18" t="n">
        <v>3</v>
      </c>
      <c r="AN97" s="16" t="n">
        <v>330</v>
      </c>
      <c r="AO97" s="17" t="n">
        <v>0</v>
      </c>
      <c r="AP97" s="17" t="n">
        <v>0</v>
      </c>
      <c r="AQ97" s="17" t="n">
        <v>98</v>
      </c>
      <c r="AR97" s="17" t="n">
        <v>0</v>
      </c>
      <c r="AS97" s="17" t="n">
        <v>0</v>
      </c>
      <c r="AT97" s="17" t="n">
        <v>0</v>
      </c>
      <c r="AU97" s="17" t="n">
        <v>233</v>
      </c>
      <c r="AV97" s="17" t="n">
        <v>0</v>
      </c>
      <c r="AW97" s="17" t="n">
        <v>0</v>
      </c>
      <c r="AX97" s="18" t="n">
        <v>0</v>
      </c>
      <c r="AY97" s="16" t="n">
        <v>321</v>
      </c>
      <c r="AZ97" s="17" t="n">
        <v>0</v>
      </c>
      <c r="BA97" s="17" t="n">
        <v>0</v>
      </c>
      <c r="BB97" s="17" t="n">
        <v>132</v>
      </c>
      <c r="BC97" s="17" t="n">
        <v>0</v>
      </c>
      <c r="BD97" s="17" t="n">
        <v>0</v>
      </c>
      <c r="BE97" s="17" t="n">
        <v>0</v>
      </c>
      <c r="BF97" s="17" t="n">
        <v>189</v>
      </c>
      <c r="BG97" s="17" t="n">
        <v>0</v>
      </c>
      <c r="BH97" s="17" t="n">
        <v>0</v>
      </c>
      <c r="BI97" s="18" t="n">
        <v>0</v>
      </c>
      <c r="BJ97" s="16" t="n">
        <v>10</v>
      </c>
      <c r="BK97" s="17" t="n">
        <v>0</v>
      </c>
      <c r="BL97" s="17" t="n">
        <v>0</v>
      </c>
      <c r="BM97" s="17" t="n">
        <v>-34</v>
      </c>
      <c r="BN97" s="17" t="n">
        <v>0</v>
      </c>
      <c r="BO97" s="17" t="n">
        <v>0</v>
      </c>
      <c r="BP97" s="17" t="n">
        <v>0</v>
      </c>
      <c r="BQ97" s="17" t="n">
        <v>44</v>
      </c>
      <c r="BR97" s="17" t="n">
        <v>0</v>
      </c>
      <c r="BS97" s="17" t="n">
        <v>0</v>
      </c>
      <c r="BT97" s="18" t="n">
        <v>0</v>
      </c>
      <c r="BU97" s="17" t="inlineStr">
        <is>
          <t>Generic Drug</t>
        </is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0</v>
      </c>
      <c r="J98" s="17" t="n">
        <v>15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8" t="n">
        <v>0</v>
      </c>
      <c r="R98" s="16" t="n">
        <v>3</v>
      </c>
      <c r="S98" s="17" t="n">
        <v>0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8" t="n">
        <v>0</v>
      </c>
      <c r="AC98" s="16" t="n">
        <v>0</v>
      </c>
      <c r="AD98" s="17" t="n">
        <v>3</v>
      </c>
      <c r="AE98" s="17" t="n">
        <v>3</v>
      </c>
      <c r="AF98" s="17" t="n">
        <v>0</v>
      </c>
      <c r="AG98" s="17" t="n">
        <v>3</v>
      </c>
      <c r="AH98" s="17" t="n">
        <v>3</v>
      </c>
      <c r="AI98" s="17" t="n">
        <v>3</v>
      </c>
      <c r="AJ98" s="17" t="n">
        <v>3</v>
      </c>
      <c r="AK98" s="17" t="n">
        <v>3</v>
      </c>
      <c r="AL98" s="17" t="n">
        <v>3</v>
      </c>
      <c r="AM98" s="18" t="n">
        <v>3</v>
      </c>
      <c r="AN98" s="16" t="n">
        <v>78</v>
      </c>
      <c r="AO98" s="17" t="n">
        <v>0</v>
      </c>
      <c r="AP98" s="17" t="n">
        <v>0</v>
      </c>
      <c r="AQ98" s="17" t="n">
        <v>73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8" t="n">
        <v>0</v>
      </c>
      <c r="AY98" s="16" t="n">
        <v>105</v>
      </c>
      <c r="AZ98" s="17" t="n">
        <v>0</v>
      </c>
      <c r="BA98" s="17" t="n">
        <v>0</v>
      </c>
      <c r="BB98" s="17" t="n">
        <v>105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8" t="n">
        <v>0</v>
      </c>
      <c r="BJ98" s="16" t="n">
        <v>-27</v>
      </c>
      <c r="BK98" s="17" t="n">
        <v>0</v>
      </c>
      <c r="BL98" s="17" t="n">
        <v>0</v>
      </c>
      <c r="BM98" s="17" t="n">
        <v>-32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8" t="n">
        <v>0</v>
      </c>
      <c r="BU98" s="17" t="inlineStr">
        <is>
          <t>Generic Drug</t>
        </is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0</v>
      </c>
      <c r="J99" s="17" t="n">
        <v>168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8" t="n">
        <v>0</v>
      </c>
      <c r="R99" s="16" t="n">
        <v>6</v>
      </c>
      <c r="S99" s="17" t="n">
        <v>0</v>
      </c>
      <c r="T99" s="17" t="n">
        <v>0</v>
      </c>
      <c r="U99" s="17" t="n">
        <v>6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8" t="n">
        <v>0</v>
      </c>
      <c r="AC99" s="16" t="n">
        <v>-6</v>
      </c>
      <c r="AD99" s="17" t="n">
        <v>0</v>
      </c>
      <c r="AE99" s="17" t="n">
        <v>0</v>
      </c>
      <c r="AF99" s="17" t="n">
        <v>-6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8" t="n">
        <v>0</v>
      </c>
      <c r="AN99" s="16" t="n">
        <v>56</v>
      </c>
      <c r="AO99" s="17" t="n">
        <v>0</v>
      </c>
      <c r="AP99" s="17" t="n">
        <v>0</v>
      </c>
      <c r="AQ99" s="17" t="n">
        <v>54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8" t="n">
        <v>0</v>
      </c>
      <c r="AY99" s="16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8" t="n">
        <v>0</v>
      </c>
      <c r="BJ99" s="16" t="n">
        <v>56</v>
      </c>
      <c r="BK99" s="17" t="n">
        <v>0</v>
      </c>
      <c r="BL99" s="17" t="n">
        <v>0</v>
      </c>
      <c r="BM99" s="17" t="n">
        <v>54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8" t="n">
        <v>0</v>
      </c>
      <c r="BU99" s="17" t="inlineStr">
        <is>
          <t>Unclassified</t>
        </is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50</v>
      </c>
      <c r="P100" s="17" t="n">
        <v>0</v>
      </c>
      <c r="Q100" s="18" t="n">
        <v>0</v>
      </c>
      <c r="R100" s="16" t="n">
        <v>1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8" t="n">
        <v>0</v>
      </c>
      <c r="AC100" s="16" t="n">
        <v>0</v>
      </c>
      <c r="AD100" s="17" t="n">
        <v>1</v>
      </c>
      <c r="AE100" s="17" t="n">
        <v>1</v>
      </c>
      <c r="AF100" s="17" t="n">
        <v>1</v>
      </c>
      <c r="AG100" s="17" t="n">
        <v>1</v>
      </c>
      <c r="AH100" s="17" t="n">
        <v>1</v>
      </c>
      <c r="AI100" s="17" t="n">
        <v>1</v>
      </c>
      <c r="AJ100" s="17" t="n">
        <v>1</v>
      </c>
      <c r="AK100" s="17" t="n">
        <v>0</v>
      </c>
      <c r="AL100" s="17" t="n">
        <v>1</v>
      </c>
      <c r="AM100" s="18" t="n">
        <v>1</v>
      </c>
      <c r="AN100" s="16" t="n">
        <v>56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46</v>
      </c>
      <c r="AW100" s="17" t="n">
        <v>0</v>
      </c>
      <c r="AX100" s="18" t="n">
        <v>0</v>
      </c>
      <c r="AY100" s="16" t="n">
        <v>31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31</v>
      </c>
      <c r="BH100" s="17" t="n">
        <v>0</v>
      </c>
      <c r="BI100" s="18" t="n">
        <v>0</v>
      </c>
      <c r="BJ100" s="16" t="n">
        <v>25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15</v>
      </c>
      <c r="BS100" s="17" t="n">
        <v>0</v>
      </c>
      <c r="BT100" s="18" t="n">
        <v>0</v>
      </c>
      <c r="BU100" s="17" t="inlineStr">
        <is>
          <t>Generic Drug</t>
        </is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0</v>
      </c>
      <c r="J101" s="17" t="n">
        <v>18</v>
      </c>
      <c r="K101" s="17" t="n">
        <v>0</v>
      </c>
      <c r="L101" s="17" t="n">
        <v>0</v>
      </c>
      <c r="M101" s="17" t="n">
        <v>0</v>
      </c>
      <c r="N101" s="17" t="n">
        <v>24</v>
      </c>
      <c r="O101" s="17" t="n">
        <v>0</v>
      </c>
      <c r="P101" s="17" t="n">
        <v>0</v>
      </c>
      <c r="Q101" s="18" t="n">
        <v>0</v>
      </c>
      <c r="R101" s="16" t="n">
        <v>7</v>
      </c>
      <c r="S101" s="17" t="n">
        <v>0</v>
      </c>
      <c r="T101" s="17" t="n">
        <v>0</v>
      </c>
      <c r="U101" s="17" t="n">
        <v>3</v>
      </c>
      <c r="V101" s="17" t="n">
        <v>0</v>
      </c>
      <c r="W101" s="17" t="n">
        <v>0</v>
      </c>
      <c r="X101" s="17" t="n">
        <v>0</v>
      </c>
      <c r="Y101" s="17" t="n">
        <v>4</v>
      </c>
      <c r="Z101" s="17" t="n">
        <v>0</v>
      </c>
      <c r="AA101" s="17" t="n">
        <v>0</v>
      </c>
      <c r="AB101" s="18" t="n">
        <v>0</v>
      </c>
      <c r="AC101" s="16" t="n">
        <v>-7</v>
      </c>
      <c r="AD101" s="17" t="n">
        <v>0</v>
      </c>
      <c r="AE101" s="17" t="n">
        <v>0</v>
      </c>
      <c r="AF101" s="17" t="n">
        <v>-3</v>
      </c>
      <c r="AG101" s="17" t="n">
        <v>0</v>
      </c>
      <c r="AH101" s="17" t="n">
        <v>0</v>
      </c>
      <c r="AI101" s="17" t="n">
        <v>0</v>
      </c>
      <c r="AJ101" s="17" t="n">
        <v>-4</v>
      </c>
      <c r="AK101" s="17" t="n">
        <v>0</v>
      </c>
      <c r="AL101" s="17" t="n">
        <v>0</v>
      </c>
      <c r="AM101" s="18" t="n">
        <v>0</v>
      </c>
      <c r="AN101" s="16" t="n">
        <v>51</v>
      </c>
      <c r="AO101" s="17" t="n">
        <v>0</v>
      </c>
      <c r="AP101" s="17" t="n">
        <v>0</v>
      </c>
      <c r="AQ101" s="17" t="n">
        <v>8</v>
      </c>
      <c r="AR101" s="17" t="n">
        <v>0</v>
      </c>
      <c r="AS101" s="17" t="n">
        <v>0</v>
      </c>
      <c r="AT101" s="17" t="n">
        <v>0</v>
      </c>
      <c r="AU101" s="17" t="n">
        <v>43</v>
      </c>
      <c r="AV101" s="17" t="n">
        <v>0</v>
      </c>
      <c r="AW101" s="17" t="n">
        <v>0</v>
      </c>
      <c r="AX101" s="18" t="n">
        <v>0</v>
      </c>
      <c r="AY101" s="16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8" t="n">
        <v>0</v>
      </c>
      <c r="BJ101" s="16" t="n">
        <v>51</v>
      </c>
      <c r="BK101" s="17" t="n">
        <v>0</v>
      </c>
      <c r="BL101" s="17" t="n">
        <v>0</v>
      </c>
      <c r="BM101" s="17" t="n">
        <v>8</v>
      </c>
      <c r="BN101" s="17" t="n">
        <v>0</v>
      </c>
      <c r="BO101" s="17" t="n">
        <v>0</v>
      </c>
      <c r="BP101" s="17" t="n">
        <v>0</v>
      </c>
      <c r="BQ101" s="17" t="n">
        <v>43</v>
      </c>
      <c r="BR101" s="17" t="n">
        <v>0</v>
      </c>
      <c r="BS101" s="17" t="n">
        <v>0</v>
      </c>
      <c r="BT101" s="18" t="n">
        <v>0</v>
      </c>
      <c r="BU101" s="17" t="inlineStr">
        <is>
          <t>Unclassified</t>
        </is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0</v>
      </c>
      <c r="J102" s="17" t="n">
        <v>120</v>
      </c>
      <c r="K102" s="17" t="n">
        <v>30</v>
      </c>
      <c r="L102" s="17" t="n">
        <v>0</v>
      </c>
      <c r="M102" s="17" t="n">
        <v>0</v>
      </c>
      <c r="N102" s="17" t="n">
        <v>60</v>
      </c>
      <c r="O102" s="17" t="n">
        <v>30</v>
      </c>
      <c r="P102" s="17" t="n">
        <v>0</v>
      </c>
      <c r="Q102" s="18" t="n">
        <v>0</v>
      </c>
      <c r="R102" s="16" t="n">
        <v>8</v>
      </c>
      <c r="S102" s="17" t="n">
        <v>0</v>
      </c>
      <c r="T102" s="17" t="n">
        <v>0</v>
      </c>
      <c r="U102" s="17" t="n">
        <v>4</v>
      </c>
      <c r="V102" s="17" t="n">
        <v>1</v>
      </c>
      <c r="W102" s="17" t="n">
        <v>0</v>
      </c>
      <c r="X102" s="17" t="n">
        <v>0</v>
      </c>
      <c r="Y102" s="17" t="n">
        <v>2</v>
      </c>
      <c r="Z102" s="17" t="n">
        <v>1</v>
      </c>
      <c r="AA102" s="17" t="n">
        <v>0</v>
      </c>
      <c r="AB102" s="18" t="n">
        <v>0</v>
      </c>
      <c r="AC102" s="16" t="n">
        <v>-8</v>
      </c>
      <c r="AD102" s="17" t="n">
        <v>0</v>
      </c>
      <c r="AE102" s="17" t="n">
        <v>0</v>
      </c>
      <c r="AF102" s="17" t="n">
        <v>-4</v>
      </c>
      <c r="AG102" s="17" t="n">
        <v>-1</v>
      </c>
      <c r="AH102" s="17" t="n">
        <v>0</v>
      </c>
      <c r="AI102" s="17" t="n">
        <v>0</v>
      </c>
      <c r="AJ102" s="17" t="n">
        <v>-2</v>
      </c>
      <c r="AK102" s="17" t="n">
        <v>-1</v>
      </c>
      <c r="AL102" s="17" t="n">
        <v>0</v>
      </c>
      <c r="AM102" s="18" t="n">
        <v>0</v>
      </c>
      <c r="AN102" s="16" t="n">
        <v>114</v>
      </c>
      <c r="AO102" s="17" t="n">
        <v>0</v>
      </c>
      <c r="AP102" s="17" t="n">
        <v>0</v>
      </c>
      <c r="AQ102" s="17" t="n">
        <v>45</v>
      </c>
      <c r="AR102" s="17" t="n">
        <v>0</v>
      </c>
      <c r="AS102" s="17" t="n">
        <v>0</v>
      </c>
      <c r="AT102" s="17" t="n">
        <v>0</v>
      </c>
      <c r="AU102" s="17" t="n">
        <v>37</v>
      </c>
      <c r="AV102" s="17" t="n">
        <v>3</v>
      </c>
      <c r="AW102" s="17" t="n">
        <v>0</v>
      </c>
      <c r="AX102" s="18" t="n">
        <v>0</v>
      </c>
      <c r="AY102" s="16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8" t="n">
        <v>0</v>
      </c>
      <c r="BJ102" s="16" t="n">
        <v>114</v>
      </c>
      <c r="BK102" s="17" t="n">
        <v>0</v>
      </c>
      <c r="BL102" s="17" t="n">
        <v>0</v>
      </c>
      <c r="BM102" s="17" t="n">
        <v>45</v>
      </c>
      <c r="BN102" s="17" t="n">
        <v>0</v>
      </c>
      <c r="BO102" s="17" t="n">
        <v>0</v>
      </c>
      <c r="BP102" s="17" t="n">
        <v>0</v>
      </c>
      <c r="BQ102" s="17" t="n">
        <v>37</v>
      </c>
      <c r="BR102" s="17" t="n">
        <v>3</v>
      </c>
      <c r="BS102" s="17" t="n">
        <v>0</v>
      </c>
      <c r="BT102" s="18" t="n">
        <v>0</v>
      </c>
      <c r="BU102" s="17" t="inlineStr">
        <is>
          <t>Unclassified</t>
        </is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20</v>
      </c>
      <c r="O103" s="17" t="n">
        <v>0</v>
      </c>
      <c r="P103" s="17" t="n">
        <v>0</v>
      </c>
      <c r="Q103" s="18" t="n">
        <v>0</v>
      </c>
      <c r="R103" s="16" t="n">
        <v>0.667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0.667</v>
      </c>
      <c r="Z103" s="17" t="n">
        <v>0</v>
      </c>
      <c r="AA103" s="17" t="n">
        <v>0</v>
      </c>
      <c r="AB103" s="18" t="n">
        <v>0</v>
      </c>
      <c r="AC103" s="16" t="n">
        <v>-0.667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-0.667</v>
      </c>
      <c r="AK103" s="17" t="n">
        <v>0</v>
      </c>
      <c r="AL103" s="17" t="n">
        <v>0</v>
      </c>
      <c r="AM103" s="18" t="n">
        <v>0</v>
      </c>
      <c r="AN103" s="16" t="n">
        <v>14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14</v>
      </c>
      <c r="AV103" s="17" t="n">
        <v>0</v>
      </c>
      <c r="AW103" s="17" t="n">
        <v>0</v>
      </c>
      <c r="AX103" s="18" t="n">
        <v>0</v>
      </c>
      <c r="AY103" s="16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8" t="n">
        <v>0</v>
      </c>
      <c r="BJ103" s="16" t="n">
        <v>14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14</v>
      </c>
      <c r="BR103" s="17" t="n">
        <v>0</v>
      </c>
      <c r="BS103" s="17" t="n">
        <v>0</v>
      </c>
      <c r="BT103" s="18" t="n">
        <v>0</v>
      </c>
      <c r="BU103" s="17" t="inlineStr">
        <is>
          <t>Unclassified</t>
        </is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0</v>
      </c>
      <c r="J104" s="17" t="n">
        <v>12</v>
      </c>
      <c r="K104" s="17" t="n">
        <v>0</v>
      </c>
      <c r="L104" s="17" t="n">
        <v>0</v>
      </c>
      <c r="M104" s="17" t="n">
        <v>0</v>
      </c>
      <c r="N104" s="17" t="n">
        <v>4</v>
      </c>
      <c r="O104" s="17" t="n">
        <v>0</v>
      </c>
      <c r="P104" s="17" t="n">
        <v>0</v>
      </c>
      <c r="Q104" s="18" t="n">
        <v>0</v>
      </c>
      <c r="R104" s="16" t="n">
        <v>2.667</v>
      </c>
      <c r="S104" s="17" t="n">
        <v>0</v>
      </c>
      <c r="T104" s="17" t="n">
        <v>0</v>
      </c>
      <c r="U104" s="17" t="n">
        <v>2</v>
      </c>
      <c r="V104" s="17" t="n">
        <v>0</v>
      </c>
      <c r="W104" s="17" t="n">
        <v>0</v>
      </c>
      <c r="X104" s="17" t="n">
        <v>0</v>
      </c>
      <c r="Y104" s="17" t="n">
        <v>0.667</v>
      </c>
      <c r="Z104" s="17" t="n">
        <v>0</v>
      </c>
      <c r="AA104" s="17" t="n">
        <v>0</v>
      </c>
      <c r="AB104" s="18" t="n">
        <v>0</v>
      </c>
      <c r="AC104" s="16" t="n">
        <v>9.333</v>
      </c>
      <c r="AD104" s="17" t="n">
        <v>12</v>
      </c>
      <c r="AE104" s="17" t="n">
        <v>12</v>
      </c>
      <c r="AF104" s="17" t="n">
        <v>10</v>
      </c>
      <c r="AG104" s="17" t="n">
        <v>12</v>
      </c>
      <c r="AH104" s="17" t="n">
        <v>12</v>
      </c>
      <c r="AI104" s="17" t="n">
        <v>12</v>
      </c>
      <c r="AJ104" s="17" t="n">
        <v>11.333</v>
      </c>
      <c r="AK104" s="17" t="n">
        <v>12</v>
      </c>
      <c r="AL104" s="17" t="n">
        <v>12</v>
      </c>
      <c r="AM104" s="18" t="n">
        <v>12</v>
      </c>
      <c r="AN104" s="16" t="n">
        <v>14</v>
      </c>
      <c r="AO104" s="17" t="n">
        <v>0</v>
      </c>
      <c r="AP104" s="17" t="n">
        <v>0</v>
      </c>
      <c r="AQ104" s="17" t="n">
        <v>3</v>
      </c>
      <c r="AR104" s="17" t="n">
        <v>0</v>
      </c>
      <c r="AS104" s="17" t="n">
        <v>0</v>
      </c>
      <c r="AT104" s="17" t="n">
        <v>0</v>
      </c>
      <c r="AU104" s="17" t="n">
        <v>11</v>
      </c>
      <c r="AV104" s="17" t="n">
        <v>0</v>
      </c>
      <c r="AW104" s="17" t="n">
        <v>0</v>
      </c>
      <c r="AX104" s="18" t="n">
        <v>0</v>
      </c>
      <c r="AY104" s="16" t="n">
        <v>5</v>
      </c>
      <c r="AZ104" s="17" t="n">
        <v>0</v>
      </c>
      <c r="BA104" s="17" t="n">
        <v>0</v>
      </c>
      <c r="BB104" s="17" t="n">
        <v>4</v>
      </c>
      <c r="BC104" s="17" t="n">
        <v>0</v>
      </c>
      <c r="BD104" s="17" t="n">
        <v>0</v>
      </c>
      <c r="BE104" s="17" t="n">
        <v>0</v>
      </c>
      <c r="BF104" s="17" t="n">
        <v>1</v>
      </c>
      <c r="BG104" s="17" t="n">
        <v>0</v>
      </c>
      <c r="BH104" s="17" t="n">
        <v>0</v>
      </c>
      <c r="BI104" s="18" t="n">
        <v>0</v>
      </c>
      <c r="BJ104" s="16" t="n">
        <v>8</v>
      </c>
      <c r="BK104" s="17" t="n">
        <v>0</v>
      </c>
      <c r="BL104" s="17" t="n">
        <v>0</v>
      </c>
      <c r="BM104" s="17" t="n">
        <v>-1</v>
      </c>
      <c r="BN104" s="17" t="n">
        <v>0</v>
      </c>
      <c r="BO104" s="17" t="n">
        <v>0</v>
      </c>
      <c r="BP104" s="17" t="n">
        <v>0</v>
      </c>
      <c r="BQ104" s="17" t="n">
        <v>10</v>
      </c>
      <c r="BR104" s="17" t="n">
        <v>0</v>
      </c>
      <c r="BS104" s="17" t="n">
        <v>0</v>
      </c>
      <c r="BT104" s="18" t="n">
        <v>0</v>
      </c>
      <c r="BU104" s="17" t="inlineStr">
        <is>
          <t>Generic Drug</t>
        </is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8" t="n">
        <v>0</v>
      </c>
      <c r="R105" s="16" t="n">
        <v>1.667</v>
      </c>
      <c r="S105" s="17" t="n">
        <v>0</v>
      </c>
      <c r="T105" s="17" t="n">
        <v>0</v>
      </c>
      <c r="U105" s="17" t="n">
        <v>1.667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8" t="n">
        <v>0</v>
      </c>
      <c r="AC105" s="16" t="n">
        <v>-1.667</v>
      </c>
      <c r="AD105" s="17" t="n">
        <v>0</v>
      </c>
      <c r="AE105" s="17" t="n">
        <v>0</v>
      </c>
      <c r="AF105" s="17" t="n">
        <v>-1.667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8" t="n">
        <v>0</v>
      </c>
      <c r="AN105" s="16" t="n">
        <v>3</v>
      </c>
      <c r="AO105" s="17" t="n">
        <v>0</v>
      </c>
      <c r="AP105" s="17" t="n">
        <v>0</v>
      </c>
      <c r="AQ105" s="17" t="n">
        <v>2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8" t="n">
        <v>0</v>
      </c>
      <c r="AY105" s="16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8" t="n">
        <v>0</v>
      </c>
      <c r="BJ105" s="16" t="n">
        <v>3</v>
      </c>
      <c r="BK105" s="17" t="n">
        <v>0</v>
      </c>
      <c r="BL105" s="17" t="n">
        <v>0</v>
      </c>
      <c r="BM105" s="17" t="n">
        <v>2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8" t="n">
        <v>0</v>
      </c>
      <c r="BU105" s="17" t="inlineStr">
        <is>
          <t>Unclassified</t>
        </is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0</v>
      </c>
      <c r="J106" s="17" t="n">
        <v>210</v>
      </c>
      <c r="K106" s="17" t="n">
        <v>0</v>
      </c>
      <c r="L106" s="17" t="n">
        <v>0</v>
      </c>
      <c r="M106" s="17" t="n">
        <v>150</v>
      </c>
      <c r="N106" s="17" t="n">
        <v>180</v>
      </c>
      <c r="O106" s="17" t="n">
        <v>0</v>
      </c>
      <c r="P106" s="17" t="n">
        <v>0</v>
      </c>
      <c r="Q106" s="18" t="n">
        <v>0</v>
      </c>
      <c r="R106" s="16" t="n">
        <v>0.54</v>
      </c>
      <c r="S106" s="17" t="n">
        <v>0</v>
      </c>
      <c r="T106" s="17" t="n">
        <v>0</v>
      </c>
      <c r="U106" s="17" t="n">
        <v>0.21</v>
      </c>
      <c r="V106" s="17" t="n">
        <v>0</v>
      </c>
      <c r="W106" s="17" t="n">
        <v>0</v>
      </c>
      <c r="X106" s="17" t="n">
        <v>0.15</v>
      </c>
      <c r="Y106" s="17" t="n">
        <v>0.18</v>
      </c>
      <c r="Z106" s="17" t="n">
        <v>0</v>
      </c>
      <c r="AA106" s="17" t="n">
        <v>0</v>
      </c>
      <c r="AB106" s="18" t="n">
        <v>0</v>
      </c>
      <c r="AC106" s="16" t="n">
        <v>-0.54</v>
      </c>
      <c r="AD106" s="17" t="n">
        <v>0</v>
      </c>
      <c r="AE106" s="17" t="n">
        <v>0</v>
      </c>
      <c r="AF106" s="17" t="n">
        <v>-0.21</v>
      </c>
      <c r="AG106" s="17" t="n">
        <v>0</v>
      </c>
      <c r="AH106" s="17" t="n">
        <v>0</v>
      </c>
      <c r="AI106" s="17" t="n">
        <v>-0.15</v>
      </c>
      <c r="AJ106" s="17" t="n">
        <v>-0.18</v>
      </c>
      <c r="AK106" s="17" t="n">
        <v>0</v>
      </c>
      <c r="AL106" s="17" t="n">
        <v>0</v>
      </c>
      <c r="AM106" s="18" t="n">
        <v>0</v>
      </c>
      <c r="AN106" s="16" t="n">
        <v>57</v>
      </c>
      <c r="AO106" s="17" t="n">
        <v>0</v>
      </c>
      <c r="AP106" s="17" t="n">
        <v>0</v>
      </c>
      <c r="AQ106" s="17" t="n">
        <v>4</v>
      </c>
      <c r="AR106" s="17" t="n">
        <v>0</v>
      </c>
      <c r="AS106" s="17" t="n">
        <v>0</v>
      </c>
      <c r="AT106" s="17" t="n">
        <v>13</v>
      </c>
      <c r="AU106" s="17" t="n">
        <v>33</v>
      </c>
      <c r="AV106" s="17" t="n">
        <v>0</v>
      </c>
      <c r="AW106" s="17" t="n">
        <v>0</v>
      </c>
      <c r="AX106" s="18" t="n">
        <v>0</v>
      </c>
      <c r="AY106" s="16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8" t="n">
        <v>0</v>
      </c>
      <c r="BJ106" s="16" t="n">
        <v>57</v>
      </c>
      <c r="BK106" s="17" t="n">
        <v>0</v>
      </c>
      <c r="BL106" s="17" t="n">
        <v>0</v>
      </c>
      <c r="BM106" s="17" t="n">
        <v>4</v>
      </c>
      <c r="BN106" s="17" t="n">
        <v>0</v>
      </c>
      <c r="BO106" s="17" t="n">
        <v>0</v>
      </c>
      <c r="BP106" s="17" t="n">
        <v>13</v>
      </c>
      <c r="BQ106" s="17" t="n">
        <v>33</v>
      </c>
      <c r="BR106" s="17" t="n">
        <v>0</v>
      </c>
      <c r="BS106" s="17" t="n">
        <v>0</v>
      </c>
      <c r="BT106" s="18" t="n">
        <v>0</v>
      </c>
      <c r="BU106" s="17" t="inlineStr">
        <is>
          <t>Unclassified</t>
        </is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30</v>
      </c>
      <c r="O107" s="17" t="n">
        <v>0</v>
      </c>
      <c r="P107" s="17" t="n">
        <v>0</v>
      </c>
      <c r="Q107" s="18" t="n">
        <v>0</v>
      </c>
      <c r="R107" s="16" t="n">
        <v>0.3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0.3</v>
      </c>
      <c r="Z107" s="17" t="n">
        <v>0</v>
      </c>
      <c r="AA107" s="17" t="n">
        <v>0</v>
      </c>
      <c r="AB107" s="18" t="n">
        <v>0</v>
      </c>
      <c r="AC107" s="16" t="n">
        <v>-0.3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-0.3</v>
      </c>
      <c r="AK107" s="17" t="n">
        <v>0</v>
      </c>
      <c r="AL107" s="17" t="n">
        <v>0</v>
      </c>
      <c r="AM107" s="18" t="n">
        <v>0</v>
      </c>
      <c r="AN107" s="16" t="n">
        <v>12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11</v>
      </c>
      <c r="AV107" s="17" t="n">
        <v>0</v>
      </c>
      <c r="AW107" s="17" t="n">
        <v>0</v>
      </c>
      <c r="AX107" s="18" t="n">
        <v>0</v>
      </c>
      <c r="AY107" s="16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8" t="n">
        <v>0</v>
      </c>
      <c r="BJ107" s="16" t="n">
        <v>12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</v>
      </c>
      <c r="BR107" s="17" t="n">
        <v>0</v>
      </c>
      <c r="BS107" s="17" t="n">
        <v>0</v>
      </c>
      <c r="BT107" s="18" t="n">
        <v>0</v>
      </c>
      <c r="BU107" s="17" t="inlineStr">
        <is>
          <t>Unclassified</t>
        </is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0</v>
      </c>
      <c r="J108" s="17" t="n">
        <v>30</v>
      </c>
      <c r="K108" s="17" t="n">
        <v>0</v>
      </c>
      <c r="L108" s="17" t="n">
        <v>0</v>
      </c>
      <c r="M108" s="17" t="n">
        <v>0</v>
      </c>
      <c r="N108" s="17" t="n">
        <v>60</v>
      </c>
      <c r="O108" s="17" t="n">
        <v>0</v>
      </c>
      <c r="P108" s="17" t="n">
        <v>0</v>
      </c>
      <c r="Q108" s="18" t="n">
        <v>0</v>
      </c>
      <c r="R108" s="16" t="n">
        <v>0.9</v>
      </c>
      <c r="S108" s="17" t="n">
        <v>0</v>
      </c>
      <c r="T108" s="17" t="n">
        <v>0</v>
      </c>
      <c r="U108" s="17" t="n">
        <v>0.3</v>
      </c>
      <c r="V108" s="17" t="n">
        <v>0</v>
      </c>
      <c r="W108" s="17" t="n">
        <v>0</v>
      </c>
      <c r="X108" s="17" t="n">
        <v>0</v>
      </c>
      <c r="Y108" s="17" t="n">
        <v>0.6</v>
      </c>
      <c r="Z108" s="17" t="n">
        <v>0</v>
      </c>
      <c r="AA108" s="17" t="n">
        <v>0</v>
      </c>
      <c r="AB108" s="18" t="n">
        <v>0</v>
      </c>
      <c r="AC108" s="16" t="n">
        <v>-0.9</v>
      </c>
      <c r="AD108" s="17" t="n">
        <v>0</v>
      </c>
      <c r="AE108" s="17" t="n">
        <v>0</v>
      </c>
      <c r="AF108" s="17" t="n">
        <v>-0.3</v>
      </c>
      <c r="AG108" s="17" t="n">
        <v>0</v>
      </c>
      <c r="AH108" s="17" t="n">
        <v>0</v>
      </c>
      <c r="AI108" s="17" t="n">
        <v>0</v>
      </c>
      <c r="AJ108" s="17" t="n">
        <v>-0.6</v>
      </c>
      <c r="AK108" s="17" t="n">
        <v>0</v>
      </c>
      <c r="AL108" s="17" t="n">
        <v>0</v>
      </c>
      <c r="AM108" s="18" t="n">
        <v>0</v>
      </c>
      <c r="AN108" s="16" t="n">
        <v>17</v>
      </c>
      <c r="AO108" s="17" t="n">
        <v>0</v>
      </c>
      <c r="AP108" s="17" t="n">
        <v>0</v>
      </c>
      <c r="AQ108" s="17" t="n">
        <v>2</v>
      </c>
      <c r="AR108" s="17" t="n">
        <v>0</v>
      </c>
      <c r="AS108" s="17" t="n">
        <v>0</v>
      </c>
      <c r="AT108" s="17" t="n">
        <v>0</v>
      </c>
      <c r="AU108" s="17" t="n">
        <v>16</v>
      </c>
      <c r="AV108" s="17" t="n">
        <v>0</v>
      </c>
      <c r="AW108" s="17" t="n">
        <v>0</v>
      </c>
      <c r="AX108" s="18" t="n">
        <v>0</v>
      </c>
      <c r="AY108" s="16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8" t="n">
        <v>0</v>
      </c>
      <c r="BJ108" s="16" t="n">
        <v>17</v>
      </c>
      <c r="BK108" s="17" t="n">
        <v>0</v>
      </c>
      <c r="BL108" s="17" t="n">
        <v>0</v>
      </c>
      <c r="BM108" s="17" t="n">
        <v>2</v>
      </c>
      <c r="BN108" s="17" t="n">
        <v>0</v>
      </c>
      <c r="BO108" s="17" t="n">
        <v>0</v>
      </c>
      <c r="BP108" s="17" t="n">
        <v>0</v>
      </c>
      <c r="BQ108" s="17" t="n">
        <v>16</v>
      </c>
      <c r="BR108" s="17" t="n">
        <v>0</v>
      </c>
      <c r="BS108" s="17" t="n">
        <v>0</v>
      </c>
      <c r="BT108" s="18" t="n">
        <v>0</v>
      </c>
      <c r="BU108" s="17" t="inlineStr">
        <is>
          <t>Unclassified</t>
        </is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30</v>
      </c>
      <c r="O109" s="17" t="n">
        <v>0</v>
      </c>
      <c r="P109" s="17" t="n">
        <v>0</v>
      </c>
      <c r="Q109" s="18" t="n">
        <v>0</v>
      </c>
      <c r="R109" s="16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0.3</v>
      </c>
      <c r="Z109" s="17" t="n">
        <v>0</v>
      </c>
      <c r="AA109" s="17" t="n">
        <v>0</v>
      </c>
      <c r="AB109" s="18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-0.3</v>
      </c>
      <c r="AK109" s="17" t="n">
        <v>0</v>
      </c>
      <c r="AL109" s="17" t="n">
        <v>0</v>
      </c>
      <c r="AM109" s="18" t="n">
        <v>0</v>
      </c>
      <c r="AN109" s="16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11</v>
      </c>
      <c r="AV109" s="17" t="n">
        <v>0</v>
      </c>
      <c r="AW109" s="17" t="n">
        <v>0</v>
      </c>
      <c r="AX109" s="18" t="n">
        <v>0</v>
      </c>
      <c r="AY109" s="16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8" t="n">
        <v>0</v>
      </c>
      <c r="BJ109" s="16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11</v>
      </c>
      <c r="BR109" s="17" t="n">
        <v>0</v>
      </c>
      <c r="BS109" s="17" t="n">
        <v>0</v>
      </c>
      <c r="BT109" s="18" t="n">
        <v>0</v>
      </c>
      <c r="BU109" s="17" t="inlineStr">
        <is>
          <t>Unclassified</t>
        </is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99</v>
      </c>
      <c r="O110" s="17" t="n">
        <v>0</v>
      </c>
      <c r="P110" s="17" t="n">
        <v>0</v>
      </c>
      <c r="Q110" s="18" t="n">
        <v>0</v>
      </c>
      <c r="R110" s="16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0.099</v>
      </c>
      <c r="Z110" s="17" t="n">
        <v>0</v>
      </c>
      <c r="AA110" s="17" t="n">
        <v>0</v>
      </c>
      <c r="AB110" s="18" t="n">
        <v>0</v>
      </c>
      <c r="AC110" s="16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-0.099</v>
      </c>
      <c r="AK110" s="17" t="n">
        <v>0</v>
      </c>
      <c r="AL110" s="17" t="n">
        <v>0</v>
      </c>
      <c r="AM110" s="18" t="n">
        <v>0</v>
      </c>
      <c r="AN110" s="16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22</v>
      </c>
      <c r="AV110" s="17" t="n">
        <v>0</v>
      </c>
      <c r="AW110" s="17" t="n">
        <v>0</v>
      </c>
      <c r="AX110" s="18" t="n">
        <v>0</v>
      </c>
      <c r="AY110" s="16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8" t="n">
        <v>0</v>
      </c>
      <c r="BJ110" s="16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22</v>
      </c>
      <c r="BR110" s="17" t="n">
        <v>0</v>
      </c>
      <c r="BS110" s="17" t="n">
        <v>0</v>
      </c>
      <c r="BT110" s="18" t="n">
        <v>0</v>
      </c>
      <c r="BU110" s="17" t="inlineStr">
        <is>
          <t>Unclassified</t>
        </is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30</v>
      </c>
      <c r="O111" s="17" t="n">
        <v>0</v>
      </c>
      <c r="P111" s="17" t="n">
        <v>0</v>
      </c>
      <c r="Q111" s="18" t="n">
        <v>0</v>
      </c>
      <c r="R111" s="16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0.03</v>
      </c>
      <c r="Z111" s="17" t="n">
        <v>0</v>
      </c>
      <c r="AA111" s="17" t="n">
        <v>0</v>
      </c>
      <c r="AB111" s="18" t="n">
        <v>0</v>
      </c>
      <c r="AC111" s="16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-0.03</v>
      </c>
      <c r="AK111" s="17" t="n">
        <v>0</v>
      </c>
      <c r="AL111" s="17" t="n">
        <v>0</v>
      </c>
      <c r="AM111" s="18" t="n">
        <v>0</v>
      </c>
      <c r="AN111" s="16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11</v>
      </c>
      <c r="AV111" s="17" t="n">
        <v>0</v>
      </c>
      <c r="AW111" s="17" t="n">
        <v>0</v>
      </c>
      <c r="AX111" s="18" t="n">
        <v>0</v>
      </c>
      <c r="AY111" s="16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8" t="n">
        <v>0</v>
      </c>
      <c r="BJ111" s="16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11</v>
      </c>
      <c r="BR111" s="17" t="n">
        <v>0</v>
      </c>
      <c r="BS111" s="17" t="n">
        <v>0</v>
      </c>
      <c r="BT111" s="18" t="n">
        <v>0</v>
      </c>
      <c r="BU111" s="17" t="inlineStr">
        <is>
          <t>Unclassified</t>
        </is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0</v>
      </c>
      <c r="J112" s="17" t="n">
        <v>36</v>
      </c>
      <c r="K112" s="17" t="n">
        <v>0</v>
      </c>
      <c r="L112" s="17" t="n">
        <v>0</v>
      </c>
      <c r="M112" s="17" t="n">
        <v>0</v>
      </c>
      <c r="N112" s="17" t="n">
        <v>3</v>
      </c>
      <c r="O112" s="17" t="n">
        <v>0</v>
      </c>
      <c r="P112" s="17" t="n">
        <v>0</v>
      </c>
      <c r="Q112" s="18" t="n">
        <v>0</v>
      </c>
      <c r="R112" s="16" t="n">
        <v>2.6</v>
      </c>
      <c r="S112" s="17" t="n">
        <v>0</v>
      </c>
      <c r="T112" s="17" t="n">
        <v>0</v>
      </c>
      <c r="U112" s="17" t="n">
        <v>2.4</v>
      </c>
      <c r="V112" s="17" t="n">
        <v>0</v>
      </c>
      <c r="W112" s="17" t="n">
        <v>0</v>
      </c>
      <c r="X112" s="17" t="n">
        <v>0</v>
      </c>
      <c r="Y112" s="17" t="n">
        <v>0.2</v>
      </c>
      <c r="Z112" s="17" t="n">
        <v>0</v>
      </c>
      <c r="AA112" s="17" t="n">
        <v>0</v>
      </c>
      <c r="AB112" s="18" t="n">
        <v>0</v>
      </c>
      <c r="AC112" s="16" t="n">
        <v>20.4</v>
      </c>
      <c r="AD112" s="17" t="n">
        <v>23</v>
      </c>
      <c r="AE112" s="17" t="n">
        <v>23</v>
      </c>
      <c r="AF112" s="17" t="n">
        <v>20.6</v>
      </c>
      <c r="AG112" s="17" t="n">
        <v>23</v>
      </c>
      <c r="AH112" s="17" t="n">
        <v>23</v>
      </c>
      <c r="AI112" s="17" t="n">
        <v>23</v>
      </c>
      <c r="AJ112" s="17" t="n">
        <v>22.8</v>
      </c>
      <c r="AK112" s="17" t="n">
        <v>23</v>
      </c>
      <c r="AL112" s="17" t="n">
        <v>23</v>
      </c>
      <c r="AM112" s="18" t="n">
        <v>23</v>
      </c>
      <c r="AN112" s="16" t="n">
        <v>810</v>
      </c>
      <c r="AO112" s="17" t="n">
        <v>0</v>
      </c>
      <c r="AP112" s="17" t="n">
        <v>0</v>
      </c>
      <c r="AQ112" s="17" t="n">
        <v>702</v>
      </c>
      <c r="AR112" s="17" t="n">
        <v>0</v>
      </c>
      <c r="AS112" s="17" t="n">
        <v>0</v>
      </c>
      <c r="AT112" s="17" t="n">
        <v>0</v>
      </c>
      <c r="AU112" s="17" t="n">
        <v>73</v>
      </c>
      <c r="AV112" s="17" t="n">
        <v>0</v>
      </c>
      <c r="AW112" s="17" t="n">
        <v>0</v>
      </c>
      <c r="AX112" s="18" t="n">
        <v>0</v>
      </c>
      <c r="AY112" s="16" t="n">
        <v>824</v>
      </c>
      <c r="AZ112" s="17" t="n">
        <v>0</v>
      </c>
      <c r="BA112" s="17" t="n">
        <v>0</v>
      </c>
      <c r="BB112" s="17" t="n">
        <v>761</v>
      </c>
      <c r="BC112" s="17" t="n">
        <v>0</v>
      </c>
      <c r="BD112" s="17" t="n">
        <v>0</v>
      </c>
      <c r="BE112" s="17" t="n">
        <v>0</v>
      </c>
      <c r="BF112" s="17" t="n">
        <v>63</v>
      </c>
      <c r="BG112" s="17" t="n">
        <v>0</v>
      </c>
      <c r="BH112" s="17" t="n">
        <v>0</v>
      </c>
      <c r="BI112" s="18" t="n">
        <v>0</v>
      </c>
      <c r="BJ112" s="16" t="n">
        <v>-14</v>
      </c>
      <c r="BK112" s="17" t="n">
        <v>0</v>
      </c>
      <c r="BL112" s="17" t="n">
        <v>0</v>
      </c>
      <c r="BM112" s="17" t="n">
        <v>-59</v>
      </c>
      <c r="BN112" s="17" t="n">
        <v>0</v>
      </c>
      <c r="BO112" s="17" t="n">
        <v>0</v>
      </c>
      <c r="BP112" s="17" t="n">
        <v>0</v>
      </c>
      <c r="BQ112" s="17" t="n">
        <v>10</v>
      </c>
      <c r="BR112" s="17" t="n">
        <v>0</v>
      </c>
      <c r="BS112" s="17" t="n">
        <v>0</v>
      </c>
      <c r="BT112" s="18" t="n">
        <v>0</v>
      </c>
      <c r="BU112" s="17" t="inlineStr">
        <is>
          <t>Branded Drug</t>
        </is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90</v>
      </c>
      <c r="O113" s="17" t="n">
        <v>0</v>
      </c>
      <c r="P113" s="17" t="n">
        <v>0</v>
      </c>
      <c r="Q113" s="18" t="n">
        <v>0</v>
      </c>
      <c r="R113" s="16" t="n">
        <v>0.9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0.9</v>
      </c>
      <c r="Z113" s="17" t="n">
        <v>0</v>
      </c>
      <c r="AA113" s="17" t="n">
        <v>0</v>
      </c>
      <c r="AB113" s="18" t="n">
        <v>0</v>
      </c>
      <c r="AC113" s="16" t="n">
        <v>-0.9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-0.9</v>
      </c>
      <c r="AK113" s="17" t="n">
        <v>0</v>
      </c>
      <c r="AL113" s="17" t="n">
        <v>0</v>
      </c>
      <c r="AM113" s="18" t="n">
        <v>0</v>
      </c>
      <c r="AN113" s="16" t="n">
        <v>28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28</v>
      </c>
      <c r="AV113" s="17" t="n">
        <v>0</v>
      </c>
      <c r="AW113" s="17" t="n">
        <v>0</v>
      </c>
      <c r="AX113" s="18" t="n">
        <v>0</v>
      </c>
      <c r="AY113" s="16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8" t="n">
        <v>0</v>
      </c>
      <c r="BJ113" s="16" t="n">
        <v>28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28</v>
      </c>
      <c r="BR113" s="17" t="n">
        <v>0</v>
      </c>
      <c r="BS113" s="17" t="n">
        <v>0</v>
      </c>
      <c r="BT113" s="18" t="n">
        <v>0</v>
      </c>
      <c r="BU113" s="17" t="inlineStr">
        <is>
          <t>Unclassified</t>
        </is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8" t="n">
        <v>0</v>
      </c>
      <c r="R114" s="16" t="n">
        <v>0.3</v>
      </c>
      <c r="S114" s="17" t="n">
        <v>0</v>
      </c>
      <c r="T114" s="17" t="n">
        <v>0</v>
      </c>
      <c r="U114" s="17" t="n">
        <v>0</v>
      </c>
      <c r="V114" s="17" t="n">
        <v>0.3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8" t="n">
        <v>0</v>
      </c>
      <c r="AC114" s="16" t="n">
        <v>1.7</v>
      </c>
      <c r="AD114" s="17" t="n">
        <v>2</v>
      </c>
      <c r="AE114" s="17" t="n">
        <v>2</v>
      </c>
      <c r="AF114" s="17" t="n">
        <v>2</v>
      </c>
      <c r="AG114" s="17" t="n">
        <v>1.7</v>
      </c>
      <c r="AH114" s="17" t="n">
        <v>2</v>
      </c>
      <c r="AI114" s="17" t="n">
        <v>2</v>
      </c>
      <c r="AJ114" s="17" t="n">
        <v>2</v>
      </c>
      <c r="AK114" s="17" t="n">
        <v>2</v>
      </c>
      <c r="AL114" s="17" t="n">
        <v>2</v>
      </c>
      <c r="AM114" s="18" t="n">
        <v>2</v>
      </c>
      <c r="AN114" s="16" t="n">
        <v>9</v>
      </c>
      <c r="AO114" s="17" t="n">
        <v>0</v>
      </c>
      <c r="AP114" s="17" t="n">
        <v>0</v>
      </c>
      <c r="AQ114" s="17" t="n">
        <v>0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8" t="n">
        <v>0</v>
      </c>
      <c r="AY114" s="16" t="n">
        <v>6</v>
      </c>
      <c r="AZ114" s="17" t="n">
        <v>0</v>
      </c>
      <c r="BA114" s="17" t="n">
        <v>0</v>
      </c>
      <c r="BB114" s="17" t="n">
        <v>0</v>
      </c>
      <c r="BC114" s="17" t="n">
        <v>6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8" t="n">
        <v>0</v>
      </c>
      <c r="BJ114" s="16" t="n">
        <v>2</v>
      </c>
      <c r="BK114" s="17" t="n">
        <v>0</v>
      </c>
      <c r="BL114" s="17" t="n">
        <v>0</v>
      </c>
      <c r="BM114" s="17" t="n">
        <v>0</v>
      </c>
      <c r="BN114" s="17" t="n">
        <v>-3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8" t="n">
        <v>0</v>
      </c>
      <c r="BU114" s="17" t="inlineStr">
        <is>
          <t>Generic Drug</t>
        </is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32</v>
      </c>
      <c r="O115" s="17" t="n">
        <v>0</v>
      </c>
      <c r="P115" s="17" t="n">
        <v>0</v>
      </c>
      <c r="Q115" s="18" t="n">
        <v>0</v>
      </c>
      <c r="R115" s="16" t="n">
        <v>0.064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0.064</v>
      </c>
      <c r="Z115" s="17" t="n">
        <v>0</v>
      </c>
      <c r="AA115" s="17" t="n">
        <v>0</v>
      </c>
      <c r="AB115" s="18" t="n">
        <v>0</v>
      </c>
      <c r="AC115" s="16" t="n">
        <v>0.9360000000000001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7" t="n">
        <v>0.9360000000000001</v>
      </c>
      <c r="AK115" s="17" t="n">
        <v>1</v>
      </c>
      <c r="AL115" s="17" t="n">
        <v>1</v>
      </c>
      <c r="AM115" s="18" t="n">
        <v>1</v>
      </c>
      <c r="AN115" s="16" t="n">
        <v>23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23</v>
      </c>
      <c r="AV115" s="17" t="n">
        <v>0</v>
      </c>
      <c r="AW115" s="17" t="n">
        <v>0</v>
      </c>
      <c r="AX115" s="18" t="n">
        <v>0</v>
      </c>
      <c r="AY115" s="16" t="n">
        <v>1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8" t="n">
        <v>0</v>
      </c>
      <c r="BJ115" s="16" t="n">
        <v>21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21</v>
      </c>
      <c r="BR115" s="17" t="n">
        <v>0</v>
      </c>
      <c r="BS115" s="17" t="n">
        <v>0</v>
      </c>
      <c r="BT115" s="18" t="n">
        <v>0</v>
      </c>
      <c r="BU115" s="17" t="inlineStr">
        <is>
          <t>Generic Drug</t>
        </is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0</v>
      </c>
      <c r="J116" s="17" t="n">
        <v>20</v>
      </c>
      <c r="K116" s="17" t="n">
        <v>0</v>
      </c>
      <c r="L116" s="17" t="n">
        <v>0</v>
      </c>
      <c r="M116" s="17" t="n">
        <v>0</v>
      </c>
      <c r="N116" s="17" t="n">
        <v>112</v>
      </c>
      <c r="O116" s="17" t="n">
        <v>0</v>
      </c>
      <c r="P116" s="17" t="n">
        <v>0</v>
      </c>
      <c r="Q116" s="18" t="n">
        <v>0</v>
      </c>
      <c r="R116" s="16" t="n">
        <v>1.32</v>
      </c>
      <c r="S116" s="17" t="n">
        <v>0</v>
      </c>
      <c r="T116" s="17" t="n">
        <v>0</v>
      </c>
      <c r="U116" s="17" t="n">
        <v>0.2</v>
      </c>
      <c r="V116" s="17" t="n">
        <v>0</v>
      </c>
      <c r="W116" s="17" t="n">
        <v>0</v>
      </c>
      <c r="X116" s="17" t="n">
        <v>0</v>
      </c>
      <c r="Y116" s="17" t="n">
        <v>1.12</v>
      </c>
      <c r="Z116" s="17" t="n">
        <v>0</v>
      </c>
      <c r="AA116" s="17" t="n">
        <v>0</v>
      </c>
      <c r="AB116" s="18" t="n">
        <v>0</v>
      </c>
      <c r="AC116" s="16" t="n">
        <v>-1.32</v>
      </c>
      <c r="AD116" s="17" t="n">
        <v>0</v>
      </c>
      <c r="AE116" s="17" t="n">
        <v>0</v>
      </c>
      <c r="AF116" s="17" t="n">
        <v>-0.2</v>
      </c>
      <c r="AG116" s="17" t="n">
        <v>0</v>
      </c>
      <c r="AH116" s="17" t="n">
        <v>0</v>
      </c>
      <c r="AI116" s="17" t="n">
        <v>0</v>
      </c>
      <c r="AJ116" s="17" t="n">
        <v>-1.12</v>
      </c>
      <c r="AK116" s="17" t="n">
        <v>0</v>
      </c>
      <c r="AL116" s="17" t="n">
        <v>0</v>
      </c>
      <c r="AM116" s="18" t="n">
        <v>0</v>
      </c>
      <c r="AN116" s="16" t="n">
        <v>54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52</v>
      </c>
      <c r="AV116" s="17" t="n">
        <v>0</v>
      </c>
      <c r="AW116" s="17" t="n">
        <v>0</v>
      </c>
      <c r="AX116" s="18" t="n">
        <v>0</v>
      </c>
      <c r="AY116" s="16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8" t="n">
        <v>0</v>
      </c>
      <c r="BJ116" s="16" t="n">
        <v>54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52</v>
      </c>
      <c r="BR116" s="17" t="n">
        <v>0</v>
      </c>
      <c r="BS116" s="17" t="n">
        <v>0</v>
      </c>
      <c r="BT116" s="18" t="n">
        <v>0</v>
      </c>
      <c r="BU116" s="17" t="inlineStr">
        <is>
          <t>Unclassified</t>
        </is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120</v>
      </c>
      <c r="O117" s="17" t="n">
        <v>0</v>
      </c>
      <c r="P117" s="17" t="n">
        <v>0</v>
      </c>
      <c r="Q117" s="18" t="n">
        <v>0</v>
      </c>
      <c r="R117" s="16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2</v>
      </c>
      <c r="Z117" s="17" t="n">
        <v>0</v>
      </c>
      <c r="AA117" s="17" t="n">
        <v>0</v>
      </c>
      <c r="AB117" s="18" t="n">
        <v>0</v>
      </c>
      <c r="AC117" s="16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-2</v>
      </c>
      <c r="AK117" s="17" t="n">
        <v>0</v>
      </c>
      <c r="AL117" s="17" t="n">
        <v>0</v>
      </c>
      <c r="AM117" s="18" t="n">
        <v>0</v>
      </c>
      <c r="AN117" s="16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28</v>
      </c>
      <c r="AV117" s="17" t="n">
        <v>0</v>
      </c>
      <c r="AW117" s="17" t="n">
        <v>0</v>
      </c>
      <c r="AX117" s="18" t="n">
        <v>0</v>
      </c>
      <c r="AY117" s="16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8" t="n">
        <v>0</v>
      </c>
      <c r="BJ117" s="16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28</v>
      </c>
      <c r="BR117" s="17" t="n">
        <v>0</v>
      </c>
      <c r="BS117" s="17" t="n">
        <v>0</v>
      </c>
      <c r="BT117" s="18" t="n">
        <v>0</v>
      </c>
      <c r="BU117" s="17" t="inlineStr">
        <is>
          <t>Unclassified</t>
        </is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0</v>
      </c>
      <c r="J118" s="17" t="n">
        <v>237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8" t="n">
        <v>0</v>
      </c>
      <c r="R118" s="16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8" t="n">
        <v>0</v>
      </c>
      <c r="AC118" s="16" t="n">
        <v>0</v>
      </c>
      <c r="AD118" s="17" t="n">
        <v>0</v>
      </c>
      <c r="AE118" s="17" t="n">
        <v>0</v>
      </c>
      <c r="AF118" s="17" t="n">
        <v>-1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8" t="n">
        <v>0</v>
      </c>
      <c r="AN118" s="16" t="n">
        <v>0</v>
      </c>
      <c r="AO118" s="17" t="n">
        <v>0</v>
      </c>
      <c r="AP118" s="17" t="n">
        <v>0</v>
      </c>
      <c r="AQ118" s="17" t="n">
        <v>1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8" t="n">
        <v>0</v>
      </c>
      <c r="AY118" s="16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8" t="n">
        <v>0</v>
      </c>
      <c r="BJ118" s="16" t="n">
        <v>0</v>
      </c>
      <c r="BK118" s="17" t="n">
        <v>0</v>
      </c>
      <c r="BL118" s="17" t="n">
        <v>0</v>
      </c>
      <c r="BM118" s="17" t="n">
        <v>1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8" t="n">
        <v>0</v>
      </c>
      <c r="BU118" s="17" t="inlineStr">
        <is>
          <t>Unclassified</t>
        </is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46.6</v>
      </c>
      <c r="P119" s="17" t="n">
        <v>0</v>
      </c>
      <c r="Q119" s="18" t="n">
        <v>0</v>
      </c>
      <c r="R119" s="16" t="n">
        <v>1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1</v>
      </c>
      <c r="AA119" s="17" t="n">
        <v>0</v>
      </c>
      <c r="AB119" s="18" t="n">
        <v>0</v>
      </c>
      <c r="AC119" s="16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-1</v>
      </c>
      <c r="AL119" s="17" t="n">
        <v>0</v>
      </c>
      <c r="AM119" s="18" t="n">
        <v>0</v>
      </c>
      <c r="AN119" s="16" t="n">
        <v>160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150</v>
      </c>
      <c r="AW119" s="17" t="n">
        <v>0</v>
      </c>
      <c r="AX119" s="18" t="n">
        <v>0</v>
      </c>
      <c r="AY119" s="16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8" t="n">
        <v>0</v>
      </c>
      <c r="BJ119" s="16" t="n">
        <v>160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150</v>
      </c>
      <c r="BS119" s="17" t="n">
        <v>0</v>
      </c>
      <c r="BT119" s="18" t="n">
        <v>0</v>
      </c>
      <c r="BU119" s="17" t="inlineStr">
        <is>
          <t>Unclassified</t>
        </is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0</v>
      </c>
      <c r="K120" s="17" t="n">
        <v>50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8" t="n">
        <v>0</v>
      </c>
      <c r="R120" s="16" t="n">
        <v>1</v>
      </c>
      <c r="S120" s="17" t="n">
        <v>0</v>
      </c>
      <c r="T120" s="17" t="n">
        <v>0</v>
      </c>
      <c r="U120" s="17" t="n">
        <v>0</v>
      </c>
      <c r="V120" s="17" t="n">
        <v>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8" t="n">
        <v>0</v>
      </c>
      <c r="AC120" s="16" t="n">
        <v>-1</v>
      </c>
      <c r="AD120" s="17" t="n">
        <v>0</v>
      </c>
      <c r="AE120" s="17" t="n">
        <v>0</v>
      </c>
      <c r="AF120" s="17" t="n">
        <v>0</v>
      </c>
      <c r="AG120" s="17" t="n">
        <v>-1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8" t="n">
        <v>0</v>
      </c>
      <c r="AN120" s="16" t="n">
        <v>66</v>
      </c>
      <c r="AO120" s="17" t="n">
        <v>0</v>
      </c>
      <c r="AP120" s="17" t="n">
        <v>0</v>
      </c>
      <c r="AQ120" s="17" t="n">
        <v>0</v>
      </c>
      <c r="AR120" s="17" t="n">
        <v>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8" t="n">
        <v>0</v>
      </c>
      <c r="AY120" s="16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8" t="n">
        <v>0</v>
      </c>
      <c r="BJ120" s="16" t="n">
        <v>66</v>
      </c>
      <c r="BK120" s="17" t="n">
        <v>0</v>
      </c>
      <c r="BL120" s="17" t="n">
        <v>0</v>
      </c>
      <c r="BM120" s="17" t="n">
        <v>0</v>
      </c>
      <c r="BN120" s="17" t="n">
        <v>66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8" t="n">
        <v>0</v>
      </c>
      <c r="BU120" s="17" t="inlineStr">
        <is>
          <t>Unclassified</t>
        </is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0</v>
      </c>
      <c r="J121" s="17" t="n">
        <v>45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8" t="n">
        <v>0</v>
      </c>
      <c r="R121" s="16" t="n">
        <v>1</v>
      </c>
      <c r="S121" s="17" t="n">
        <v>0</v>
      </c>
      <c r="T121" s="17" t="n">
        <v>0</v>
      </c>
      <c r="U121" s="17" t="n">
        <v>1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8" t="n">
        <v>0</v>
      </c>
      <c r="AC121" s="16" t="n">
        <v>4</v>
      </c>
      <c r="AD121" s="17" t="n">
        <v>5</v>
      </c>
      <c r="AE121" s="17" t="n">
        <v>5</v>
      </c>
      <c r="AF121" s="17" t="n">
        <v>4</v>
      </c>
      <c r="AG121" s="17" t="n">
        <v>5</v>
      </c>
      <c r="AH121" s="17" t="n">
        <v>5</v>
      </c>
      <c r="AI121" s="17" t="n">
        <v>5</v>
      </c>
      <c r="AJ121" s="17" t="n">
        <v>5</v>
      </c>
      <c r="AK121" s="17" t="n">
        <v>5</v>
      </c>
      <c r="AL121" s="17" t="n">
        <v>5</v>
      </c>
      <c r="AM121" s="18" t="n">
        <v>5</v>
      </c>
      <c r="AN121" s="16" t="n">
        <v>20</v>
      </c>
      <c r="AO121" s="17" t="n">
        <v>0</v>
      </c>
      <c r="AP121" s="17" t="n">
        <v>0</v>
      </c>
      <c r="AQ121" s="17" t="n">
        <v>20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8" t="n">
        <v>0</v>
      </c>
      <c r="AY121" s="16" t="n">
        <v>11</v>
      </c>
      <c r="AZ121" s="17" t="n">
        <v>0</v>
      </c>
      <c r="BA121" s="17" t="n">
        <v>0</v>
      </c>
      <c r="BB121" s="17" t="n">
        <v>11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8" t="n">
        <v>0</v>
      </c>
      <c r="BJ121" s="16" t="n">
        <v>9</v>
      </c>
      <c r="BK121" s="17" t="n">
        <v>0</v>
      </c>
      <c r="BL121" s="17" t="n">
        <v>0</v>
      </c>
      <c r="BM121" s="17" t="n">
        <v>9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8" t="n">
        <v>0</v>
      </c>
      <c r="BU121" s="17" t="inlineStr">
        <is>
          <t>Generic Drug</t>
        </is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8" t="n">
        <v>0</v>
      </c>
      <c r="R122" s="16" t="n">
        <v>1</v>
      </c>
      <c r="S122" s="17" t="n">
        <v>0</v>
      </c>
      <c r="T122" s="17" t="n">
        <v>0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8" t="n">
        <v>0</v>
      </c>
      <c r="AC122" s="16" t="n">
        <v>-1</v>
      </c>
      <c r="AD122" s="17" t="n">
        <v>0</v>
      </c>
      <c r="AE122" s="17" t="n">
        <v>0</v>
      </c>
      <c r="AF122" s="17" t="n">
        <v>0</v>
      </c>
      <c r="AG122" s="17" t="n">
        <v>-1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8" t="n">
        <v>0</v>
      </c>
      <c r="AN122" s="16" t="n">
        <v>15</v>
      </c>
      <c r="AO122" s="17" t="n">
        <v>0</v>
      </c>
      <c r="AP122" s="17" t="n">
        <v>0</v>
      </c>
      <c r="AQ122" s="17" t="n">
        <v>0</v>
      </c>
      <c r="AR122" s="17" t="n">
        <v>15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8" t="n">
        <v>0</v>
      </c>
      <c r="AY122" s="16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8" t="n">
        <v>0</v>
      </c>
      <c r="BJ122" s="16" t="n">
        <v>15</v>
      </c>
      <c r="BK122" s="17" t="n">
        <v>0</v>
      </c>
      <c r="BL122" s="17" t="n">
        <v>0</v>
      </c>
      <c r="BM122" s="17" t="n">
        <v>0</v>
      </c>
      <c r="BN122" s="17" t="n">
        <v>15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8" t="n">
        <v>0</v>
      </c>
      <c r="BU122" s="17" t="inlineStr">
        <is>
          <t>Unclassified</t>
        </is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30</v>
      </c>
      <c r="N123" s="17" t="n">
        <v>30</v>
      </c>
      <c r="O123" s="17" t="n">
        <v>0</v>
      </c>
      <c r="P123" s="17" t="n">
        <v>0</v>
      </c>
      <c r="Q123" s="18" t="n">
        <v>0</v>
      </c>
      <c r="R123" s="16" t="n">
        <v>3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1</v>
      </c>
      <c r="Y123" s="17" t="n">
        <v>1</v>
      </c>
      <c r="Z123" s="17" t="n">
        <v>0</v>
      </c>
      <c r="AA123" s="17" t="n">
        <v>0</v>
      </c>
      <c r="AB123" s="18" t="n">
        <v>0</v>
      </c>
      <c r="AC123" s="16" t="n">
        <v>-3</v>
      </c>
      <c r="AD123" s="17" t="n">
        <v>-1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-1</v>
      </c>
      <c r="AJ123" s="17" t="n">
        <v>-1</v>
      </c>
      <c r="AK123" s="17" t="n">
        <v>0</v>
      </c>
      <c r="AL123" s="17" t="n">
        <v>0</v>
      </c>
      <c r="AM123" s="18" t="n">
        <v>0</v>
      </c>
      <c r="AN123" s="16" t="n">
        <v>12312</v>
      </c>
      <c r="AO123" s="17" t="n">
        <v>4203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3997</v>
      </c>
      <c r="AU123" s="17" t="n">
        <v>4112</v>
      </c>
      <c r="AV123" s="17" t="n">
        <v>0</v>
      </c>
      <c r="AW123" s="17" t="n">
        <v>0</v>
      </c>
      <c r="AX123" s="18" t="n">
        <v>0</v>
      </c>
      <c r="AY123" s="16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8" t="n">
        <v>0</v>
      </c>
      <c r="BJ123" s="16" t="n">
        <v>12312</v>
      </c>
      <c r="BK123" s="17" t="n">
        <v>4203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3997</v>
      </c>
      <c r="BQ123" s="17" t="n">
        <v>4112</v>
      </c>
      <c r="BR123" s="17" t="n">
        <v>0</v>
      </c>
      <c r="BS123" s="17" t="n">
        <v>0</v>
      </c>
      <c r="BT123" s="18" t="n">
        <v>0</v>
      </c>
      <c r="BU123" s="17" t="inlineStr">
        <is>
          <t>Unclassified</t>
        </is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29</v>
      </c>
      <c r="O124" s="17" t="n">
        <v>0</v>
      </c>
      <c r="P124" s="17" t="n">
        <v>0</v>
      </c>
      <c r="Q124" s="18" t="n">
        <v>0</v>
      </c>
      <c r="R124" s="16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0.29</v>
      </c>
      <c r="Z124" s="17" t="n">
        <v>0</v>
      </c>
      <c r="AA124" s="17" t="n">
        <v>0</v>
      </c>
      <c r="AB124" s="18" t="n">
        <v>0</v>
      </c>
      <c r="AC124" s="16" t="n">
        <v>13</v>
      </c>
      <c r="AD124" s="17" t="n">
        <v>13</v>
      </c>
      <c r="AE124" s="17" t="n">
        <v>13</v>
      </c>
      <c r="AF124" s="17" t="n">
        <v>13</v>
      </c>
      <c r="AG124" s="17" t="n">
        <v>13</v>
      </c>
      <c r="AH124" s="17" t="n">
        <v>13</v>
      </c>
      <c r="AI124" s="17" t="n">
        <v>13</v>
      </c>
      <c r="AJ124" s="17" t="n">
        <v>12.71</v>
      </c>
      <c r="AK124" s="17" t="n">
        <v>13</v>
      </c>
      <c r="AL124" s="17" t="n">
        <v>13</v>
      </c>
      <c r="AM124" s="18" t="n">
        <v>13</v>
      </c>
      <c r="AN124" s="16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</v>
      </c>
      <c r="AV124" s="17" t="n">
        <v>0</v>
      </c>
      <c r="AW124" s="17" t="n">
        <v>0</v>
      </c>
      <c r="AX124" s="18" t="n">
        <v>0</v>
      </c>
      <c r="AY124" s="16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</v>
      </c>
      <c r="BG124" s="17" t="n">
        <v>0</v>
      </c>
      <c r="BH124" s="17" t="n">
        <v>0</v>
      </c>
      <c r="BI124" s="18" t="n">
        <v>0</v>
      </c>
      <c r="BJ124" s="16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20</v>
      </c>
      <c r="BR124" s="17" t="n">
        <v>0</v>
      </c>
      <c r="BS124" s="17" t="n">
        <v>0</v>
      </c>
      <c r="BT124" s="18" t="n">
        <v>0</v>
      </c>
      <c r="BU124" s="17" t="inlineStr">
        <is>
          <t>OTC Drug</t>
        </is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30</v>
      </c>
      <c r="Q125" s="18" t="n">
        <v>0</v>
      </c>
      <c r="R125" s="16" t="n">
        <v>0.3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0.3</v>
      </c>
      <c r="AB125" s="18" t="n">
        <v>0</v>
      </c>
      <c r="AC125" s="16" t="n">
        <v>-0.3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-0.3</v>
      </c>
      <c r="AM125" s="18" t="n">
        <v>0</v>
      </c>
      <c r="AN125" s="16" t="n">
        <v>16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10</v>
      </c>
      <c r="AX125" s="18" t="n">
        <v>0</v>
      </c>
      <c r="AY125" s="16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8" t="n">
        <v>0</v>
      </c>
      <c r="BJ125" s="16" t="n">
        <v>16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10</v>
      </c>
      <c r="BT125" s="18" t="n">
        <v>0</v>
      </c>
      <c r="BU125" s="17" t="inlineStr">
        <is>
          <t>Unclassified</t>
        </is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0</v>
      </c>
      <c r="J126" s="17" t="n">
        <v>120</v>
      </c>
      <c r="K126" s="17" t="n">
        <v>0</v>
      </c>
      <c r="L126" s="17" t="n">
        <v>0</v>
      </c>
      <c r="M126" s="17" t="n">
        <v>30</v>
      </c>
      <c r="N126" s="17" t="n">
        <v>0</v>
      </c>
      <c r="O126" s="17" t="n">
        <v>0</v>
      </c>
      <c r="P126" s="17" t="n">
        <v>0</v>
      </c>
      <c r="Q126" s="18" t="n">
        <v>0</v>
      </c>
      <c r="R126" s="16" t="n">
        <v>1.5</v>
      </c>
      <c r="S126" s="17" t="n">
        <v>0</v>
      </c>
      <c r="T126" s="17" t="n">
        <v>0</v>
      </c>
      <c r="U126" s="17" t="n">
        <v>1.2</v>
      </c>
      <c r="V126" s="17" t="n">
        <v>0</v>
      </c>
      <c r="W126" s="17" t="n">
        <v>0</v>
      </c>
      <c r="X126" s="17" t="n">
        <v>0.3</v>
      </c>
      <c r="Y126" s="17" t="n">
        <v>0</v>
      </c>
      <c r="Z126" s="17" t="n">
        <v>0</v>
      </c>
      <c r="AA126" s="17" t="n">
        <v>0</v>
      </c>
      <c r="AB126" s="18" t="n">
        <v>0</v>
      </c>
      <c r="AC126" s="16" t="n">
        <v>-1.5</v>
      </c>
      <c r="AD126" s="17" t="n">
        <v>0</v>
      </c>
      <c r="AE126" s="17" t="n">
        <v>0</v>
      </c>
      <c r="AF126" s="17" t="n">
        <v>-1.2</v>
      </c>
      <c r="AG126" s="17" t="n">
        <v>0</v>
      </c>
      <c r="AH126" s="17" t="n">
        <v>0</v>
      </c>
      <c r="AI126" s="17" t="n">
        <v>-0.3</v>
      </c>
      <c r="AJ126" s="17" t="n">
        <v>0</v>
      </c>
      <c r="AK126" s="17" t="n">
        <v>0</v>
      </c>
      <c r="AL126" s="17" t="n">
        <v>0</v>
      </c>
      <c r="AM126" s="18" t="n">
        <v>0</v>
      </c>
      <c r="AN126" s="16" t="n">
        <v>23</v>
      </c>
      <c r="AO126" s="17" t="n">
        <v>0</v>
      </c>
      <c r="AP126" s="17" t="n">
        <v>0</v>
      </c>
      <c r="AQ126" s="17" t="n">
        <v>14</v>
      </c>
      <c r="AR126" s="17" t="n">
        <v>0</v>
      </c>
      <c r="AS126" s="17" t="n">
        <v>0</v>
      </c>
      <c r="AT126" s="17" t="n">
        <v>7</v>
      </c>
      <c r="AU126" s="17" t="n">
        <v>0</v>
      </c>
      <c r="AV126" s="17" t="n">
        <v>0</v>
      </c>
      <c r="AW126" s="17" t="n">
        <v>0</v>
      </c>
      <c r="AX126" s="18" t="n">
        <v>0</v>
      </c>
      <c r="AY126" s="16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8" t="n">
        <v>0</v>
      </c>
      <c r="BJ126" s="16" t="n">
        <v>23</v>
      </c>
      <c r="BK126" s="17" t="n">
        <v>0</v>
      </c>
      <c r="BL126" s="17" t="n">
        <v>0</v>
      </c>
      <c r="BM126" s="17" t="n">
        <v>14</v>
      </c>
      <c r="BN126" s="17" t="n">
        <v>0</v>
      </c>
      <c r="BO126" s="17" t="n">
        <v>0</v>
      </c>
      <c r="BP126" s="17" t="n">
        <v>7</v>
      </c>
      <c r="BQ126" s="17" t="n">
        <v>0</v>
      </c>
      <c r="BR126" s="17" t="n">
        <v>0</v>
      </c>
      <c r="BS126" s="17" t="n">
        <v>0</v>
      </c>
      <c r="BT126" s="18" t="n">
        <v>0</v>
      </c>
      <c r="BU126" s="17" t="inlineStr">
        <is>
          <t>Unclassified</t>
        </is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3</v>
      </c>
      <c r="O127" s="17" t="n">
        <v>0</v>
      </c>
      <c r="P127" s="17" t="n">
        <v>0</v>
      </c>
      <c r="Q127" s="18" t="n">
        <v>0</v>
      </c>
      <c r="R127" s="16" t="n">
        <v>3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3</v>
      </c>
      <c r="Z127" s="17" t="n">
        <v>0</v>
      </c>
      <c r="AA127" s="17" t="n">
        <v>0</v>
      </c>
      <c r="AB127" s="18" t="n">
        <v>0</v>
      </c>
      <c r="AC127" s="16" t="n">
        <v>-3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-3</v>
      </c>
      <c r="AK127" s="17" t="n">
        <v>0</v>
      </c>
      <c r="AL127" s="17" t="n">
        <v>0</v>
      </c>
      <c r="AM127" s="18" t="n">
        <v>0</v>
      </c>
      <c r="AN127" s="16" t="n">
        <v>152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152</v>
      </c>
      <c r="AV127" s="17" t="n">
        <v>0</v>
      </c>
      <c r="AW127" s="17" t="n">
        <v>0</v>
      </c>
      <c r="AX127" s="18" t="n">
        <v>0</v>
      </c>
      <c r="AY127" s="16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8" t="n">
        <v>0</v>
      </c>
      <c r="BJ127" s="16" t="n">
        <v>152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152</v>
      </c>
      <c r="BR127" s="17" t="n">
        <v>0</v>
      </c>
      <c r="BS127" s="17" t="n">
        <v>0</v>
      </c>
      <c r="BT127" s="18" t="n">
        <v>0</v>
      </c>
      <c r="BU127" s="17" t="inlineStr">
        <is>
          <t>Unclassified</t>
        </is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0</v>
      </c>
      <c r="J128" s="17" t="n">
        <v>420</v>
      </c>
      <c r="K128" s="17" t="n">
        <v>60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8" t="n">
        <v>0</v>
      </c>
      <c r="R128" s="16" t="n">
        <v>8</v>
      </c>
      <c r="S128" s="17" t="n">
        <v>0</v>
      </c>
      <c r="T128" s="17" t="n">
        <v>0</v>
      </c>
      <c r="U128" s="17" t="n">
        <v>7</v>
      </c>
      <c r="V128" s="17" t="n">
        <v>1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8" t="n">
        <v>0</v>
      </c>
      <c r="AC128" s="16" t="n">
        <v>-7</v>
      </c>
      <c r="AD128" s="17" t="n">
        <v>1</v>
      </c>
      <c r="AE128" s="17" t="n">
        <v>1</v>
      </c>
      <c r="AF128" s="17" t="n">
        <v>-6</v>
      </c>
      <c r="AG128" s="17" t="n">
        <v>0</v>
      </c>
      <c r="AH128" s="17" t="n">
        <v>1</v>
      </c>
      <c r="AI128" s="17" t="n">
        <v>1</v>
      </c>
      <c r="AJ128" s="17" t="n">
        <v>1</v>
      </c>
      <c r="AK128" s="17" t="n">
        <v>1</v>
      </c>
      <c r="AL128" s="17" t="n">
        <v>1</v>
      </c>
      <c r="AM128" s="18" t="n">
        <v>1</v>
      </c>
      <c r="AN128" s="16" t="n">
        <v>3034</v>
      </c>
      <c r="AO128" s="17" t="n">
        <v>0</v>
      </c>
      <c r="AP128" s="17" t="n">
        <v>0</v>
      </c>
      <c r="AQ128" s="17" t="n">
        <v>2674</v>
      </c>
      <c r="AR128" s="17" t="n">
        <v>360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8" t="n">
        <v>0</v>
      </c>
      <c r="AY128" s="16" t="n">
        <v>3168</v>
      </c>
      <c r="AZ128" s="17" t="n">
        <v>0</v>
      </c>
      <c r="BA128" s="17" t="n">
        <v>0</v>
      </c>
      <c r="BB128" s="17" t="n">
        <v>2772</v>
      </c>
      <c r="BC128" s="17" t="n">
        <v>396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8" t="n">
        <v>0</v>
      </c>
      <c r="BJ128" s="16" t="n">
        <v>-134</v>
      </c>
      <c r="BK128" s="17" t="n">
        <v>0</v>
      </c>
      <c r="BL128" s="17" t="n">
        <v>0</v>
      </c>
      <c r="BM128" s="17" t="n">
        <v>-98</v>
      </c>
      <c r="BN128" s="17" t="n">
        <v>-36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8" t="n">
        <v>0</v>
      </c>
      <c r="BU128" s="17" t="inlineStr">
        <is>
          <t>Branded Drug</t>
        </is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0</v>
      </c>
      <c r="J129" s="17" t="n">
        <v>21.4</v>
      </c>
      <c r="K129" s="17" t="n">
        <v>21.4</v>
      </c>
      <c r="L129" s="17" t="n">
        <v>0</v>
      </c>
      <c r="M129" s="17" t="n">
        <v>10.7</v>
      </c>
      <c r="N129" s="17" t="n">
        <v>21.4</v>
      </c>
      <c r="O129" s="17" t="n">
        <v>32.1</v>
      </c>
      <c r="P129" s="17" t="n">
        <v>0</v>
      </c>
      <c r="Q129" s="18" t="n">
        <v>0</v>
      </c>
      <c r="R129" s="16" t="n">
        <v>10</v>
      </c>
      <c r="S129" s="17" t="n">
        <v>0</v>
      </c>
      <c r="T129" s="17" t="n">
        <v>0</v>
      </c>
      <c r="U129" s="17" t="n">
        <v>2</v>
      </c>
      <c r="V129" s="17" t="n">
        <v>2</v>
      </c>
      <c r="W129" s="17" t="n">
        <v>0</v>
      </c>
      <c r="X129" s="17" t="n">
        <v>1</v>
      </c>
      <c r="Y129" s="17" t="n">
        <v>2</v>
      </c>
      <c r="Z129" s="17" t="n">
        <v>3</v>
      </c>
      <c r="AA129" s="17" t="n">
        <v>0</v>
      </c>
      <c r="AB129" s="18" t="n">
        <v>0</v>
      </c>
      <c r="AC129" s="16" t="n">
        <v>-3</v>
      </c>
      <c r="AD129" s="17" t="n">
        <v>7</v>
      </c>
      <c r="AE129" s="17" t="n">
        <v>7</v>
      </c>
      <c r="AF129" s="17" t="n">
        <v>5</v>
      </c>
      <c r="AG129" s="17" t="n">
        <v>5</v>
      </c>
      <c r="AH129" s="17" t="n">
        <v>7</v>
      </c>
      <c r="AI129" s="17" t="n">
        <v>6</v>
      </c>
      <c r="AJ129" s="17" t="n">
        <v>5</v>
      </c>
      <c r="AK129" s="17" t="n">
        <v>4</v>
      </c>
      <c r="AL129" s="17" t="n">
        <v>7</v>
      </c>
      <c r="AM129" s="18" t="n">
        <v>7</v>
      </c>
      <c r="AN129" s="16" t="n">
        <v>6608</v>
      </c>
      <c r="AO129" s="17" t="n">
        <v>0</v>
      </c>
      <c r="AP129" s="17" t="n">
        <v>0</v>
      </c>
      <c r="AQ129" s="17" t="n">
        <v>1302</v>
      </c>
      <c r="AR129" s="17" t="n">
        <v>1207</v>
      </c>
      <c r="AS129" s="17" t="n">
        <v>0</v>
      </c>
      <c r="AT129" s="17" t="n">
        <v>649</v>
      </c>
      <c r="AU129" s="17" t="n">
        <v>1331</v>
      </c>
      <c r="AV129" s="17" t="n">
        <v>2058</v>
      </c>
      <c r="AW129" s="17" t="n">
        <v>0</v>
      </c>
      <c r="AX129" s="18" t="n">
        <v>0</v>
      </c>
      <c r="AY129" s="16" t="n">
        <v>6660</v>
      </c>
      <c r="AZ129" s="17" t="n">
        <v>0</v>
      </c>
      <c r="BA129" s="17" t="n">
        <v>0</v>
      </c>
      <c r="BB129" s="17" t="n">
        <v>1332</v>
      </c>
      <c r="BC129" s="17" t="n">
        <v>1332</v>
      </c>
      <c r="BD129" s="17" t="n">
        <v>0</v>
      </c>
      <c r="BE129" s="17" t="n">
        <v>666</v>
      </c>
      <c r="BF129" s="17" t="n">
        <v>1332</v>
      </c>
      <c r="BG129" s="17" t="n">
        <v>1998</v>
      </c>
      <c r="BH129" s="17" t="n">
        <v>0</v>
      </c>
      <c r="BI129" s="18" t="n">
        <v>0</v>
      </c>
      <c r="BJ129" s="16" t="n">
        <v>-52</v>
      </c>
      <c r="BK129" s="17" t="n">
        <v>0</v>
      </c>
      <c r="BL129" s="17" t="n">
        <v>0</v>
      </c>
      <c r="BM129" s="17" t="n">
        <v>-30</v>
      </c>
      <c r="BN129" s="17" t="n">
        <v>-125</v>
      </c>
      <c r="BO129" s="17" t="n">
        <v>0</v>
      </c>
      <c r="BP129" s="17" t="n">
        <v>-17</v>
      </c>
      <c r="BQ129" s="17" t="n">
        <v>-1</v>
      </c>
      <c r="BR129" s="17" t="n">
        <v>60</v>
      </c>
      <c r="BS129" s="17" t="n">
        <v>0</v>
      </c>
      <c r="BT129" s="18" t="n">
        <v>0</v>
      </c>
      <c r="BU129" s="17" t="inlineStr">
        <is>
          <t>Branded Drug</t>
        </is>
      </c>
    </row>
    <row r="130" ht="20" customHeight="1">
      <c r="A130" s="15" t="inlineStr">
        <is>
          <t>61314014310</t>
        </is>
      </c>
      <c r="B130" s="15" t="inlineStr">
        <is>
          <t>BRIMONIDINE TARTRATE 0.2% SOLUTION</t>
        </is>
      </c>
      <c r="C130" s="16" t="n">
        <v>10</v>
      </c>
      <c r="D130" s="16" t="n">
        <v>0</v>
      </c>
      <c r="E130" s="16" t="n">
        <v>0</v>
      </c>
      <c r="F130" s="16" t="n">
        <v>0</v>
      </c>
      <c r="G130" s="16" t="n">
        <v>20</v>
      </c>
      <c r="H130" s="17" t="n">
        <v>0</v>
      </c>
      <c r="I130" s="17" t="n">
        <v>0</v>
      </c>
      <c r="J130" s="17" t="n">
        <v>20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8" t="n">
        <v>0</v>
      </c>
      <c r="R130" s="16" t="n">
        <v>2</v>
      </c>
      <c r="S130" s="17" t="n">
        <v>0</v>
      </c>
      <c r="T130" s="17" t="n">
        <v>0</v>
      </c>
      <c r="U130" s="17" t="n">
        <v>2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8" t="n">
        <v>0</v>
      </c>
      <c r="AC130" s="16" t="n">
        <v>-2</v>
      </c>
      <c r="AD130" s="17" t="n">
        <v>0</v>
      </c>
      <c r="AE130" s="17" t="n">
        <v>0</v>
      </c>
      <c r="AF130" s="17" t="n">
        <v>-2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8" t="n">
        <v>0</v>
      </c>
      <c r="AN130" s="16" t="n">
        <v>24</v>
      </c>
      <c r="AO130" s="17" t="n">
        <v>0</v>
      </c>
      <c r="AP130" s="17" t="n">
        <v>0</v>
      </c>
      <c r="AQ130" s="17" t="n">
        <v>24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8" t="n">
        <v>0</v>
      </c>
      <c r="AY130" s="16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8" t="n">
        <v>0</v>
      </c>
      <c r="BJ130" s="16" t="n">
        <v>24</v>
      </c>
      <c r="BK130" s="17" t="n">
        <v>0</v>
      </c>
      <c r="BL130" s="17" t="n">
        <v>0</v>
      </c>
      <c r="BM130" s="17" t="n">
        <v>24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8" t="n">
        <v>0</v>
      </c>
      <c r="BU130" s="17" t="inlineStr">
        <is>
          <t>Unclassified</t>
        </is>
      </c>
    </row>
    <row r="131" ht="20" customHeight="1">
      <c r="A131" s="15" t="inlineStr">
        <is>
          <t>61314014305</t>
        </is>
      </c>
      <c r="B131" s="15" t="inlineStr">
        <is>
          <t>BRIMONIDINE TARTRATE 0.2% SOLUTION</t>
        </is>
      </c>
      <c r="C131" s="16" t="n">
        <v>5</v>
      </c>
      <c r="D131" s="16" t="n">
        <v>0</v>
      </c>
      <c r="E131" s="16" t="n">
        <v>0</v>
      </c>
      <c r="F131" s="16" t="n">
        <v>0</v>
      </c>
      <c r="G131" s="16" t="n">
        <v>45</v>
      </c>
      <c r="H131" s="17" t="n">
        <v>0</v>
      </c>
      <c r="I131" s="17" t="n">
        <v>0</v>
      </c>
      <c r="J131" s="17" t="n">
        <v>20</v>
      </c>
      <c r="K131" s="17" t="n">
        <v>5</v>
      </c>
      <c r="L131" s="17" t="n">
        <v>0</v>
      </c>
      <c r="M131" s="17" t="n">
        <v>0</v>
      </c>
      <c r="N131" s="17" t="n">
        <v>20</v>
      </c>
      <c r="O131" s="17" t="n">
        <v>0</v>
      </c>
      <c r="P131" s="17" t="n">
        <v>0</v>
      </c>
      <c r="Q131" s="18" t="n">
        <v>0</v>
      </c>
      <c r="R131" s="16" t="n">
        <v>9</v>
      </c>
      <c r="S131" s="17" t="n">
        <v>0</v>
      </c>
      <c r="T131" s="17" t="n">
        <v>0</v>
      </c>
      <c r="U131" s="17" t="n">
        <v>4</v>
      </c>
      <c r="V131" s="17" t="n">
        <v>1</v>
      </c>
      <c r="W131" s="17" t="n">
        <v>0</v>
      </c>
      <c r="X131" s="17" t="n">
        <v>0</v>
      </c>
      <c r="Y131" s="17" t="n">
        <v>4</v>
      </c>
      <c r="Z131" s="17" t="n">
        <v>0</v>
      </c>
      <c r="AA131" s="17" t="n">
        <v>0</v>
      </c>
      <c r="AB131" s="18" t="n">
        <v>0</v>
      </c>
      <c r="AC131" s="16" t="n">
        <v>-9</v>
      </c>
      <c r="AD131" s="17" t="n">
        <v>0</v>
      </c>
      <c r="AE131" s="17" t="n">
        <v>0</v>
      </c>
      <c r="AF131" s="17" t="n">
        <v>-4</v>
      </c>
      <c r="AG131" s="17" t="n">
        <v>-1</v>
      </c>
      <c r="AH131" s="17" t="n">
        <v>0</v>
      </c>
      <c r="AI131" s="17" t="n">
        <v>0</v>
      </c>
      <c r="AJ131" s="17" t="n">
        <v>-4</v>
      </c>
      <c r="AK131" s="17" t="n">
        <v>0</v>
      </c>
      <c r="AL131" s="17" t="n">
        <v>0</v>
      </c>
      <c r="AM131" s="18" t="n">
        <v>0</v>
      </c>
      <c r="AN131" s="16" t="n">
        <v>57</v>
      </c>
      <c r="AO131" s="17" t="n">
        <v>0</v>
      </c>
      <c r="AP131" s="17" t="n">
        <v>0</v>
      </c>
      <c r="AQ131" s="17" t="n">
        <v>18</v>
      </c>
      <c r="AR131" s="17" t="n">
        <v>3</v>
      </c>
      <c r="AS131" s="17" t="n">
        <v>0</v>
      </c>
      <c r="AT131" s="17" t="n">
        <v>0</v>
      </c>
      <c r="AU131" s="17" t="n">
        <v>33</v>
      </c>
      <c r="AV131" s="17" t="n">
        <v>0</v>
      </c>
      <c r="AW131" s="17" t="n">
        <v>0</v>
      </c>
      <c r="AX131" s="18" t="n">
        <v>0</v>
      </c>
      <c r="AY131" s="16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8" t="n">
        <v>0</v>
      </c>
      <c r="BJ131" s="16" t="n">
        <v>57</v>
      </c>
      <c r="BK131" s="17" t="n">
        <v>0</v>
      </c>
      <c r="BL131" s="17" t="n">
        <v>0</v>
      </c>
      <c r="BM131" s="17" t="n">
        <v>18</v>
      </c>
      <c r="BN131" s="17" t="n">
        <v>3</v>
      </c>
      <c r="BO131" s="17" t="n">
        <v>0</v>
      </c>
      <c r="BP131" s="17" t="n">
        <v>0</v>
      </c>
      <c r="BQ131" s="17" t="n">
        <v>33</v>
      </c>
      <c r="BR131" s="17" t="n">
        <v>0</v>
      </c>
      <c r="BS131" s="17" t="n">
        <v>0</v>
      </c>
      <c r="BT131" s="18" t="n">
        <v>0</v>
      </c>
      <c r="BU131" s="17" t="inlineStr">
        <is>
          <t>Unclassified</t>
        </is>
      </c>
    </row>
    <row r="132" ht="20" customHeight="1">
      <c r="A132" s="15" t="inlineStr">
        <is>
          <t>70069065201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0</v>
      </c>
      <c r="J132" s="17" t="n">
        <v>10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8" t="n">
        <v>0</v>
      </c>
      <c r="R132" s="16" t="n">
        <v>1</v>
      </c>
      <c r="S132" s="17" t="n">
        <v>0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8" t="n">
        <v>0</v>
      </c>
      <c r="AC132" s="16" t="n">
        <v>-1</v>
      </c>
      <c r="AD132" s="17" t="n">
        <v>0</v>
      </c>
      <c r="AE132" s="17" t="n">
        <v>0</v>
      </c>
      <c r="AF132" s="17" t="n">
        <v>-1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8" t="n">
        <v>0</v>
      </c>
      <c r="AN132" s="16" t="n">
        <v>61</v>
      </c>
      <c r="AO132" s="17" t="n">
        <v>0</v>
      </c>
      <c r="AP132" s="17" t="n">
        <v>0</v>
      </c>
      <c r="AQ132" s="17" t="n">
        <v>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8" t="n">
        <v>0</v>
      </c>
      <c r="AY132" s="16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8" t="n">
        <v>0</v>
      </c>
      <c r="BJ132" s="16" t="n">
        <v>61</v>
      </c>
      <c r="BK132" s="17" t="n">
        <v>0</v>
      </c>
      <c r="BL132" s="17" t="n">
        <v>0</v>
      </c>
      <c r="BM132" s="17" t="n">
        <v>61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8" t="n">
        <v>0</v>
      </c>
      <c r="BU132" s="17" t="inlineStr">
        <is>
          <t>Unclassified</t>
        </is>
      </c>
    </row>
    <row r="133" ht="20" customHeight="1">
      <c r="A133" s="15" t="inlineStr">
        <is>
          <t>68462028132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0</v>
      </c>
      <c r="J133" s="17" t="n">
        <v>10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8" t="n">
        <v>0</v>
      </c>
      <c r="R133" s="16" t="n">
        <v>1</v>
      </c>
      <c r="S133" s="17" t="n">
        <v>0</v>
      </c>
      <c r="T133" s="17" t="n">
        <v>0</v>
      </c>
      <c r="U133" s="17" t="n">
        <v>1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8" t="n">
        <v>0</v>
      </c>
      <c r="AC133" s="16" t="n">
        <v>-1</v>
      </c>
      <c r="AD133" s="17" t="n">
        <v>0</v>
      </c>
      <c r="AE133" s="17" t="n">
        <v>0</v>
      </c>
      <c r="AF133" s="17" t="n">
        <v>-1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8" t="n">
        <v>0</v>
      </c>
      <c r="AN133" s="16" t="n">
        <v>61</v>
      </c>
      <c r="AO133" s="17" t="n">
        <v>0</v>
      </c>
      <c r="AP133" s="17" t="n">
        <v>0</v>
      </c>
      <c r="AQ133" s="17" t="n">
        <v>49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8" t="n">
        <v>0</v>
      </c>
      <c r="AY133" s="16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8" t="n">
        <v>0</v>
      </c>
      <c r="BJ133" s="16" t="n">
        <v>61</v>
      </c>
      <c r="BK133" s="17" t="n">
        <v>0</v>
      </c>
      <c r="BL133" s="17" t="n">
        <v>0</v>
      </c>
      <c r="BM133" s="17" t="n">
        <v>49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8" t="n">
        <v>0</v>
      </c>
      <c r="BU133" s="17" t="inlineStr">
        <is>
          <t>Unclassified</t>
        </is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0</v>
      </c>
      <c r="J134" s="17" t="n">
        <v>1.7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8" t="n">
        <v>0</v>
      </c>
      <c r="R134" s="16" t="n">
        <v>1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8" t="n">
        <v>0</v>
      </c>
      <c r="AC134" s="16" t="n">
        <v>-1</v>
      </c>
      <c r="AD134" s="17" t="n">
        <v>0</v>
      </c>
      <c r="AE134" s="17" t="n">
        <v>0</v>
      </c>
      <c r="AF134" s="17" t="n">
        <v>-1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8" t="n">
        <v>0</v>
      </c>
      <c r="AN134" s="16" t="n">
        <v>75</v>
      </c>
      <c r="AO134" s="17" t="n">
        <v>0</v>
      </c>
      <c r="AP134" s="17" t="n">
        <v>0</v>
      </c>
      <c r="AQ134" s="17" t="n">
        <v>69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8" t="n">
        <v>0</v>
      </c>
      <c r="AY134" s="16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8" t="n">
        <v>0</v>
      </c>
      <c r="BJ134" s="16" t="n">
        <v>75</v>
      </c>
      <c r="BK134" s="17" t="n">
        <v>0</v>
      </c>
      <c r="BL134" s="17" t="n">
        <v>0</v>
      </c>
      <c r="BM134" s="17" t="n">
        <v>69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8" t="n">
        <v>0</v>
      </c>
      <c r="BU134" s="17" t="inlineStr">
        <is>
          <t>Unclassified</t>
        </is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0</v>
      </c>
      <c r="J135" s="17" t="n">
        <v>120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8" t="n">
        <v>0</v>
      </c>
      <c r="R135" s="16" t="n">
        <v>2</v>
      </c>
      <c r="S135" s="17" t="n">
        <v>0</v>
      </c>
      <c r="T135" s="17" t="n">
        <v>0</v>
      </c>
      <c r="U135" s="17" t="n">
        <v>2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8" t="n">
        <v>0</v>
      </c>
      <c r="AC135" s="16" t="n">
        <v>-2</v>
      </c>
      <c r="AD135" s="17" t="n">
        <v>0</v>
      </c>
      <c r="AE135" s="17" t="n">
        <v>0</v>
      </c>
      <c r="AF135" s="17" t="n">
        <v>-2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8" t="n">
        <v>0</v>
      </c>
      <c r="AN135" s="16" t="n">
        <v>33</v>
      </c>
      <c r="AO135" s="17" t="n">
        <v>0</v>
      </c>
      <c r="AP135" s="17" t="n">
        <v>0</v>
      </c>
      <c r="AQ135" s="17" t="n">
        <v>26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8" t="n">
        <v>0</v>
      </c>
      <c r="AY135" s="16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8" t="n">
        <v>0</v>
      </c>
      <c r="BJ135" s="16" t="n">
        <v>33</v>
      </c>
      <c r="BK135" s="17" t="n">
        <v>0</v>
      </c>
      <c r="BL135" s="17" t="n">
        <v>0</v>
      </c>
      <c r="BM135" s="17" t="n">
        <v>26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8" t="n">
        <v>0</v>
      </c>
      <c r="BU135" s="17" t="inlineStr">
        <is>
          <t>Unclassified</t>
        </is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0</v>
      </c>
      <c r="J136" s="17" t="n">
        <v>240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8" t="n">
        <v>0</v>
      </c>
      <c r="R136" s="16" t="n">
        <v>4</v>
      </c>
      <c r="S136" s="17" t="n">
        <v>0</v>
      </c>
      <c r="T136" s="17" t="n">
        <v>0</v>
      </c>
      <c r="U136" s="17" t="n">
        <v>4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8" t="n">
        <v>0</v>
      </c>
      <c r="AC136" s="16" t="n">
        <v>-4</v>
      </c>
      <c r="AD136" s="17" t="n">
        <v>0</v>
      </c>
      <c r="AE136" s="17" t="n">
        <v>0</v>
      </c>
      <c r="AF136" s="17" t="n">
        <v>-4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8" t="n">
        <v>0</v>
      </c>
      <c r="AN136" s="16" t="n">
        <v>65</v>
      </c>
      <c r="AO136" s="17" t="n">
        <v>0</v>
      </c>
      <c r="AP136" s="17" t="n">
        <v>0</v>
      </c>
      <c r="AQ136" s="17" t="n">
        <v>62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8" t="n">
        <v>0</v>
      </c>
      <c r="AY136" s="16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8" t="n">
        <v>0</v>
      </c>
      <c r="BJ136" s="16" t="n">
        <v>65</v>
      </c>
      <c r="BK136" s="17" t="n">
        <v>0</v>
      </c>
      <c r="BL136" s="17" t="n">
        <v>0</v>
      </c>
      <c r="BM136" s="17" t="n">
        <v>62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8" t="n">
        <v>0</v>
      </c>
      <c r="BU136" s="17" t="inlineStr">
        <is>
          <t>Unclassified</t>
        </is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0</v>
      </c>
      <c r="J137" s="17" t="n">
        <v>71.40000000000001</v>
      </c>
      <c r="K137" s="17" t="n">
        <v>30.6</v>
      </c>
      <c r="L137" s="17" t="n">
        <v>0</v>
      </c>
      <c r="M137" s="17" t="n">
        <v>10.2</v>
      </c>
      <c r="N137" s="17" t="n">
        <v>0</v>
      </c>
      <c r="O137" s="17" t="n">
        <v>0</v>
      </c>
      <c r="P137" s="17" t="n">
        <v>0</v>
      </c>
      <c r="Q137" s="18" t="n">
        <v>0</v>
      </c>
      <c r="R137" s="16" t="n">
        <v>11</v>
      </c>
      <c r="S137" s="17" t="n">
        <v>0</v>
      </c>
      <c r="T137" s="17" t="n">
        <v>0</v>
      </c>
      <c r="U137" s="17" t="n">
        <v>7</v>
      </c>
      <c r="V137" s="17" t="n">
        <v>3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8" t="n">
        <v>0</v>
      </c>
      <c r="AC137" s="16" t="n">
        <v>-5</v>
      </c>
      <c r="AD137" s="17" t="n">
        <v>6</v>
      </c>
      <c r="AE137" s="17" t="n">
        <v>6</v>
      </c>
      <c r="AF137" s="17" t="n">
        <v>-1</v>
      </c>
      <c r="AG137" s="17" t="n">
        <v>3</v>
      </c>
      <c r="AH137" s="17" t="n">
        <v>6</v>
      </c>
      <c r="AI137" s="17" t="n">
        <v>5</v>
      </c>
      <c r="AJ137" s="17" t="n">
        <v>6</v>
      </c>
      <c r="AK137" s="17" t="n">
        <v>6</v>
      </c>
      <c r="AL137" s="17" t="n">
        <v>6</v>
      </c>
      <c r="AM137" s="18" t="n">
        <v>6</v>
      </c>
      <c r="AN137" s="16" t="n">
        <v>1439</v>
      </c>
      <c r="AO137" s="17" t="n">
        <v>0</v>
      </c>
      <c r="AP137" s="17" t="n">
        <v>0</v>
      </c>
      <c r="AQ137" s="17" t="n">
        <v>804</v>
      </c>
      <c r="AR137" s="17" t="n">
        <v>453</v>
      </c>
      <c r="AS137" s="17" t="n">
        <v>0</v>
      </c>
      <c r="AT137" s="17" t="n">
        <v>154</v>
      </c>
      <c r="AU137" s="17" t="n">
        <v>0</v>
      </c>
      <c r="AV137" s="17" t="n">
        <v>0</v>
      </c>
      <c r="AW137" s="17" t="n">
        <v>0</v>
      </c>
      <c r="AX137" s="18" t="n">
        <v>0</v>
      </c>
      <c r="AY137" s="16" t="n">
        <v>1529</v>
      </c>
      <c r="AZ137" s="17" t="n">
        <v>0</v>
      </c>
      <c r="BA137" s="17" t="n">
        <v>0</v>
      </c>
      <c r="BB137" s="17" t="n">
        <v>973</v>
      </c>
      <c r="BC137" s="17" t="n">
        <v>417</v>
      </c>
      <c r="BD137" s="17" t="n">
        <v>0</v>
      </c>
      <c r="BE137" s="17" t="n">
        <v>139</v>
      </c>
      <c r="BF137" s="17" t="n">
        <v>0</v>
      </c>
      <c r="BG137" s="17" t="n">
        <v>0</v>
      </c>
      <c r="BH137" s="17" t="n">
        <v>0</v>
      </c>
      <c r="BI137" s="18" t="n">
        <v>0</v>
      </c>
      <c r="BJ137" s="16" t="n">
        <v>-90</v>
      </c>
      <c r="BK137" s="17" t="n">
        <v>0</v>
      </c>
      <c r="BL137" s="17" t="n">
        <v>0</v>
      </c>
      <c r="BM137" s="17" t="n">
        <v>-169</v>
      </c>
      <c r="BN137" s="17" t="n">
        <v>36</v>
      </c>
      <c r="BO137" s="17" t="n">
        <v>0</v>
      </c>
      <c r="BP137" s="17" t="n">
        <v>15</v>
      </c>
      <c r="BQ137" s="17" t="n">
        <v>0</v>
      </c>
      <c r="BR137" s="17" t="n">
        <v>0</v>
      </c>
      <c r="BS137" s="17" t="n">
        <v>0</v>
      </c>
      <c r="BT137" s="18" t="n">
        <v>0</v>
      </c>
      <c r="BU137" s="17" t="inlineStr">
        <is>
          <t>Generic Drug</t>
        </is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0</v>
      </c>
      <c r="J138" s="17" t="n">
        <v>51</v>
      </c>
      <c r="K138" s="17" t="n">
        <v>30.6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8" t="n">
        <v>0</v>
      </c>
      <c r="R138" s="16" t="n">
        <v>8</v>
      </c>
      <c r="S138" s="17" t="n">
        <v>0</v>
      </c>
      <c r="T138" s="17" t="n">
        <v>0</v>
      </c>
      <c r="U138" s="17" t="n">
        <v>5</v>
      </c>
      <c r="V138" s="17" t="n">
        <v>3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8" t="n">
        <v>0</v>
      </c>
      <c r="AC138" s="16" t="n">
        <v>1</v>
      </c>
      <c r="AD138" s="17" t="n">
        <v>9</v>
      </c>
      <c r="AE138" s="17" t="n">
        <v>9</v>
      </c>
      <c r="AF138" s="17" t="n">
        <v>4</v>
      </c>
      <c r="AG138" s="17" t="n">
        <v>6</v>
      </c>
      <c r="AH138" s="17" t="n">
        <v>9</v>
      </c>
      <c r="AI138" s="17" t="n">
        <v>9</v>
      </c>
      <c r="AJ138" s="17" t="n">
        <v>9</v>
      </c>
      <c r="AK138" s="17" t="n">
        <v>9</v>
      </c>
      <c r="AL138" s="17" t="n">
        <v>9</v>
      </c>
      <c r="AM138" s="18" t="n">
        <v>9</v>
      </c>
      <c r="AN138" s="16" t="n">
        <v>1322</v>
      </c>
      <c r="AO138" s="17" t="n">
        <v>0</v>
      </c>
      <c r="AP138" s="17" t="n">
        <v>0</v>
      </c>
      <c r="AQ138" s="17" t="n">
        <v>748</v>
      </c>
      <c r="AR138" s="17" t="n">
        <v>544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8" t="n">
        <v>0</v>
      </c>
      <c r="AY138" s="16" t="n">
        <v>1440</v>
      </c>
      <c r="AZ138" s="17" t="n">
        <v>0</v>
      </c>
      <c r="BA138" s="17" t="n">
        <v>0</v>
      </c>
      <c r="BB138" s="17" t="n">
        <v>900</v>
      </c>
      <c r="BC138" s="17" t="n">
        <v>540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8" t="n">
        <v>0</v>
      </c>
      <c r="BJ138" s="16" t="n">
        <v>-118</v>
      </c>
      <c r="BK138" s="17" t="n">
        <v>0</v>
      </c>
      <c r="BL138" s="17" t="n">
        <v>0</v>
      </c>
      <c r="BM138" s="17" t="n">
        <v>-152</v>
      </c>
      <c r="BN138" s="17" t="n">
        <v>4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8" t="n">
        <v>0</v>
      </c>
      <c r="BU138" s="17" t="inlineStr">
        <is>
          <t>Generic Drug</t>
        </is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0</v>
      </c>
      <c r="J139" s="17" t="n">
        <v>4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8" t="n">
        <v>0</v>
      </c>
      <c r="R139" s="16" t="n">
        <v>1</v>
      </c>
      <c r="S139" s="17" t="n">
        <v>0</v>
      </c>
      <c r="T139" s="17" t="n">
        <v>0</v>
      </c>
      <c r="U139" s="17" t="n">
        <v>1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8" t="n">
        <v>0</v>
      </c>
      <c r="AC139" s="16" t="n">
        <v>0</v>
      </c>
      <c r="AD139" s="17" t="n">
        <v>1</v>
      </c>
      <c r="AE139" s="17" t="n">
        <v>1</v>
      </c>
      <c r="AF139" s="17" t="n">
        <v>0</v>
      </c>
      <c r="AG139" s="17" t="n">
        <v>1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7" t="n">
        <v>1</v>
      </c>
      <c r="AM139" s="18" t="n">
        <v>1</v>
      </c>
      <c r="AN139" s="16" t="n">
        <v>110</v>
      </c>
      <c r="AO139" s="17" t="n">
        <v>0</v>
      </c>
      <c r="AP139" s="17" t="n">
        <v>0</v>
      </c>
      <c r="AQ139" s="17" t="n">
        <v>110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8" t="n">
        <v>0</v>
      </c>
      <c r="AY139" s="16" t="n">
        <v>267</v>
      </c>
      <c r="AZ139" s="17" t="n">
        <v>0</v>
      </c>
      <c r="BA139" s="17" t="n">
        <v>0</v>
      </c>
      <c r="BB139" s="17" t="n">
        <v>267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8" t="n">
        <v>0</v>
      </c>
      <c r="BJ139" s="16" t="n">
        <v>-157</v>
      </c>
      <c r="BK139" s="17" t="n">
        <v>0</v>
      </c>
      <c r="BL139" s="17" t="n">
        <v>0</v>
      </c>
      <c r="BM139" s="17" t="n">
        <v>-157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8" t="n">
        <v>0</v>
      </c>
      <c r="BU139" s="17" t="inlineStr">
        <is>
          <t>Generic Drug</t>
        </is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60</v>
      </c>
      <c r="O140" s="17" t="n">
        <v>0</v>
      </c>
      <c r="P140" s="17" t="n">
        <v>0</v>
      </c>
      <c r="Q140" s="18" t="n">
        <v>0</v>
      </c>
      <c r="R140" s="16" t="n">
        <v>0.6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0.6</v>
      </c>
      <c r="Z140" s="17" t="n">
        <v>0</v>
      </c>
      <c r="AA140" s="17" t="n">
        <v>0</v>
      </c>
      <c r="AB140" s="18" t="n">
        <v>0</v>
      </c>
      <c r="AC140" s="16" t="n">
        <v>-0.6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-0.6</v>
      </c>
      <c r="AK140" s="17" t="n">
        <v>0</v>
      </c>
      <c r="AL140" s="17" t="n">
        <v>0</v>
      </c>
      <c r="AM140" s="18" t="n">
        <v>0</v>
      </c>
      <c r="AN140" s="16" t="n">
        <v>16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16</v>
      </c>
      <c r="AV140" s="17" t="n">
        <v>0</v>
      </c>
      <c r="AW140" s="17" t="n">
        <v>0</v>
      </c>
      <c r="AX140" s="18" t="n">
        <v>0</v>
      </c>
      <c r="AY140" s="16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8" t="n">
        <v>0</v>
      </c>
      <c r="BJ140" s="16" t="n">
        <v>16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16</v>
      </c>
      <c r="BR140" s="17" t="n">
        <v>0</v>
      </c>
      <c r="BS140" s="17" t="n">
        <v>0</v>
      </c>
      <c r="BT140" s="18" t="n">
        <v>0</v>
      </c>
      <c r="BU140" s="17" t="inlineStr">
        <is>
          <t>Unclassified</t>
        </is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30</v>
      </c>
      <c r="P141" s="17" t="n">
        <v>0</v>
      </c>
      <c r="Q141" s="18" t="n">
        <v>0</v>
      </c>
      <c r="R141" s="16" t="n">
        <v>0.3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0.3</v>
      </c>
      <c r="AA141" s="17" t="n">
        <v>0</v>
      </c>
      <c r="AB141" s="18" t="n">
        <v>0</v>
      </c>
      <c r="AC141" s="16" t="n">
        <v>-0.3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-0.3</v>
      </c>
      <c r="AL141" s="17" t="n">
        <v>0</v>
      </c>
      <c r="AM141" s="18" t="n">
        <v>0</v>
      </c>
      <c r="AN141" s="16" t="n">
        <v>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1</v>
      </c>
      <c r="AW141" s="17" t="n">
        <v>0</v>
      </c>
      <c r="AX141" s="18" t="n">
        <v>0</v>
      </c>
      <c r="AY141" s="16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8" t="n">
        <v>0</v>
      </c>
      <c r="BJ141" s="16" t="n">
        <v>5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1</v>
      </c>
      <c r="BS141" s="17" t="n">
        <v>0</v>
      </c>
      <c r="BT141" s="18" t="n">
        <v>0</v>
      </c>
      <c r="BU141" s="17" t="inlineStr">
        <is>
          <t>Unclassified</t>
        </is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0</v>
      </c>
      <c r="J142" s="17" t="n">
        <v>90</v>
      </c>
      <c r="K142" s="17" t="n">
        <v>60</v>
      </c>
      <c r="L142" s="17" t="n">
        <v>0</v>
      </c>
      <c r="M142" s="17" t="n">
        <v>30</v>
      </c>
      <c r="N142" s="17" t="n">
        <v>111</v>
      </c>
      <c r="O142" s="17" t="n">
        <v>0</v>
      </c>
      <c r="P142" s="17" t="n">
        <v>0</v>
      </c>
      <c r="Q142" s="18" t="n">
        <v>0</v>
      </c>
      <c r="R142" s="16" t="n">
        <v>0.582</v>
      </c>
      <c r="S142" s="17" t="n">
        <v>0</v>
      </c>
      <c r="T142" s="17" t="n">
        <v>0</v>
      </c>
      <c r="U142" s="17" t="n">
        <v>0.18</v>
      </c>
      <c r="V142" s="17" t="n">
        <v>0.12</v>
      </c>
      <c r="W142" s="17" t="n">
        <v>0</v>
      </c>
      <c r="X142" s="17" t="n">
        <v>0.06</v>
      </c>
      <c r="Y142" s="17" t="n">
        <v>0.222</v>
      </c>
      <c r="Z142" s="17" t="n">
        <v>0</v>
      </c>
      <c r="AA142" s="17" t="n">
        <v>0</v>
      </c>
      <c r="AB142" s="18" t="n">
        <v>0</v>
      </c>
      <c r="AC142" s="16" t="n">
        <v>-0.582</v>
      </c>
      <c r="AD142" s="17" t="n">
        <v>0</v>
      </c>
      <c r="AE142" s="17" t="n">
        <v>0</v>
      </c>
      <c r="AF142" s="17" t="n">
        <v>-0.18</v>
      </c>
      <c r="AG142" s="17" t="n">
        <v>-0.12</v>
      </c>
      <c r="AH142" s="17" t="n">
        <v>0</v>
      </c>
      <c r="AI142" s="17" t="n">
        <v>-0.06</v>
      </c>
      <c r="AJ142" s="17" t="n">
        <v>-0.222</v>
      </c>
      <c r="AK142" s="17" t="n">
        <v>0</v>
      </c>
      <c r="AL142" s="17" t="n">
        <v>0</v>
      </c>
      <c r="AM142" s="18" t="n">
        <v>0</v>
      </c>
      <c r="AN142" s="16" t="n">
        <v>57</v>
      </c>
      <c r="AO142" s="17" t="n">
        <v>0</v>
      </c>
      <c r="AP142" s="17" t="n">
        <v>0</v>
      </c>
      <c r="AQ142" s="17" t="n">
        <v>5</v>
      </c>
      <c r="AR142" s="17" t="n">
        <v>0</v>
      </c>
      <c r="AS142" s="17" t="n">
        <v>0</v>
      </c>
      <c r="AT142" s="17" t="n">
        <v>4</v>
      </c>
      <c r="AU142" s="17" t="n">
        <v>39</v>
      </c>
      <c r="AV142" s="17" t="n">
        <v>0</v>
      </c>
      <c r="AW142" s="17" t="n">
        <v>0</v>
      </c>
      <c r="AX142" s="18" t="n">
        <v>0</v>
      </c>
      <c r="AY142" s="16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8" t="n">
        <v>0</v>
      </c>
      <c r="BJ142" s="16" t="n">
        <v>57</v>
      </c>
      <c r="BK142" s="17" t="n">
        <v>0</v>
      </c>
      <c r="BL142" s="17" t="n">
        <v>0</v>
      </c>
      <c r="BM142" s="17" t="n">
        <v>5</v>
      </c>
      <c r="BN142" s="17" t="n">
        <v>0</v>
      </c>
      <c r="BO142" s="17" t="n">
        <v>0</v>
      </c>
      <c r="BP142" s="17" t="n">
        <v>4</v>
      </c>
      <c r="BQ142" s="17" t="n">
        <v>39</v>
      </c>
      <c r="BR142" s="17" t="n">
        <v>0</v>
      </c>
      <c r="BS142" s="17" t="n">
        <v>0</v>
      </c>
      <c r="BT142" s="18" t="n">
        <v>0</v>
      </c>
      <c r="BU142" s="17" t="inlineStr">
        <is>
          <t>Unclassified</t>
        </is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0</v>
      </c>
      <c r="M143" s="17" t="n">
        <v>0</v>
      </c>
      <c r="N143" s="17" t="n">
        <v>90</v>
      </c>
      <c r="O143" s="17" t="n">
        <v>0</v>
      </c>
      <c r="P143" s="17" t="n">
        <v>0</v>
      </c>
      <c r="Q143" s="18" t="n">
        <v>0</v>
      </c>
      <c r="R143" s="16" t="n">
        <v>0.42</v>
      </c>
      <c r="S143" s="17" t="n">
        <v>0</v>
      </c>
      <c r="T143" s="17" t="n">
        <v>0</v>
      </c>
      <c r="U143" s="17" t="n">
        <v>0.24</v>
      </c>
      <c r="V143" s="17" t="n">
        <v>0</v>
      </c>
      <c r="W143" s="17" t="n">
        <v>0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8" t="n">
        <v>0</v>
      </c>
      <c r="AC143" s="16" t="n">
        <v>-0.42</v>
      </c>
      <c r="AD143" s="17" t="n">
        <v>0</v>
      </c>
      <c r="AE143" s="17" t="n">
        <v>0</v>
      </c>
      <c r="AF143" s="17" t="n">
        <v>-0.24</v>
      </c>
      <c r="AG143" s="17" t="n">
        <v>0</v>
      </c>
      <c r="AH143" s="17" t="n">
        <v>0</v>
      </c>
      <c r="AI143" s="17" t="n">
        <v>0</v>
      </c>
      <c r="AJ143" s="17" t="n">
        <v>-0.18</v>
      </c>
      <c r="AK143" s="17" t="n">
        <v>0</v>
      </c>
      <c r="AL143" s="17" t="n">
        <v>0</v>
      </c>
      <c r="AM143" s="18" t="n">
        <v>0</v>
      </c>
      <c r="AN143" s="16" t="n">
        <v>61</v>
      </c>
      <c r="AO143" s="17" t="n">
        <v>0</v>
      </c>
      <c r="AP143" s="17" t="n">
        <v>0</v>
      </c>
      <c r="AQ143" s="17" t="n">
        <v>18</v>
      </c>
      <c r="AR143" s="17" t="n">
        <v>0</v>
      </c>
      <c r="AS143" s="17" t="n">
        <v>0</v>
      </c>
      <c r="AT143" s="17" t="n">
        <v>0</v>
      </c>
      <c r="AU143" s="17" t="n">
        <v>37</v>
      </c>
      <c r="AV143" s="17" t="n">
        <v>0</v>
      </c>
      <c r="AW143" s="17" t="n">
        <v>0</v>
      </c>
      <c r="AX143" s="18" t="n">
        <v>0</v>
      </c>
      <c r="AY143" s="16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8" t="n">
        <v>0</v>
      </c>
      <c r="BJ143" s="16" t="n">
        <v>61</v>
      </c>
      <c r="BK143" s="17" t="n">
        <v>0</v>
      </c>
      <c r="BL143" s="17" t="n">
        <v>0</v>
      </c>
      <c r="BM143" s="17" t="n">
        <v>18</v>
      </c>
      <c r="BN143" s="17" t="n">
        <v>0</v>
      </c>
      <c r="BO143" s="17" t="n">
        <v>0</v>
      </c>
      <c r="BP143" s="17" t="n">
        <v>0</v>
      </c>
      <c r="BQ143" s="17" t="n">
        <v>37</v>
      </c>
      <c r="BR143" s="17" t="n">
        <v>0</v>
      </c>
      <c r="BS143" s="17" t="n">
        <v>0</v>
      </c>
      <c r="BT143" s="18" t="n">
        <v>0</v>
      </c>
      <c r="BU143" s="17" t="inlineStr">
        <is>
          <t>Unclassified</t>
        </is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0</v>
      </c>
      <c r="J144" s="17" t="n">
        <v>150</v>
      </c>
      <c r="K144" s="17" t="n">
        <v>0</v>
      </c>
      <c r="L144" s="17" t="n">
        <v>0</v>
      </c>
      <c r="M144" s="17" t="n">
        <v>0</v>
      </c>
      <c r="N144" s="17" t="n">
        <v>30</v>
      </c>
      <c r="O144" s="17" t="n">
        <v>60</v>
      </c>
      <c r="P144" s="17" t="n">
        <v>0</v>
      </c>
      <c r="Q144" s="18" t="n">
        <v>0</v>
      </c>
      <c r="R144" s="16" t="n">
        <v>0.48</v>
      </c>
      <c r="S144" s="17" t="n">
        <v>0</v>
      </c>
      <c r="T144" s="17" t="n">
        <v>0</v>
      </c>
      <c r="U144" s="17" t="n">
        <v>0.3</v>
      </c>
      <c r="V144" s="17" t="n">
        <v>0</v>
      </c>
      <c r="W144" s="17" t="n">
        <v>0</v>
      </c>
      <c r="X144" s="17" t="n">
        <v>0</v>
      </c>
      <c r="Y144" s="17" t="n">
        <v>0.06</v>
      </c>
      <c r="Z144" s="17" t="n">
        <v>0.12</v>
      </c>
      <c r="AA144" s="17" t="n">
        <v>0</v>
      </c>
      <c r="AB144" s="18" t="n">
        <v>0</v>
      </c>
      <c r="AC144" s="16" t="n">
        <v>-0.48</v>
      </c>
      <c r="AD144" s="17" t="n">
        <v>0</v>
      </c>
      <c r="AE144" s="17" t="n">
        <v>0</v>
      </c>
      <c r="AF144" s="17" t="n">
        <v>-0.3</v>
      </c>
      <c r="AG144" s="17" t="n">
        <v>0</v>
      </c>
      <c r="AH144" s="17" t="n">
        <v>0</v>
      </c>
      <c r="AI144" s="17" t="n">
        <v>0</v>
      </c>
      <c r="AJ144" s="17" t="n">
        <v>-0.06</v>
      </c>
      <c r="AK144" s="17" t="n">
        <v>-0.12</v>
      </c>
      <c r="AL144" s="17" t="n">
        <v>0</v>
      </c>
      <c r="AM144" s="18" t="n">
        <v>0</v>
      </c>
      <c r="AN144" s="16" t="n">
        <v>17</v>
      </c>
      <c r="AO144" s="17" t="n">
        <v>0</v>
      </c>
      <c r="AP144" s="17" t="n">
        <v>0</v>
      </c>
      <c r="AQ144" s="17" t="n">
        <v>4</v>
      </c>
      <c r="AR144" s="17" t="n">
        <v>0</v>
      </c>
      <c r="AS144" s="17" t="n">
        <v>0</v>
      </c>
      <c r="AT144" s="17" t="n">
        <v>0</v>
      </c>
      <c r="AU144" s="17" t="n">
        <v>11</v>
      </c>
      <c r="AV144" s="17" t="n">
        <v>0</v>
      </c>
      <c r="AW144" s="17" t="n">
        <v>0</v>
      </c>
      <c r="AX144" s="18" t="n">
        <v>0</v>
      </c>
      <c r="AY144" s="16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8" t="n">
        <v>0</v>
      </c>
      <c r="BJ144" s="16" t="n">
        <v>17</v>
      </c>
      <c r="BK144" s="17" t="n">
        <v>0</v>
      </c>
      <c r="BL144" s="17" t="n">
        <v>0</v>
      </c>
      <c r="BM144" s="17" t="n">
        <v>4</v>
      </c>
      <c r="BN144" s="17" t="n">
        <v>0</v>
      </c>
      <c r="BO144" s="17" t="n">
        <v>0</v>
      </c>
      <c r="BP144" s="17" t="n">
        <v>0</v>
      </c>
      <c r="BQ144" s="17" t="n">
        <v>11</v>
      </c>
      <c r="BR144" s="17" t="n">
        <v>0</v>
      </c>
      <c r="BS144" s="17" t="n">
        <v>0</v>
      </c>
      <c r="BT144" s="18" t="n">
        <v>0</v>
      </c>
      <c r="BU144" s="17" t="inlineStr">
        <is>
          <t>Unclassified</t>
        </is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60</v>
      </c>
      <c r="O145" s="17" t="n">
        <v>0</v>
      </c>
      <c r="P145" s="17" t="n">
        <v>0</v>
      </c>
      <c r="Q145" s="18" t="n">
        <v>0</v>
      </c>
      <c r="R145" s="16" t="n">
        <v>0.12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0.12</v>
      </c>
      <c r="Z145" s="17" t="n">
        <v>0</v>
      </c>
      <c r="AA145" s="17" t="n">
        <v>0</v>
      </c>
      <c r="AB145" s="18" t="n">
        <v>0</v>
      </c>
      <c r="AC145" s="16" t="n">
        <v>-0.12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-0.12</v>
      </c>
      <c r="AK145" s="17" t="n">
        <v>0</v>
      </c>
      <c r="AL145" s="17" t="n">
        <v>0</v>
      </c>
      <c r="AM145" s="18" t="n">
        <v>0</v>
      </c>
      <c r="AN145" s="16" t="n">
        <v>17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17</v>
      </c>
      <c r="AV145" s="17" t="n">
        <v>0</v>
      </c>
      <c r="AW145" s="17" t="n">
        <v>0</v>
      </c>
      <c r="AX145" s="18" t="n">
        <v>0</v>
      </c>
      <c r="AY145" s="16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8" t="n">
        <v>0</v>
      </c>
      <c r="BJ145" s="16" t="n">
        <v>17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17</v>
      </c>
      <c r="BR145" s="17" t="n">
        <v>0</v>
      </c>
      <c r="BS145" s="17" t="n">
        <v>0</v>
      </c>
      <c r="BT145" s="18" t="n">
        <v>0</v>
      </c>
      <c r="BU145" s="17" t="inlineStr">
        <is>
          <t>Unclassified</t>
        </is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0</v>
      </c>
      <c r="J146" s="17" t="n">
        <v>24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8" t="n">
        <v>0</v>
      </c>
      <c r="R146" s="16" t="n">
        <v>3</v>
      </c>
      <c r="S146" s="17" t="n">
        <v>0</v>
      </c>
      <c r="T146" s="17" t="n">
        <v>0</v>
      </c>
      <c r="U146" s="17" t="n">
        <v>3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8" t="n">
        <v>0</v>
      </c>
      <c r="AC146" s="16" t="n">
        <v>-3</v>
      </c>
      <c r="AD146" s="17" t="n">
        <v>0</v>
      </c>
      <c r="AE146" s="17" t="n">
        <v>0</v>
      </c>
      <c r="AF146" s="17" t="n">
        <v>-3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8" t="n">
        <v>0</v>
      </c>
      <c r="AN146" s="16" t="n">
        <v>46</v>
      </c>
      <c r="AO146" s="17" t="n">
        <v>0</v>
      </c>
      <c r="AP146" s="17" t="n">
        <v>0</v>
      </c>
      <c r="AQ146" s="17" t="n">
        <v>46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8" t="n">
        <v>0</v>
      </c>
      <c r="AY146" s="16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8" t="n">
        <v>0</v>
      </c>
      <c r="BJ146" s="16" t="n">
        <v>46</v>
      </c>
      <c r="BK146" s="17" t="n">
        <v>0</v>
      </c>
      <c r="BL146" s="17" t="n">
        <v>0</v>
      </c>
      <c r="BM146" s="17" t="n">
        <v>46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8" t="n">
        <v>0</v>
      </c>
      <c r="BU146" s="17" t="inlineStr">
        <is>
          <t>Unclassified</t>
        </is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0</v>
      </c>
      <c r="K147" s="17" t="n">
        <v>60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8" t="n">
        <v>0</v>
      </c>
      <c r="R147" s="16" t="n">
        <v>1</v>
      </c>
      <c r="S147" s="17" t="n">
        <v>0</v>
      </c>
      <c r="T147" s="17" t="n">
        <v>0</v>
      </c>
      <c r="U147" s="17" t="n">
        <v>0</v>
      </c>
      <c r="V147" s="17" t="n">
        <v>1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8" t="n">
        <v>0</v>
      </c>
      <c r="AC147" s="16" t="n">
        <v>-1</v>
      </c>
      <c r="AD147" s="17" t="n">
        <v>0</v>
      </c>
      <c r="AE147" s="17" t="n">
        <v>0</v>
      </c>
      <c r="AF147" s="17" t="n">
        <v>0</v>
      </c>
      <c r="AG147" s="17" t="n">
        <v>-1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8" t="n">
        <v>0</v>
      </c>
      <c r="AN147" s="16" t="n">
        <v>170</v>
      </c>
      <c r="AO147" s="17" t="n">
        <v>0</v>
      </c>
      <c r="AP147" s="17" t="n">
        <v>0</v>
      </c>
      <c r="AQ147" s="17" t="n">
        <v>0</v>
      </c>
      <c r="AR147" s="17" t="n">
        <v>170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8" t="n">
        <v>0</v>
      </c>
      <c r="AY147" s="16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8" t="n">
        <v>0</v>
      </c>
      <c r="BJ147" s="16" t="n">
        <v>170</v>
      </c>
      <c r="BK147" s="17" t="n">
        <v>0</v>
      </c>
      <c r="BL147" s="17" t="n">
        <v>0</v>
      </c>
      <c r="BM147" s="17" t="n">
        <v>0</v>
      </c>
      <c r="BN147" s="17" t="n">
        <v>170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8" t="n">
        <v>0</v>
      </c>
      <c r="BU147" s="17" t="inlineStr">
        <is>
          <t>Unclassified</t>
        </is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90</v>
      </c>
      <c r="O148" s="17" t="n">
        <v>0</v>
      </c>
      <c r="P148" s="17" t="n">
        <v>0</v>
      </c>
      <c r="Q148" s="18" t="n">
        <v>0</v>
      </c>
      <c r="R148" s="16" t="n">
        <v>0.9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0.9</v>
      </c>
      <c r="Z148" s="17" t="n">
        <v>0</v>
      </c>
      <c r="AA148" s="17" t="n">
        <v>0</v>
      </c>
      <c r="AB148" s="18" t="n">
        <v>0</v>
      </c>
      <c r="AC148" s="16" t="n">
        <v>2.1</v>
      </c>
      <c r="AD148" s="17" t="n">
        <v>3</v>
      </c>
      <c r="AE148" s="17" t="n">
        <v>3</v>
      </c>
      <c r="AF148" s="17" t="n">
        <v>3</v>
      </c>
      <c r="AG148" s="17" t="n">
        <v>3</v>
      </c>
      <c r="AH148" s="17" t="n">
        <v>3</v>
      </c>
      <c r="AI148" s="17" t="n">
        <v>3</v>
      </c>
      <c r="AJ148" s="17" t="n">
        <v>2.1</v>
      </c>
      <c r="AK148" s="17" t="n">
        <v>3</v>
      </c>
      <c r="AL148" s="17" t="n">
        <v>3</v>
      </c>
      <c r="AM148" s="18" t="n">
        <v>3</v>
      </c>
      <c r="AN148" s="16" t="n">
        <v>23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23</v>
      </c>
      <c r="AV148" s="17" t="n">
        <v>0</v>
      </c>
      <c r="AW148" s="17" t="n">
        <v>0</v>
      </c>
      <c r="AX148" s="18" t="n">
        <v>0</v>
      </c>
      <c r="AY148" s="16" t="n">
        <v>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7</v>
      </c>
      <c r="BG148" s="17" t="n">
        <v>0</v>
      </c>
      <c r="BH148" s="17" t="n">
        <v>0</v>
      </c>
      <c r="BI148" s="18" t="n">
        <v>0</v>
      </c>
      <c r="BJ148" s="16" t="n">
        <v>16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16</v>
      </c>
      <c r="BR148" s="17" t="n">
        <v>0</v>
      </c>
      <c r="BS148" s="17" t="n">
        <v>0</v>
      </c>
      <c r="BT148" s="18" t="n">
        <v>0</v>
      </c>
      <c r="BU148" s="17" t="inlineStr">
        <is>
          <t>Generic Drug</t>
        </is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120</v>
      </c>
      <c r="O149" s="17" t="n">
        <v>0</v>
      </c>
      <c r="P149" s="17" t="n">
        <v>0</v>
      </c>
      <c r="Q149" s="18" t="n">
        <v>0</v>
      </c>
      <c r="R149" s="16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</v>
      </c>
      <c r="Z149" s="17" t="n">
        <v>0</v>
      </c>
      <c r="AA149" s="17" t="n">
        <v>0</v>
      </c>
      <c r="AB149" s="18" t="n">
        <v>0</v>
      </c>
      <c r="AC149" s="16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-2</v>
      </c>
      <c r="AK149" s="17" t="n">
        <v>0</v>
      </c>
      <c r="AL149" s="17" t="n">
        <v>0</v>
      </c>
      <c r="AM149" s="18" t="n">
        <v>0</v>
      </c>
      <c r="AN149" s="16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7</v>
      </c>
      <c r="AV149" s="17" t="n">
        <v>0</v>
      </c>
      <c r="AW149" s="17" t="n">
        <v>0</v>
      </c>
      <c r="AX149" s="18" t="n">
        <v>0</v>
      </c>
      <c r="AY149" s="16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8" t="n">
        <v>0</v>
      </c>
      <c r="BJ149" s="16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7</v>
      </c>
      <c r="BR149" s="17" t="n">
        <v>0</v>
      </c>
      <c r="BS149" s="17" t="n">
        <v>0</v>
      </c>
      <c r="BT149" s="18" t="n">
        <v>0</v>
      </c>
      <c r="BU149" s="17" t="inlineStr">
        <is>
          <t>Unclassified</t>
        </is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390</v>
      </c>
      <c r="O150" s="17" t="n">
        <v>0</v>
      </c>
      <c r="P150" s="17" t="n">
        <v>0</v>
      </c>
      <c r="Q150" s="18" t="n">
        <v>0</v>
      </c>
      <c r="R150" s="16" t="n">
        <v>2.6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2.6</v>
      </c>
      <c r="Z150" s="17" t="n">
        <v>0</v>
      </c>
      <c r="AA150" s="17" t="n">
        <v>0</v>
      </c>
      <c r="AB150" s="18" t="n">
        <v>0</v>
      </c>
      <c r="AC150" s="16" t="n">
        <v>3.4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6</v>
      </c>
      <c r="AJ150" s="17" t="n">
        <v>3.4</v>
      </c>
      <c r="AK150" s="17" t="n">
        <v>6</v>
      </c>
      <c r="AL150" s="17" t="n">
        <v>6</v>
      </c>
      <c r="AM150" s="18" t="n">
        <v>6</v>
      </c>
      <c r="AN150" s="16" t="n">
        <v>37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36</v>
      </c>
      <c r="AV150" s="17" t="n">
        <v>0</v>
      </c>
      <c r="AW150" s="17" t="n">
        <v>0</v>
      </c>
      <c r="AX150" s="18" t="n">
        <v>0</v>
      </c>
      <c r="AY150" s="16" t="n">
        <v>8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8</v>
      </c>
      <c r="BG150" s="17" t="n">
        <v>0</v>
      </c>
      <c r="BH150" s="17" t="n">
        <v>0</v>
      </c>
      <c r="BI150" s="18" t="n">
        <v>0</v>
      </c>
      <c r="BJ150" s="16" t="n">
        <v>29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28</v>
      </c>
      <c r="BR150" s="17" t="n">
        <v>0</v>
      </c>
      <c r="BS150" s="17" t="n">
        <v>0</v>
      </c>
      <c r="BT150" s="18" t="n">
        <v>0</v>
      </c>
      <c r="BU150" s="17" t="inlineStr">
        <is>
          <t>OTC Drug</t>
        </is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473</v>
      </c>
      <c r="O151" s="17" t="n">
        <v>0</v>
      </c>
      <c r="P151" s="17" t="n">
        <v>0</v>
      </c>
      <c r="Q151" s="18" t="n">
        <v>0</v>
      </c>
      <c r="R151" s="16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0</v>
      </c>
      <c r="AA151" s="17" t="n">
        <v>0</v>
      </c>
      <c r="AB151" s="18" t="n">
        <v>0</v>
      </c>
      <c r="AC151" s="16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-1</v>
      </c>
      <c r="AK151" s="17" t="n">
        <v>0</v>
      </c>
      <c r="AL151" s="17" t="n">
        <v>0</v>
      </c>
      <c r="AM151" s="18" t="n">
        <v>0</v>
      </c>
      <c r="AN151" s="16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19</v>
      </c>
      <c r="AV151" s="17" t="n">
        <v>0</v>
      </c>
      <c r="AW151" s="17" t="n">
        <v>0</v>
      </c>
      <c r="AX151" s="18" t="n">
        <v>0</v>
      </c>
      <c r="AY151" s="16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8" t="n">
        <v>0</v>
      </c>
      <c r="BJ151" s="16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19</v>
      </c>
      <c r="BR151" s="17" t="n">
        <v>0</v>
      </c>
      <c r="BS151" s="17" t="n">
        <v>0</v>
      </c>
      <c r="BT151" s="18" t="n">
        <v>0</v>
      </c>
      <c r="BU151" s="17" t="inlineStr">
        <is>
          <t>Unclassified</t>
        </is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360</v>
      </c>
      <c r="O152" s="17" t="n">
        <v>0</v>
      </c>
      <c r="P152" s="17" t="n">
        <v>0</v>
      </c>
      <c r="Q152" s="18" t="n">
        <v>0</v>
      </c>
      <c r="R152" s="16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6</v>
      </c>
      <c r="Z152" s="17" t="n">
        <v>0</v>
      </c>
      <c r="AA152" s="17" t="n">
        <v>0</v>
      </c>
      <c r="AB152" s="18" t="n">
        <v>0</v>
      </c>
      <c r="AC152" s="16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-6</v>
      </c>
      <c r="AK152" s="17" t="n">
        <v>0</v>
      </c>
      <c r="AL152" s="17" t="n">
        <v>0</v>
      </c>
      <c r="AM152" s="18" t="n">
        <v>0</v>
      </c>
      <c r="AN152" s="16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9</v>
      </c>
      <c r="AV152" s="17" t="n">
        <v>0</v>
      </c>
      <c r="AW152" s="17" t="n">
        <v>0</v>
      </c>
      <c r="AX152" s="18" t="n">
        <v>0</v>
      </c>
      <c r="AY152" s="16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8" t="n">
        <v>0</v>
      </c>
      <c r="BJ152" s="16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9</v>
      </c>
      <c r="BR152" s="17" t="n">
        <v>0</v>
      </c>
      <c r="BS152" s="17" t="n">
        <v>0</v>
      </c>
      <c r="BT152" s="18" t="n">
        <v>0</v>
      </c>
      <c r="BU152" s="17" t="inlineStr">
        <is>
          <t>Unclassified</t>
        </is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180</v>
      </c>
      <c r="L153" s="17" t="n">
        <v>0</v>
      </c>
      <c r="M153" s="17" t="n">
        <v>0</v>
      </c>
      <c r="N153" s="17" t="n">
        <v>1380</v>
      </c>
      <c r="O153" s="17" t="n">
        <v>0</v>
      </c>
      <c r="P153" s="17" t="n">
        <v>0</v>
      </c>
      <c r="Q153" s="18" t="n">
        <v>0</v>
      </c>
      <c r="R153" s="16" t="n">
        <v>0</v>
      </c>
      <c r="S153" s="17" t="n">
        <v>0</v>
      </c>
      <c r="T153" s="17" t="n">
        <v>0</v>
      </c>
      <c r="U153" s="17" t="n">
        <v>0</v>
      </c>
      <c r="V153" s="17" t="n">
        <v>1.2</v>
      </c>
      <c r="W153" s="17" t="n">
        <v>0</v>
      </c>
      <c r="X153" s="17" t="n">
        <v>0</v>
      </c>
      <c r="Y153" s="17" t="n">
        <v>9.199999999999999</v>
      </c>
      <c r="Z153" s="17" t="n">
        <v>0</v>
      </c>
      <c r="AA153" s="17" t="n">
        <v>0</v>
      </c>
      <c r="AB153" s="18" t="n">
        <v>0</v>
      </c>
      <c r="AC153" s="16" t="n">
        <v>0</v>
      </c>
      <c r="AD153" s="17" t="n">
        <v>0</v>
      </c>
      <c r="AE153" s="17" t="n">
        <v>0</v>
      </c>
      <c r="AF153" s="17" t="n">
        <v>0</v>
      </c>
      <c r="AG153" s="17" t="n">
        <v>-1.2</v>
      </c>
      <c r="AH153" s="17" t="n">
        <v>0</v>
      </c>
      <c r="AI153" s="17" t="n">
        <v>0</v>
      </c>
      <c r="AJ153" s="17" t="n">
        <v>-9.199999999999999</v>
      </c>
      <c r="AK153" s="17" t="n">
        <v>0</v>
      </c>
      <c r="AL153" s="17" t="n">
        <v>0</v>
      </c>
      <c r="AM153" s="18" t="n">
        <v>0</v>
      </c>
      <c r="AN153" s="16" t="n">
        <v>0</v>
      </c>
      <c r="AO153" s="17" t="n">
        <v>0</v>
      </c>
      <c r="AP153" s="17" t="n">
        <v>0</v>
      </c>
      <c r="AQ153" s="17" t="n">
        <v>0</v>
      </c>
      <c r="AR153" s="17" t="n">
        <v>2</v>
      </c>
      <c r="AS153" s="17" t="n">
        <v>0</v>
      </c>
      <c r="AT153" s="17" t="n">
        <v>0</v>
      </c>
      <c r="AU153" s="17" t="n">
        <v>35</v>
      </c>
      <c r="AV153" s="17" t="n">
        <v>0</v>
      </c>
      <c r="AW153" s="17" t="n">
        <v>0</v>
      </c>
      <c r="AX153" s="18" t="n">
        <v>0</v>
      </c>
      <c r="AY153" s="16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8" t="n">
        <v>0</v>
      </c>
      <c r="BJ153" s="16" t="n">
        <v>0</v>
      </c>
      <c r="BK153" s="17" t="n">
        <v>0</v>
      </c>
      <c r="BL153" s="17" t="n">
        <v>0</v>
      </c>
      <c r="BM153" s="17" t="n">
        <v>0</v>
      </c>
      <c r="BN153" s="17" t="n">
        <v>2</v>
      </c>
      <c r="BO153" s="17" t="n">
        <v>0</v>
      </c>
      <c r="BP153" s="17" t="n">
        <v>0</v>
      </c>
      <c r="BQ153" s="17" t="n">
        <v>35</v>
      </c>
      <c r="BR153" s="17" t="n">
        <v>0</v>
      </c>
      <c r="BS153" s="17" t="n">
        <v>0</v>
      </c>
      <c r="BT153" s="18" t="n">
        <v>0</v>
      </c>
      <c r="BU153" s="17" t="inlineStr">
        <is>
          <t>Unclassified</t>
        </is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0</v>
      </c>
      <c r="K154" s="17" t="n">
        <v>90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8" t="n">
        <v>0</v>
      </c>
      <c r="R154" s="16" t="n">
        <v>1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8" t="n">
        <v>0</v>
      </c>
      <c r="AC154" s="16" t="n">
        <v>-1</v>
      </c>
      <c r="AD154" s="17" t="n">
        <v>0</v>
      </c>
      <c r="AE154" s="17" t="n">
        <v>0</v>
      </c>
      <c r="AF154" s="17" t="n">
        <v>0</v>
      </c>
      <c r="AG154" s="17" t="n">
        <v>-1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8" t="n">
        <v>0</v>
      </c>
      <c r="AN154" s="16" t="n">
        <v>116</v>
      </c>
      <c r="AO154" s="17" t="n">
        <v>0</v>
      </c>
      <c r="AP154" s="17" t="n">
        <v>0</v>
      </c>
      <c r="AQ154" s="17" t="n">
        <v>0</v>
      </c>
      <c r="AR154" s="17" t="n">
        <v>116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8" t="n">
        <v>0</v>
      </c>
      <c r="AY154" s="16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8" t="n">
        <v>0</v>
      </c>
      <c r="BJ154" s="16" t="n">
        <v>116</v>
      </c>
      <c r="BK154" s="17" t="n">
        <v>0</v>
      </c>
      <c r="BL154" s="17" t="n">
        <v>0</v>
      </c>
      <c r="BM154" s="17" t="n">
        <v>0</v>
      </c>
      <c r="BN154" s="17" t="n">
        <v>116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8" t="n">
        <v>0</v>
      </c>
      <c r="BU154" s="17" t="inlineStr">
        <is>
          <t>Unclassified</t>
        </is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90</v>
      </c>
      <c r="O155" s="17" t="n">
        <v>0</v>
      </c>
      <c r="P155" s="17" t="n">
        <v>0</v>
      </c>
      <c r="Q155" s="18" t="n">
        <v>0</v>
      </c>
      <c r="R155" s="16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1</v>
      </c>
      <c r="Z155" s="17" t="n">
        <v>0</v>
      </c>
      <c r="AA155" s="17" t="n">
        <v>0</v>
      </c>
      <c r="AB155" s="18" t="n">
        <v>0</v>
      </c>
      <c r="AC155" s="16" t="n">
        <v>-1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8" t="n">
        <v>0</v>
      </c>
      <c r="AN155" s="16" t="n">
        <v>102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102</v>
      </c>
      <c r="AV155" s="17" t="n">
        <v>0</v>
      </c>
      <c r="AW155" s="17" t="n">
        <v>0</v>
      </c>
      <c r="AX155" s="18" t="n">
        <v>0</v>
      </c>
      <c r="AY155" s="16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8" t="n">
        <v>0</v>
      </c>
      <c r="BJ155" s="16" t="n">
        <v>102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102</v>
      </c>
      <c r="BR155" s="17" t="n">
        <v>0</v>
      </c>
      <c r="BS155" s="17" t="n">
        <v>0</v>
      </c>
      <c r="BT155" s="18" t="n">
        <v>0</v>
      </c>
      <c r="BU155" s="17" t="inlineStr">
        <is>
          <t>Unclassified</t>
        </is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90</v>
      </c>
      <c r="O156" s="17" t="n">
        <v>0</v>
      </c>
      <c r="P156" s="17" t="n">
        <v>0</v>
      </c>
      <c r="Q156" s="18" t="n">
        <v>0</v>
      </c>
      <c r="R156" s="16" t="n">
        <v>0.75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0.75</v>
      </c>
      <c r="Z156" s="17" t="n">
        <v>0</v>
      </c>
      <c r="AA156" s="17" t="n">
        <v>0</v>
      </c>
      <c r="AB156" s="18" t="n">
        <v>0</v>
      </c>
      <c r="AC156" s="16" t="n">
        <v>0.25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0.25</v>
      </c>
      <c r="AK156" s="17" t="n">
        <v>1</v>
      </c>
      <c r="AL156" s="17" t="n">
        <v>1</v>
      </c>
      <c r="AM156" s="18" t="n">
        <v>1</v>
      </c>
      <c r="AN156" s="16" t="n">
        <v>163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163</v>
      </c>
      <c r="AV156" s="17" t="n">
        <v>0</v>
      </c>
      <c r="AW156" s="17" t="n">
        <v>0</v>
      </c>
      <c r="AX156" s="18" t="n">
        <v>0</v>
      </c>
      <c r="AY156" s="16" t="n">
        <v>155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155</v>
      </c>
      <c r="BG156" s="17" t="n">
        <v>0</v>
      </c>
      <c r="BH156" s="17" t="n">
        <v>0</v>
      </c>
      <c r="BI156" s="18" t="n">
        <v>0</v>
      </c>
      <c r="BJ156" s="16" t="n">
        <v>8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8</v>
      </c>
      <c r="BR156" s="17" t="n">
        <v>0</v>
      </c>
      <c r="BS156" s="17" t="n">
        <v>0</v>
      </c>
      <c r="BT156" s="18" t="n">
        <v>0</v>
      </c>
      <c r="BU156" s="17" t="inlineStr">
        <is>
          <t>Branded Drug</t>
        </is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0</v>
      </c>
      <c r="J157" s="17" t="n">
        <v>90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8" t="n">
        <v>0</v>
      </c>
      <c r="R157" s="16" t="n">
        <v>0.09</v>
      </c>
      <c r="S157" s="17" t="n">
        <v>0</v>
      </c>
      <c r="T157" s="17" t="n">
        <v>0</v>
      </c>
      <c r="U157" s="17" t="n">
        <v>0.09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8" t="n">
        <v>0</v>
      </c>
      <c r="AC157" s="16" t="n">
        <v>-0.09</v>
      </c>
      <c r="AD157" s="17" t="n">
        <v>0</v>
      </c>
      <c r="AE157" s="17" t="n">
        <v>0</v>
      </c>
      <c r="AF157" s="17" t="n">
        <v>-0.09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8" t="n">
        <v>0</v>
      </c>
      <c r="AN157" s="16" t="n">
        <v>3</v>
      </c>
      <c r="AO157" s="17" t="n">
        <v>0</v>
      </c>
      <c r="AP157" s="17" t="n">
        <v>0</v>
      </c>
      <c r="AQ157" s="17" t="n">
        <v>2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8" t="n">
        <v>0</v>
      </c>
      <c r="AY157" s="16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8" t="n">
        <v>0</v>
      </c>
      <c r="BJ157" s="16" t="n">
        <v>3</v>
      </c>
      <c r="BK157" s="17" t="n">
        <v>0</v>
      </c>
      <c r="BL157" s="17" t="n">
        <v>0</v>
      </c>
      <c r="BM157" s="17" t="n">
        <v>2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8" t="n">
        <v>0</v>
      </c>
      <c r="BU157" s="17" t="inlineStr">
        <is>
          <t>Unclassified</t>
        </is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0</v>
      </c>
      <c r="J158" s="17" t="n">
        <v>420</v>
      </c>
      <c r="K158" s="17" t="n">
        <v>240</v>
      </c>
      <c r="L158" s="17" t="n">
        <v>0</v>
      </c>
      <c r="M158" s="17" t="n">
        <v>180</v>
      </c>
      <c r="N158" s="17" t="n">
        <v>0</v>
      </c>
      <c r="O158" s="17" t="n">
        <v>0</v>
      </c>
      <c r="P158" s="17" t="n">
        <v>0</v>
      </c>
      <c r="Q158" s="18" t="n">
        <v>0</v>
      </c>
      <c r="R158" s="16" t="n">
        <v>0.84</v>
      </c>
      <c r="S158" s="17" t="n">
        <v>0</v>
      </c>
      <c r="T158" s="17" t="n">
        <v>0</v>
      </c>
      <c r="U158" s="17" t="n">
        <v>0.42</v>
      </c>
      <c r="V158" s="17" t="n">
        <v>0.24</v>
      </c>
      <c r="W158" s="17" t="n">
        <v>0</v>
      </c>
      <c r="X158" s="17" t="n">
        <v>0.18</v>
      </c>
      <c r="Y158" s="17" t="n">
        <v>0</v>
      </c>
      <c r="Z158" s="17" t="n">
        <v>0</v>
      </c>
      <c r="AA158" s="17" t="n">
        <v>0</v>
      </c>
      <c r="AB158" s="18" t="n">
        <v>0</v>
      </c>
      <c r="AC158" s="16" t="n">
        <v>-0.84</v>
      </c>
      <c r="AD158" s="17" t="n">
        <v>0</v>
      </c>
      <c r="AE158" s="17" t="n">
        <v>0</v>
      </c>
      <c r="AF158" s="17" t="n">
        <v>-0.42</v>
      </c>
      <c r="AG158" s="17" t="n">
        <v>-0.24</v>
      </c>
      <c r="AH158" s="17" t="n">
        <v>0</v>
      </c>
      <c r="AI158" s="17" t="n">
        <v>-0.18</v>
      </c>
      <c r="AJ158" s="17" t="n">
        <v>0</v>
      </c>
      <c r="AK158" s="17" t="n">
        <v>0</v>
      </c>
      <c r="AL158" s="17" t="n">
        <v>0</v>
      </c>
      <c r="AM158" s="18" t="n">
        <v>0</v>
      </c>
      <c r="AN158" s="16" t="n">
        <v>44</v>
      </c>
      <c r="AO158" s="17" t="n">
        <v>0</v>
      </c>
      <c r="AP158" s="17" t="n">
        <v>0</v>
      </c>
      <c r="AQ158" s="17" t="n">
        <v>31</v>
      </c>
      <c r="AR158" s="17" t="n">
        <v>4</v>
      </c>
      <c r="AS158" s="17" t="n">
        <v>0</v>
      </c>
      <c r="AT158" s="17" t="n">
        <v>6</v>
      </c>
      <c r="AU158" s="17" t="n">
        <v>0</v>
      </c>
      <c r="AV158" s="17" t="n">
        <v>0</v>
      </c>
      <c r="AW158" s="17" t="n">
        <v>0</v>
      </c>
      <c r="AX158" s="18" t="n">
        <v>0</v>
      </c>
      <c r="AY158" s="16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8" t="n">
        <v>0</v>
      </c>
      <c r="BJ158" s="16" t="n">
        <v>44</v>
      </c>
      <c r="BK158" s="17" t="n">
        <v>0</v>
      </c>
      <c r="BL158" s="17" t="n">
        <v>0</v>
      </c>
      <c r="BM158" s="17" t="n">
        <v>31</v>
      </c>
      <c r="BN158" s="17" t="n">
        <v>4</v>
      </c>
      <c r="BO158" s="17" t="n">
        <v>0</v>
      </c>
      <c r="BP158" s="17" t="n">
        <v>6</v>
      </c>
      <c r="BQ158" s="17" t="n">
        <v>0</v>
      </c>
      <c r="BR158" s="17" t="n">
        <v>0</v>
      </c>
      <c r="BS158" s="17" t="n">
        <v>0</v>
      </c>
      <c r="BT158" s="18" t="n">
        <v>0</v>
      </c>
      <c r="BU158" s="17" t="inlineStr">
        <is>
          <t>Unclassified</t>
        </is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0</v>
      </c>
      <c r="J159" s="17" t="n">
        <v>600</v>
      </c>
      <c r="K159" s="17" t="n">
        <v>90</v>
      </c>
      <c r="L159" s="17" t="n">
        <v>0</v>
      </c>
      <c r="M159" s="17" t="n">
        <v>0</v>
      </c>
      <c r="N159" s="17" t="n">
        <v>240</v>
      </c>
      <c r="O159" s="17" t="n">
        <v>0</v>
      </c>
      <c r="P159" s="17" t="n">
        <v>0</v>
      </c>
      <c r="Q159" s="18" t="n">
        <v>0</v>
      </c>
      <c r="R159" s="16" t="n">
        <v>0.93</v>
      </c>
      <c r="S159" s="17" t="n">
        <v>0</v>
      </c>
      <c r="T159" s="17" t="n">
        <v>0</v>
      </c>
      <c r="U159" s="17" t="n">
        <v>0.6</v>
      </c>
      <c r="V159" s="17" t="n">
        <v>0.09</v>
      </c>
      <c r="W159" s="17" t="n">
        <v>0</v>
      </c>
      <c r="X159" s="17" t="n">
        <v>0</v>
      </c>
      <c r="Y159" s="17" t="n">
        <v>0.24</v>
      </c>
      <c r="Z159" s="17" t="n">
        <v>0</v>
      </c>
      <c r="AA159" s="17" t="n">
        <v>0</v>
      </c>
      <c r="AB159" s="18" t="n">
        <v>0</v>
      </c>
      <c r="AC159" s="16" t="n">
        <v>-0.93</v>
      </c>
      <c r="AD159" s="17" t="n">
        <v>0</v>
      </c>
      <c r="AE159" s="17" t="n">
        <v>0</v>
      </c>
      <c r="AF159" s="17" t="n">
        <v>-0.6</v>
      </c>
      <c r="AG159" s="17" t="n">
        <v>-0.09</v>
      </c>
      <c r="AH159" s="17" t="n">
        <v>0</v>
      </c>
      <c r="AI159" s="17" t="n">
        <v>0</v>
      </c>
      <c r="AJ159" s="17" t="n">
        <v>-0.24</v>
      </c>
      <c r="AK159" s="17" t="n">
        <v>0</v>
      </c>
      <c r="AL159" s="17" t="n">
        <v>0</v>
      </c>
      <c r="AM159" s="18" t="n">
        <v>0</v>
      </c>
      <c r="AN159" s="16" t="n">
        <v>44</v>
      </c>
      <c r="AO159" s="17" t="n">
        <v>0</v>
      </c>
      <c r="AP159" s="17" t="n">
        <v>0</v>
      </c>
      <c r="AQ159" s="17" t="n">
        <v>13</v>
      </c>
      <c r="AR159" s="17" t="n">
        <v>3</v>
      </c>
      <c r="AS159" s="17" t="n">
        <v>0</v>
      </c>
      <c r="AT159" s="17" t="n">
        <v>0</v>
      </c>
      <c r="AU159" s="17" t="n">
        <v>28</v>
      </c>
      <c r="AV159" s="17" t="n">
        <v>0</v>
      </c>
      <c r="AW159" s="17" t="n">
        <v>0</v>
      </c>
      <c r="AX159" s="18" t="n">
        <v>0</v>
      </c>
      <c r="AY159" s="16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8" t="n">
        <v>0</v>
      </c>
      <c r="BJ159" s="16" t="n">
        <v>44</v>
      </c>
      <c r="BK159" s="17" t="n">
        <v>0</v>
      </c>
      <c r="BL159" s="17" t="n">
        <v>0</v>
      </c>
      <c r="BM159" s="17" t="n">
        <v>13</v>
      </c>
      <c r="BN159" s="17" t="n">
        <v>3</v>
      </c>
      <c r="BO159" s="17" t="n">
        <v>0</v>
      </c>
      <c r="BP159" s="17" t="n">
        <v>0</v>
      </c>
      <c r="BQ159" s="17" t="n">
        <v>28</v>
      </c>
      <c r="BR159" s="17" t="n">
        <v>0</v>
      </c>
      <c r="BS159" s="17" t="n">
        <v>0</v>
      </c>
      <c r="BT159" s="18" t="n">
        <v>0</v>
      </c>
      <c r="BU159" s="17" t="inlineStr">
        <is>
          <t>Unclassified</t>
        </is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60</v>
      </c>
      <c r="J160" s="17" t="n">
        <v>180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8" t="n">
        <v>0</v>
      </c>
      <c r="R160" s="16" t="n">
        <v>0.48</v>
      </c>
      <c r="S160" s="17" t="n">
        <v>0</v>
      </c>
      <c r="T160" s="17" t="n">
        <v>0.12</v>
      </c>
      <c r="U160" s="17" t="n">
        <v>0.36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8" t="n">
        <v>0</v>
      </c>
      <c r="AC160" s="16" t="n">
        <v>-0.48</v>
      </c>
      <c r="AD160" s="17" t="n">
        <v>0</v>
      </c>
      <c r="AE160" s="17" t="n">
        <v>-0.12</v>
      </c>
      <c r="AF160" s="17" t="n">
        <v>-0.36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8" t="n">
        <v>0</v>
      </c>
      <c r="AN160" s="16" t="n">
        <v>4</v>
      </c>
      <c r="AO160" s="17" t="n">
        <v>0</v>
      </c>
      <c r="AP160" s="17" t="n">
        <v>3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8" t="n">
        <v>0</v>
      </c>
      <c r="AY160" s="16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8" t="n">
        <v>0</v>
      </c>
      <c r="BJ160" s="16" t="n">
        <v>4</v>
      </c>
      <c r="BK160" s="17" t="n">
        <v>0</v>
      </c>
      <c r="BL160" s="17" t="n">
        <v>3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8" t="n">
        <v>0</v>
      </c>
      <c r="BU160" s="17" t="inlineStr">
        <is>
          <t>Unclassified</t>
        </is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0</v>
      </c>
      <c r="J161" s="17" t="n">
        <v>1260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8" t="n">
        <v>0</v>
      </c>
      <c r="R161" s="16" t="n">
        <v>2.52</v>
      </c>
      <c r="S161" s="17" t="n">
        <v>0</v>
      </c>
      <c r="T161" s="17" t="n">
        <v>0</v>
      </c>
      <c r="U161" s="17" t="n">
        <v>2.52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8" t="n">
        <v>0</v>
      </c>
      <c r="AC161" s="16" t="n">
        <v>-2.52</v>
      </c>
      <c r="AD161" s="17" t="n">
        <v>0</v>
      </c>
      <c r="AE161" s="17" t="n">
        <v>0</v>
      </c>
      <c r="AF161" s="17" t="n">
        <v>-2.52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8" t="n">
        <v>0</v>
      </c>
      <c r="AN161" s="16" t="n">
        <v>17</v>
      </c>
      <c r="AO161" s="17" t="n">
        <v>0</v>
      </c>
      <c r="AP161" s="17" t="n">
        <v>0</v>
      </c>
      <c r="AQ161" s="17" t="n">
        <v>15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8" t="n">
        <v>0</v>
      </c>
      <c r="AY161" s="16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8" t="n">
        <v>0</v>
      </c>
      <c r="BJ161" s="16" t="n">
        <v>17</v>
      </c>
      <c r="BK161" s="17" t="n">
        <v>0</v>
      </c>
      <c r="BL161" s="17" t="n">
        <v>0</v>
      </c>
      <c r="BM161" s="17" t="n">
        <v>15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8" t="n">
        <v>0</v>
      </c>
      <c r="BU161" s="17" t="inlineStr">
        <is>
          <t>Unclassified</t>
        </is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28</v>
      </c>
      <c r="N162" s="17" t="n">
        <v>0</v>
      </c>
      <c r="O162" s="17" t="n">
        <v>0</v>
      </c>
      <c r="P162" s="17" t="n">
        <v>0</v>
      </c>
      <c r="Q162" s="18" t="n">
        <v>0</v>
      </c>
      <c r="R162" s="16" t="n">
        <v>1.4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1.4</v>
      </c>
      <c r="Y162" s="17" t="n">
        <v>0</v>
      </c>
      <c r="Z162" s="17" t="n">
        <v>0</v>
      </c>
      <c r="AA162" s="17" t="n">
        <v>0</v>
      </c>
      <c r="AB162" s="18" t="n">
        <v>0</v>
      </c>
      <c r="AC162" s="16" t="n">
        <v>-1.4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-1.4</v>
      </c>
      <c r="AJ162" s="17" t="n">
        <v>0</v>
      </c>
      <c r="AK162" s="17" t="n">
        <v>0</v>
      </c>
      <c r="AL162" s="17" t="n">
        <v>0</v>
      </c>
      <c r="AM162" s="18" t="n">
        <v>0</v>
      </c>
      <c r="AN162" s="16" t="n">
        <v>56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51</v>
      </c>
      <c r="AU162" s="17" t="n">
        <v>0</v>
      </c>
      <c r="AV162" s="17" t="n">
        <v>0</v>
      </c>
      <c r="AW162" s="17" t="n">
        <v>0</v>
      </c>
      <c r="AX162" s="18" t="n">
        <v>0</v>
      </c>
      <c r="AY162" s="16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8" t="n">
        <v>0</v>
      </c>
      <c r="BJ162" s="16" t="n">
        <v>56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51</v>
      </c>
      <c r="BQ162" s="17" t="n">
        <v>0</v>
      </c>
      <c r="BR162" s="17" t="n">
        <v>0</v>
      </c>
      <c r="BS162" s="17" t="n">
        <v>0</v>
      </c>
      <c r="BT162" s="18" t="n">
        <v>0</v>
      </c>
      <c r="BU162" s="17" t="inlineStr">
        <is>
          <t>Unclassified</t>
        </is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0</v>
      </c>
      <c r="J163" s="17" t="n">
        <v>17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8" t="n">
        <v>0</v>
      </c>
      <c r="R163" s="16" t="n">
        <v>0.85</v>
      </c>
      <c r="S163" s="17" t="n">
        <v>0</v>
      </c>
      <c r="T163" s="17" t="n">
        <v>0</v>
      </c>
      <c r="U163" s="17" t="n">
        <v>0.85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8" t="n">
        <v>0</v>
      </c>
      <c r="AC163" s="16" t="n">
        <v>-0.85</v>
      </c>
      <c r="AD163" s="17" t="n">
        <v>0</v>
      </c>
      <c r="AE163" s="17" t="n">
        <v>0</v>
      </c>
      <c r="AF163" s="17" t="n">
        <v>-0.85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8" t="n">
        <v>0</v>
      </c>
      <c r="AN163" s="16" t="n">
        <v>5</v>
      </c>
      <c r="AO163" s="17" t="n">
        <v>0</v>
      </c>
      <c r="AP163" s="17" t="n">
        <v>0</v>
      </c>
      <c r="AQ163" s="17" t="n">
        <v>4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8" t="n">
        <v>0</v>
      </c>
      <c r="AY163" s="16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8" t="n">
        <v>0</v>
      </c>
      <c r="BJ163" s="16" t="n">
        <v>5</v>
      </c>
      <c r="BK163" s="17" t="n">
        <v>0</v>
      </c>
      <c r="BL163" s="17" t="n">
        <v>0</v>
      </c>
      <c r="BM163" s="17" t="n">
        <v>4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8" t="n">
        <v>0</v>
      </c>
      <c r="BU163" s="17" t="inlineStr">
        <is>
          <t>Unclassified</t>
        </is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0</v>
      </c>
      <c r="J164" s="17" t="n">
        <v>120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8" t="n">
        <v>0</v>
      </c>
      <c r="R164" s="16" t="n">
        <v>1.2</v>
      </c>
      <c r="S164" s="17" t="n">
        <v>0</v>
      </c>
      <c r="T164" s="17" t="n">
        <v>0</v>
      </c>
      <c r="U164" s="17" t="n">
        <v>1.2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8" t="n">
        <v>0</v>
      </c>
      <c r="AC164" s="16" t="n">
        <v>-1.2</v>
      </c>
      <c r="AD164" s="17" t="n">
        <v>0</v>
      </c>
      <c r="AE164" s="17" t="n">
        <v>0</v>
      </c>
      <c r="AF164" s="17" t="n">
        <v>-1.2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8" t="n">
        <v>0</v>
      </c>
      <c r="AN164" s="16" t="n">
        <v>2</v>
      </c>
      <c r="AO164" s="17" t="n">
        <v>0</v>
      </c>
      <c r="AP164" s="17" t="n">
        <v>0</v>
      </c>
      <c r="AQ164" s="17" t="n">
        <v>2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8" t="n">
        <v>0</v>
      </c>
      <c r="AY164" s="16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8" t="n">
        <v>0</v>
      </c>
      <c r="BJ164" s="16" t="n">
        <v>2</v>
      </c>
      <c r="BK164" s="17" t="n">
        <v>0</v>
      </c>
      <c r="BL164" s="17" t="n">
        <v>0</v>
      </c>
      <c r="BM164" s="17" t="n">
        <v>2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8" t="n">
        <v>0</v>
      </c>
      <c r="BU164" s="17" t="inlineStr">
        <is>
          <t>Unclassified</t>
        </is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0</v>
      </c>
      <c r="J165" s="17" t="n">
        <v>60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30</v>
      </c>
      <c r="P165" s="17" t="n">
        <v>0</v>
      </c>
      <c r="Q165" s="18" t="n">
        <v>0</v>
      </c>
      <c r="R165" s="16" t="n">
        <v>0.18</v>
      </c>
      <c r="S165" s="17" t="n">
        <v>0</v>
      </c>
      <c r="T165" s="17" t="n">
        <v>0</v>
      </c>
      <c r="U165" s="17" t="n">
        <v>0.12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0.06</v>
      </c>
      <c r="AA165" s="17" t="n">
        <v>0</v>
      </c>
      <c r="AB165" s="18" t="n">
        <v>0</v>
      </c>
      <c r="AC165" s="16" t="n">
        <v>-0.18</v>
      </c>
      <c r="AD165" s="17" t="n">
        <v>0</v>
      </c>
      <c r="AE165" s="17" t="n">
        <v>0</v>
      </c>
      <c r="AF165" s="17" t="n">
        <v>-0.12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-0.06</v>
      </c>
      <c r="AL165" s="17" t="n">
        <v>0</v>
      </c>
      <c r="AM165" s="18" t="n">
        <v>0</v>
      </c>
      <c r="AN165" s="16" t="n">
        <v>14</v>
      </c>
      <c r="AO165" s="17" t="n">
        <v>0</v>
      </c>
      <c r="AP165" s="17" t="n">
        <v>0</v>
      </c>
      <c r="AQ165" s="17" t="n">
        <v>2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8" t="n">
        <v>0</v>
      </c>
      <c r="AY165" s="16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8" t="n">
        <v>0</v>
      </c>
      <c r="BJ165" s="16" t="n">
        <v>14</v>
      </c>
      <c r="BK165" s="17" t="n">
        <v>0</v>
      </c>
      <c r="BL165" s="17" t="n">
        <v>0</v>
      </c>
      <c r="BM165" s="17" t="n">
        <v>2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8" t="n">
        <v>0</v>
      </c>
      <c r="BU165" s="17" t="inlineStr">
        <is>
          <t>Unclassified</t>
        </is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0</v>
      </c>
      <c r="J166" s="17" t="n">
        <v>40</v>
      </c>
      <c r="K166" s="17" t="n">
        <v>14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8" t="n">
        <v>0</v>
      </c>
      <c r="R166" s="16" t="n">
        <v>0.108</v>
      </c>
      <c r="S166" s="17" t="n">
        <v>0</v>
      </c>
      <c r="T166" s="17" t="n">
        <v>0</v>
      </c>
      <c r="U166" s="17" t="n">
        <v>0.08</v>
      </c>
      <c r="V166" s="17" t="n">
        <v>0.028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8" t="n">
        <v>0</v>
      </c>
      <c r="AC166" s="16" t="n">
        <v>-0.108</v>
      </c>
      <c r="AD166" s="17" t="n">
        <v>0</v>
      </c>
      <c r="AE166" s="17" t="n">
        <v>0</v>
      </c>
      <c r="AF166" s="17" t="n">
        <v>-0.08</v>
      </c>
      <c r="AG166" s="17" t="n">
        <v>-0.028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8" t="n">
        <v>0</v>
      </c>
      <c r="AN166" s="16" t="n">
        <v>4</v>
      </c>
      <c r="AO166" s="17" t="n">
        <v>0</v>
      </c>
      <c r="AP166" s="17" t="n">
        <v>0</v>
      </c>
      <c r="AQ166" s="17" t="n">
        <v>3</v>
      </c>
      <c r="AR166" s="17" t="n">
        <v>2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8" t="n">
        <v>0</v>
      </c>
      <c r="AY166" s="16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8" t="n">
        <v>0</v>
      </c>
      <c r="BJ166" s="16" t="n">
        <v>4</v>
      </c>
      <c r="BK166" s="17" t="n">
        <v>0</v>
      </c>
      <c r="BL166" s="17" t="n">
        <v>0</v>
      </c>
      <c r="BM166" s="17" t="n">
        <v>3</v>
      </c>
      <c r="BN166" s="17" t="n">
        <v>2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8" t="n">
        <v>0</v>
      </c>
      <c r="BU166" s="17" t="inlineStr">
        <is>
          <t>Unclassified</t>
        </is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0</v>
      </c>
      <c r="J167" s="17" t="n">
        <v>240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8" t="n">
        <v>0</v>
      </c>
      <c r="R167" s="16" t="n">
        <v>4</v>
      </c>
      <c r="S167" s="17" t="n">
        <v>0</v>
      </c>
      <c r="T167" s="17" t="n">
        <v>0</v>
      </c>
      <c r="U167" s="17" t="n">
        <v>4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8" t="n">
        <v>0</v>
      </c>
      <c r="AC167" s="16" t="n">
        <v>1</v>
      </c>
      <c r="AD167" s="17" t="n">
        <v>5</v>
      </c>
      <c r="AE167" s="17" t="n">
        <v>5</v>
      </c>
      <c r="AF167" s="17" t="n">
        <v>1</v>
      </c>
      <c r="AG167" s="17" t="n">
        <v>5</v>
      </c>
      <c r="AH167" s="17" t="n">
        <v>5</v>
      </c>
      <c r="AI167" s="17" t="n">
        <v>5</v>
      </c>
      <c r="AJ167" s="17" t="n">
        <v>5</v>
      </c>
      <c r="AK167" s="17" t="n">
        <v>5</v>
      </c>
      <c r="AL167" s="17" t="n">
        <v>5</v>
      </c>
      <c r="AM167" s="18" t="n">
        <v>5</v>
      </c>
      <c r="AN167" s="16" t="n">
        <v>2448</v>
      </c>
      <c r="AO167" s="17" t="n">
        <v>0</v>
      </c>
      <c r="AP167" s="17" t="n">
        <v>0</v>
      </c>
      <c r="AQ167" s="17" t="n">
        <v>2443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8" t="n">
        <v>0</v>
      </c>
      <c r="AY167" s="16" t="n">
        <v>2532</v>
      </c>
      <c r="AZ167" s="17" t="n">
        <v>0</v>
      </c>
      <c r="BA167" s="17" t="n">
        <v>0</v>
      </c>
      <c r="BB167" s="17" t="n">
        <v>2532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8" t="n">
        <v>0</v>
      </c>
      <c r="BJ167" s="16" t="n">
        <v>-84</v>
      </c>
      <c r="BK167" s="17" t="n">
        <v>0</v>
      </c>
      <c r="BL167" s="17" t="n">
        <v>0</v>
      </c>
      <c r="BM167" s="17" t="n">
        <v>-89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8" t="n">
        <v>0</v>
      </c>
      <c r="BU167" s="17" t="inlineStr">
        <is>
          <t>Branded Drug</t>
        </is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0</v>
      </c>
      <c r="J168" s="17" t="n">
        <v>60</v>
      </c>
      <c r="K168" s="17" t="n">
        <v>30</v>
      </c>
      <c r="L168" s="17" t="n">
        <v>0</v>
      </c>
      <c r="M168" s="17" t="n">
        <v>0</v>
      </c>
      <c r="N168" s="17" t="n">
        <v>1188</v>
      </c>
      <c r="O168" s="17" t="n">
        <v>0</v>
      </c>
      <c r="P168" s="17" t="n">
        <v>0</v>
      </c>
      <c r="Q168" s="18" t="n">
        <v>0</v>
      </c>
      <c r="R168" s="16" t="n">
        <v>0</v>
      </c>
      <c r="S168" s="17" t="n">
        <v>0</v>
      </c>
      <c r="T168" s="17" t="n">
        <v>0</v>
      </c>
      <c r="U168" s="17" t="n">
        <v>0.12</v>
      </c>
      <c r="V168" s="17" t="n">
        <v>0.06</v>
      </c>
      <c r="W168" s="17" t="n">
        <v>0</v>
      </c>
      <c r="X168" s="17" t="n">
        <v>0</v>
      </c>
      <c r="Y168" s="17" t="n">
        <v>2.376</v>
      </c>
      <c r="Z168" s="17" t="n">
        <v>0</v>
      </c>
      <c r="AA168" s="17" t="n">
        <v>0</v>
      </c>
      <c r="AB168" s="18" t="n">
        <v>0</v>
      </c>
      <c r="AC168" s="16" t="n">
        <v>0</v>
      </c>
      <c r="AD168" s="17" t="n">
        <v>0</v>
      </c>
      <c r="AE168" s="17" t="n">
        <v>0</v>
      </c>
      <c r="AF168" s="17" t="n">
        <v>-0.12</v>
      </c>
      <c r="AG168" s="17" t="n">
        <v>-0.06</v>
      </c>
      <c r="AH168" s="17" t="n">
        <v>0</v>
      </c>
      <c r="AI168" s="17" t="n">
        <v>0</v>
      </c>
      <c r="AJ168" s="17" t="n">
        <v>-2.376</v>
      </c>
      <c r="AK168" s="17" t="n">
        <v>0</v>
      </c>
      <c r="AL168" s="17" t="n">
        <v>0</v>
      </c>
      <c r="AM168" s="18" t="n">
        <v>0</v>
      </c>
      <c r="AN168" s="16" t="n">
        <v>0</v>
      </c>
      <c r="AO168" s="17" t="n">
        <v>0</v>
      </c>
      <c r="AP168" s="17" t="n">
        <v>0</v>
      </c>
      <c r="AQ168" s="17" t="n">
        <v>1</v>
      </c>
      <c r="AR168" s="17" t="n">
        <v>50</v>
      </c>
      <c r="AS168" s="17" t="n">
        <v>0</v>
      </c>
      <c r="AT168" s="17" t="n">
        <v>0</v>
      </c>
      <c r="AU168" s="17" t="n">
        <v>247</v>
      </c>
      <c r="AV168" s="17" t="n">
        <v>0</v>
      </c>
      <c r="AW168" s="17" t="n">
        <v>0</v>
      </c>
      <c r="AX168" s="18" t="n">
        <v>0</v>
      </c>
      <c r="AY168" s="16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8" t="n">
        <v>0</v>
      </c>
      <c r="BJ168" s="16" t="n">
        <v>0</v>
      </c>
      <c r="BK168" s="17" t="n">
        <v>0</v>
      </c>
      <c r="BL168" s="17" t="n">
        <v>0</v>
      </c>
      <c r="BM168" s="17" t="n">
        <v>1</v>
      </c>
      <c r="BN168" s="17" t="n">
        <v>50</v>
      </c>
      <c r="BO168" s="17" t="n">
        <v>0</v>
      </c>
      <c r="BP168" s="17" t="n">
        <v>0</v>
      </c>
      <c r="BQ168" s="17" t="n">
        <v>247</v>
      </c>
      <c r="BR168" s="17" t="n">
        <v>0</v>
      </c>
      <c r="BS168" s="17" t="n">
        <v>0</v>
      </c>
      <c r="BT168" s="18" t="n">
        <v>0</v>
      </c>
      <c r="BU168" s="17" t="inlineStr">
        <is>
          <t>Unclassified</t>
        </is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472</v>
      </c>
      <c r="O169" s="17" t="n">
        <v>0</v>
      </c>
      <c r="P169" s="17" t="n">
        <v>0</v>
      </c>
      <c r="Q169" s="18" t="n">
        <v>0</v>
      </c>
      <c r="R169" s="16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4</v>
      </c>
      <c r="Z169" s="17" t="n">
        <v>0</v>
      </c>
      <c r="AA169" s="17" t="n">
        <v>0</v>
      </c>
      <c r="AB169" s="18" t="n">
        <v>0</v>
      </c>
      <c r="AC169" s="16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-4</v>
      </c>
      <c r="AK169" s="17" t="n">
        <v>0</v>
      </c>
      <c r="AL169" s="17" t="n">
        <v>0</v>
      </c>
      <c r="AM169" s="18" t="n">
        <v>0</v>
      </c>
      <c r="AN169" s="16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30</v>
      </c>
      <c r="AV169" s="17" t="n">
        <v>0</v>
      </c>
      <c r="AW169" s="17" t="n">
        <v>0</v>
      </c>
      <c r="AX169" s="18" t="n">
        <v>0</v>
      </c>
      <c r="AY169" s="16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8" t="n">
        <v>0</v>
      </c>
      <c r="BJ169" s="16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30</v>
      </c>
      <c r="BR169" s="17" t="n">
        <v>0</v>
      </c>
      <c r="BS169" s="17" t="n">
        <v>0</v>
      </c>
      <c r="BT169" s="18" t="n">
        <v>0</v>
      </c>
      <c r="BU169" s="17" t="inlineStr">
        <is>
          <t>Unclassified</t>
        </is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720</v>
      </c>
      <c r="O170" s="17" t="n">
        <v>0</v>
      </c>
      <c r="P170" s="17" t="n">
        <v>0</v>
      </c>
      <c r="Q170" s="18" t="n">
        <v>0</v>
      </c>
      <c r="R170" s="16" t="n">
        <v>6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6</v>
      </c>
      <c r="Z170" s="17" t="n">
        <v>0</v>
      </c>
      <c r="AA170" s="17" t="n">
        <v>0</v>
      </c>
      <c r="AB170" s="18" t="n">
        <v>0</v>
      </c>
      <c r="AC170" s="16" t="n">
        <v>-6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-6</v>
      </c>
      <c r="AK170" s="17" t="n">
        <v>0</v>
      </c>
      <c r="AL170" s="17" t="n">
        <v>0</v>
      </c>
      <c r="AM170" s="18" t="n">
        <v>0</v>
      </c>
      <c r="AN170" s="16" t="n">
        <v>36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36</v>
      </c>
      <c r="AV170" s="17" t="n">
        <v>0</v>
      </c>
      <c r="AW170" s="17" t="n">
        <v>0</v>
      </c>
      <c r="AX170" s="18" t="n">
        <v>0</v>
      </c>
      <c r="AY170" s="16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8" t="n">
        <v>0</v>
      </c>
      <c r="BJ170" s="16" t="n">
        <v>36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36</v>
      </c>
      <c r="BR170" s="17" t="n">
        <v>0</v>
      </c>
      <c r="BS170" s="17" t="n">
        <v>0</v>
      </c>
      <c r="BT170" s="18" t="n">
        <v>0</v>
      </c>
      <c r="BU170" s="17" t="inlineStr">
        <is>
          <t>Unclassified</t>
        </is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960</v>
      </c>
      <c r="O171" s="17" t="n">
        <v>0</v>
      </c>
      <c r="P171" s="17" t="n">
        <v>0</v>
      </c>
      <c r="Q171" s="18" t="n">
        <v>0</v>
      </c>
      <c r="R171" s="16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8</v>
      </c>
      <c r="Z171" s="17" t="n">
        <v>0</v>
      </c>
      <c r="AA171" s="17" t="n">
        <v>0</v>
      </c>
      <c r="AB171" s="18" t="n">
        <v>0</v>
      </c>
      <c r="AC171" s="16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-8</v>
      </c>
      <c r="AK171" s="17" t="n">
        <v>0</v>
      </c>
      <c r="AL171" s="17" t="n">
        <v>0</v>
      </c>
      <c r="AM171" s="18" t="n">
        <v>0</v>
      </c>
      <c r="AN171" s="16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61</v>
      </c>
      <c r="AV171" s="17" t="n">
        <v>0</v>
      </c>
      <c r="AW171" s="17" t="n">
        <v>0</v>
      </c>
      <c r="AX171" s="18" t="n">
        <v>0</v>
      </c>
      <c r="AY171" s="16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8" t="n">
        <v>0</v>
      </c>
      <c r="BJ171" s="16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61</v>
      </c>
      <c r="BR171" s="17" t="n">
        <v>0</v>
      </c>
      <c r="BS171" s="17" t="n">
        <v>0</v>
      </c>
      <c r="BT171" s="18" t="n">
        <v>0</v>
      </c>
      <c r="BU171" s="17" t="inlineStr">
        <is>
          <t>Unclassified</t>
        </is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354</v>
      </c>
      <c r="O172" s="17" t="n">
        <v>0</v>
      </c>
      <c r="P172" s="17" t="n">
        <v>0</v>
      </c>
      <c r="Q172" s="18" t="n">
        <v>0</v>
      </c>
      <c r="R172" s="16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3</v>
      </c>
      <c r="Z172" s="17" t="n">
        <v>0</v>
      </c>
      <c r="AA172" s="17" t="n">
        <v>0</v>
      </c>
      <c r="AB172" s="18" t="n">
        <v>0</v>
      </c>
      <c r="AC172" s="16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-3</v>
      </c>
      <c r="AK172" s="17" t="n">
        <v>0</v>
      </c>
      <c r="AL172" s="17" t="n">
        <v>0</v>
      </c>
      <c r="AM172" s="18" t="n">
        <v>0</v>
      </c>
      <c r="AN172" s="16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</v>
      </c>
      <c r="AV172" s="17" t="n">
        <v>0</v>
      </c>
      <c r="AW172" s="17" t="n">
        <v>0</v>
      </c>
      <c r="AX172" s="18" t="n">
        <v>0</v>
      </c>
      <c r="AY172" s="16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8" t="n">
        <v>0</v>
      </c>
      <c r="BJ172" s="16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18</v>
      </c>
      <c r="BR172" s="17" t="n">
        <v>0</v>
      </c>
      <c r="BS172" s="17" t="n">
        <v>0</v>
      </c>
      <c r="BT172" s="18" t="n">
        <v>0</v>
      </c>
      <c r="BU172" s="17" t="inlineStr">
        <is>
          <t>Unclassified</t>
        </is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0</v>
      </c>
      <c r="J173" s="17" t="n">
        <v>90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8" t="n">
        <v>0</v>
      </c>
      <c r="R173" s="16" t="n">
        <v>0.9</v>
      </c>
      <c r="S173" s="17" t="n">
        <v>0</v>
      </c>
      <c r="T173" s="17" t="n">
        <v>0</v>
      </c>
      <c r="U173" s="17" t="n">
        <v>0.9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8" t="n">
        <v>0</v>
      </c>
      <c r="AC173" s="16" t="n">
        <v>-0.9</v>
      </c>
      <c r="AD173" s="17" t="n">
        <v>0</v>
      </c>
      <c r="AE173" s="17" t="n">
        <v>0</v>
      </c>
      <c r="AF173" s="17" t="n">
        <v>-0.9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8" t="n">
        <v>0</v>
      </c>
      <c r="AN173" s="16" t="n">
        <v>52</v>
      </c>
      <c r="AO173" s="17" t="n">
        <v>0</v>
      </c>
      <c r="AP173" s="17" t="n">
        <v>0</v>
      </c>
      <c r="AQ173" s="17" t="n">
        <v>52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8" t="n">
        <v>0</v>
      </c>
      <c r="AY173" s="16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8" t="n">
        <v>0</v>
      </c>
      <c r="BJ173" s="16" t="n">
        <v>52</v>
      </c>
      <c r="BK173" s="17" t="n">
        <v>0</v>
      </c>
      <c r="BL173" s="17" t="n">
        <v>0</v>
      </c>
      <c r="BM173" s="17" t="n">
        <v>52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8" t="n">
        <v>0</v>
      </c>
      <c r="BU173" s="17" t="inlineStr">
        <is>
          <t>Unclassified</t>
        </is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0</v>
      </c>
      <c r="J174" s="17" t="n">
        <v>1419</v>
      </c>
      <c r="K174" s="17" t="n">
        <v>0</v>
      </c>
      <c r="L174" s="17" t="n">
        <v>0</v>
      </c>
      <c r="M174" s="17" t="n">
        <v>0</v>
      </c>
      <c r="N174" s="17" t="n">
        <v>473</v>
      </c>
      <c r="O174" s="17" t="n">
        <v>0</v>
      </c>
      <c r="P174" s="17" t="n">
        <v>0</v>
      </c>
      <c r="Q174" s="18" t="n">
        <v>0</v>
      </c>
      <c r="R174" s="16" t="n">
        <v>4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7" t="n">
        <v>0</v>
      </c>
      <c r="Y174" s="17" t="n">
        <v>1</v>
      </c>
      <c r="Z174" s="17" t="n">
        <v>0</v>
      </c>
      <c r="AA174" s="17" t="n">
        <v>0</v>
      </c>
      <c r="AB174" s="18" t="n">
        <v>0</v>
      </c>
      <c r="AC174" s="16" t="n">
        <v>-4</v>
      </c>
      <c r="AD174" s="17" t="n">
        <v>0</v>
      </c>
      <c r="AE174" s="17" t="n">
        <v>0</v>
      </c>
      <c r="AF174" s="17" t="n">
        <v>-3</v>
      </c>
      <c r="AG174" s="17" t="n">
        <v>0</v>
      </c>
      <c r="AH174" s="17" t="n">
        <v>0</v>
      </c>
      <c r="AI174" s="17" t="n">
        <v>0</v>
      </c>
      <c r="AJ174" s="17" t="n">
        <v>-1</v>
      </c>
      <c r="AK174" s="17" t="n">
        <v>0</v>
      </c>
      <c r="AL174" s="17" t="n">
        <v>0</v>
      </c>
      <c r="AM174" s="18" t="n">
        <v>0</v>
      </c>
      <c r="AN174" s="16" t="n">
        <v>21</v>
      </c>
      <c r="AO174" s="17" t="n">
        <v>0</v>
      </c>
      <c r="AP174" s="17" t="n">
        <v>0</v>
      </c>
      <c r="AQ174" s="17" t="n">
        <v>7</v>
      </c>
      <c r="AR174" s="17" t="n">
        <v>0</v>
      </c>
      <c r="AS174" s="17" t="n">
        <v>0</v>
      </c>
      <c r="AT174" s="17" t="n">
        <v>0</v>
      </c>
      <c r="AU174" s="17" t="n">
        <v>13</v>
      </c>
      <c r="AV174" s="17" t="n">
        <v>0</v>
      </c>
      <c r="AW174" s="17" t="n">
        <v>0</v>
      </c>
      <c r="AX174" s="18" t="n">
        <v>0</v>
      </c>
      <c r="AY174" s="16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8" t="n">
        <v>0</v>
      </c>
      <c r="BJ174" s="16" t="n">
        <v>21</v>
      </c>
      <c r="BK174" s="17" t="n">
        <v>0</v>
      </c>
      <c r="BL174" s="17" t="n">
        <v>0</v>
      </c>
      <c r="BM174" s="17" t="n">
        <v>7</v>
      </c>
      <c r="BN174" s="17" t="n">
        <v>0</v>
      </c>
      <c r="BO174" s="17" t="n">
        <v>0</v>
      </c>
      <c r="BP174" s="17" t="n">
        <v>0</v>
      </c>
      <c r="BQ174" s="17" t="n">
        <v>13</v>
      </c>
      <c r="BR174" s="17" t="n">
        <v>0</v>
      </c>
      <c r="BS174" s="17" t="n">
        <v>0</v>
      </c>
      <c r="BT174" s="18" t="n">
        <v>0</v>
      </c>
      <c r="BU174" s="17" t="inlineStr">
        <is>
          <t>Unclassified</t>
        </is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0</v>
      </c>
      <c r="J175" s="17" t="n">
        <v>270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8" t="n">
        <v>0</v>
      </c>
      <c r="R175" s="16" t="n">
        <v>0.27</v>
      </c>
      <c r="S175" s="17" t="n">
        <v>0</v>
      </c>
      <c r="T175" s="17" t="n">
        <v>0</v>
      </c>
      <c r="U175" s="17" t="n">
        <v>0.27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8" t="n">
        <v>0</v>
      </c>
      <c r="AC175" s="16" t="n">
        <v>-0.27</v>
      </c>
      <c r="AD175" s="17" t="n">
        <v>0</v>
      </c>
      <c r="AE175" s="17" t="n">
        <v>0</v>
      </c>
      <c r="AF175" s="17" t="n">
        <v>-0.27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8" t="n">
        <v>0</v>
      </c>
      <c r="AN175" s="16" t="n">
        <v>105</v>
      </c>
      <c r="AO175" s="17" t="n">
        <v>0</v>
      </c>
      <c r="AP175" s="17" t="n">
        <v>0</v>
      </c>
      <c r="AQ175" s="17" t="n">
        <v>100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8" t="n">
        <v>0</v>
      </c>
      <c r="AY175" s="16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8" t="n">
        <v>0</v>
      </c>
      <c r="BJ175" s="16" t="n">
        <v>105</v>
      </c>
      <c r="BK175" s="17" t="n">
        <v>0</v>
      </c>
      <c r="BL175" s="17" t="n">
        <v>0</v>
      </c>
      <c r="BM175" s="17" t="n">
        <v>100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8" t="n">
        <v>0</v>
      </c>
      <c r="BU175" s="17" t="inlineStr">
        <is>
          <t>Unclassified</t>
        </is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0</v>
      </c>
      <c r="J176" s="17" t="n">
        <v>420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8" t="n">
        <v>0</v>
      </c>
      <c r="R176" s="16" t="n">
        <v>0.42</v>
      </c>
      <c r="S176" s="17" t="n">
        <v>0</v>
      </c>
      <c r="T176" s="17" t="n">
        <v>0</v>
      </c>
      <c r="U176" s="17" t="n">
        <v>0.42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8" t="n">
        <v>0</v>
      </c>
      <c r="AC176" s="16" t="n">
        <v>-0.42</v>
      </c>
      <c r="AD176" s="17" t="n">
        <v>0</v>
      </c>
      <c r="AE176" s="17" t="n">
        <v>0</v>
      </c>
      <c r="AF176" s="17" t="n">
        <v>-0.42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8" t="n">
        <v>0</v>
      </c>
      <c r="AN176" s="16" t="n">
        <v>66</v>
      </c>
      <c r="AO176" s="17" t="n">
        <v>0</v>
      </c>
      <c r="AP176" s="17" t="n">
        <v>0</v>
      </c>
      <c r="AQ176" s="17" t="n">
        <v>61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8" t="n">
        <v>0</v>
      </c>
      <c r="AY176" s="16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8" t="n">
        <v>0</v>
      </c>
      <c r="BJ176" s="16" t="n">
        <v>66</v>
      </c>
      <c r="BK176" s="17" t="n">
        <v>0</v>
      </c>
      <c r="BL176" s="17" t="n">
        <v>0</v>
      </c>
      <c r="BM176" s="17" t="n">
        <v>61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8" t="n">
        <v>0</v>
      </c>
      <c r="BU176" s="17" t="inlineStr">
        <is>
          <t>Unclassified</t>
        </is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30</v>
      </c>
      <c r="P177" s="17" t="n">
        <v>0</v>
      </c>
      <c r="Q177" s="18" t="n">
        <v>0</v>
      </c>
      <c r="R177" s="16" t="n">
        <v>0.3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0.3</v>
      </c>
      <c r="AA177" s="17" t="n">
        <v>0</v>
      </c>
      <c r="AB177" s="18" t="n">
        <v>0</v>
      </c>
      <c r="AC177" s="16" t="n">
        <v>-0.3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-0.3</v>
      </c>
      <c r="AL177" s="17" t="n">
        <v>0</v>
      </c>
      <c r="AM177" s="18" t="n">
        <v>0</v>
      </c>
      <c r="AN177" s="16" t="n">
        <v>12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10</v>
      </c>
      <c r="AW177" s="17" t="n">
        <v>0</v>
      </c>
      <c r="AX177" s="18" t="n">
        <v>0</v>
      </c>
      <c r="AY177" s="16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8" t="n">
        <v>0</v>
      </c>
      <c r="BJ177" s="16" t="n">
        <v>12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10</v>
      </c>
      <c r="BS177" s="17" t="n">
        <v>0</v>
      </c>
      <c r="BT177" s="18" t="n">
        <v>0</v>
      </c>
      <c r="BU177" s="17" t="inlineStr">
        <is>
          <t>Unclassified</t>
        </is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90</v>
      </c>
      <c r="O178" s="17" t="n">
        <v>0</v>
      </c>
      <c r="P178" s="17" t="n">
        <v>0</v>
      </c>
      <c r="Q178" s="18" t="n">
        <v>0</v>
      </c>
      <c r="R178" s="16" t="n">
        <v>0.9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0.9</v>
      </c>
      <c r="Z178" s="17" t="n">
        <v>0</v>
      </c>
      <c r="AA178" s="17" t="n">
        <v>0</v>
      </c>
      <c r="AB178" s="18" t="n">
        <v>0</v>
      </c>
      <c r="AC178" s="16" t="n">
        <v>-0.9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-0.9</v>
      </c>
      <c r="AK178" s="17" t="n">
        <v>0</v>
      </c>
      <c r="AL178" s="17" t="n">
        <v>0</v>
      </c>
      <c r="AM178" s="18" t="n">
        <v>0</v>
      </c>
      <c r="AN178" s="16" t="n">
        <v>56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56</v>
      </c>
      <c r="AV178" s="17" t="n">
        <v>0</v>
      </c>
      <c r="AW178" s="17" t="n">
        <v>0</v>
      </c>
      <c r="AX178" s="18" t="n">
        <v>0</v>
      </c>
      <c r="AY178" s="16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8" t="n">
        <v>0</v>
      </c>
      <c r="BJ178" s="16" t="n">
        <v>56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56</v>
      </c>
      <c r="BR178" s="17" t="n">
        <v>0</v>
      </c>
      <c r="BS178" s="17" t="n">
        <v>0</v>
      </c>
      <c r="BT178" s="18" t="n">
        <v>0</v>
      </c>
      <c r="BU178" s="17" t="inlineStr">
        <is>
          <t>Unclassified</t>
        </is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0</v>
      </c>
      <c r="J179" s="17" t="n">
        <v>60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8" t="n">
        <v>0</v>
      </c>
      <c r="R179" s="16" t="n">
        <v>1</v>
      </c>
      <c r="S179" s="17" t="n">
        <v>0</v>
      </c>
      <c r="T179" s="17" t="n">
        <v>0</v>
      </c>
      <c r="U179" s="17" t="n">
        <v>1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8" t="n">
        <v>0</v>
      </c>
      <c r="AC179" s="16" t="n">
        <v>0</v>
      </c>
      <c r="AD179" s="17" t="n">
        <v>1</v>
      </c>
      <c r="AE179" s="17" t="n">
        <v>1</v>
      </c>
      <c r="AF179" s="17" t="n">
        <v>0</v>
      </c>
      <c r="AG179" s="17" t="n">
        <v>1</v>
      </c>
      <c r="AH179" s="17" t="n">
        <v>1</v>
      </c>
      <c r="AI179" s="17" t="n">
        <v>1</v>
      </c>
      <c r="AJ179" s="17" t="n">
        <v>1</v>
      </c>
      <c r="AK179" s="17" t="n">
        <v>1</v>
      </c>
      <c r="AL179" s="17" t="n">
        <v>1</v>
      </c>
      <c r="AM179" s="18" t="n">
        <v>1</v>
      </c>
      <c r="AN179" s="16" t="n">
        <v>90</v>
      </c>
      <c r="AO179" s="17" t="n">
        <v>0</v>
      </c>
      <c r="AP179" s="17" t="n">
        <v>0</v>
      </c>
      <c r="AQ179" s="17" t="n">
        <v>89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8" t="n">
        <v>0</v>
      </c>
      <c r="AY179" s="16" t="n">
        <v>31</v>
      </c>
      <c r="AZ179" s="17" t="n">
        <v>0</v>
      </c>
      <c r="BA179" s="17" t="n">
        <v>0</v>
      </c>
      <c r="BB179" s="17" t="n">
        <v>31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8" t="n">
        <v>0</v>
      </c>
      <c r="BJ179" s="16" t="n">
        <v>59</v>
      </c>
      <c r="BK179" s="17" t="n">
        <v>0</v>
      </c>
      <c r="BL179" s="17" t="n">
        <v>0</v>
      </c>
      <c r="BM179" s="17" t="n">
        <v>58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8" t="n">
        <v>0</v>
      </c>
      <c r="BU179" s="17" t="inlineStr">
        <is>
          <t>Generic Drug</t>
        </is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0</v>
      </c>
      <c r="J180" s="17" t="n">
        <v>30</v>
      </c>
      <c r="K180" s="17" t="n">
        <v>60</v>
      </c>
      <c r="L180" s="17" t="n">
        <v>0</v>
      </c>
      <c r="M180" s="17" t="n">
        <v>0</v>
      </c>
      <c r="N180" s="17" t="n">
        <v>30</v>
      </c>
      <c r="O180" s="17" t="n">
        <v>0</v>
      </c>
      <c r="P180" s="17" t="n">
        <v>0</v>
      </c>
      <c r="Q180" s="18" t="n">
        <v>0</v>
      </c>
      <c r="R180" s="16" t="n">
        <v>4</v>
      </c>
      <c r="S180" s="17" t="n">
        <v>0</v>
      </c>
      <c r="T180" s="17" t="n">
        <v>0</v>
      </c>
      <c r="U180" s="17" t="n">
        <v>1</v>
      </c>
      <c r="V180" s="17" t="n">
        <v>2</v>
      </c>
      <c r="W180" s="17" t="n">
        <v>0</v>
      </c>
      <c r="X180" s="17" t="n">
        <v>0</v>
      </c>
      <c r="Y180" s="17" t="n">
        <v>1</v>
      </c>
      <c r="Z180" s="17" t="n">
        <v>0</v>
      </c>
      <c r="AA180" s="17" t="n">
        <v>0</v>
      </c>
      <c r="AB180" s="18" t="n">
        <v>0</v>
      </c>
      <c r="AC180" s="16" t="n">
        <v>-4</v>
      </c>
      <c r="AD180" s="17" t="n">
        <v>0</v>
      </c>
      <c r="AE180" s="17" t="n">
        <v>0</v>
      </c>
      <c r="AF180" s="17" t="n">
        <v>-1</v>
      </c>
      <c r="AG180" s="17" t="n">
        <v>-2</v>
      </c>
      <c r="AH180" s="17" t="n">
        <v>0</v>
      </c>
      <c r="AI180" s="17" t="n">
        <v>0</v>
      </c>
      <c r="AJ180" s="17" t="n">
        <v>-1</v>
      </c>
      <c r="AK180" s="17" t="n">
        <v>0</v>
      </c>
      <c r="AL180" s="17" t="n">
        <v>0</v>
      </c>
      <c r="AM180" s="18" t="n">
        <v>0</v>
      </c>
      <c r="AN180" s="16" t="n">
        <v>128</v>
      </c>
      <c r="AO180" s="17" t="n">
        <v>0</v>
      </c>
      <c r="AP180" s="17" t="n">
        <v>0</v>
      </c>
      <c r="AQ180" s="17" t="n">
        <v>33</v>
      </c>
      <c r="AR180" s="17" t="n">
        <v>40</v>
      </c>
      <c r="AS180" s="17" t="n">
        <v>0</v>
      </c>
      <c r="AT180" s="17" t="n">
        <v>0</v>
      </c>
      <c r="AU180" s="17" t="n">
        <v>30</v>
      </c>
      <c r="AV180" s="17" t="n">
        <v>0</v>
      </c>
      <c r="AW180" s="17" t="n">
        <v>0</v>
      </c>
      <c r="AX180" s="18" t="n">
        <v>0</v>
      </c>
      <c r="AY180" s="16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8" t="n">
        <v>0</v>
      </c>
      <c r="BJ180" s="16" t="n">
        <v>128</v>
      </c>
      <c r="BK180" s="17" t="n">
        <v>0</v>
      </c>
      <c r="BL180" s="17" t="n">
        <v>0</v>
      </c>
      <c r="BM180" s="17" t="n">
        <v>33</v>
      </c>
      <c r="BN180" s="17" t="n">
        <v>40</v>
      </c>
      <c r="BO180" s="17" t="n">
        <v>0</v>
      </c>
      <c r="BP180" s="17" t="n">
        <v>0</v>
      </c>
      <c r="BQ180" s="17" t="n">
        <v>30</v>
      </c>
      <c r="BR180" s="17" t="n">
        <v>0</v>
      </c>
      <c r="BS180" s="17" t="n">
        <v>0</v>
      </c>
      <c r="BT180" s="18" t="n">
        <v>0</v>
      </c>
      <c r="BU180" s="17" t="inlineStr">
        <is>
          <t>Unclassified</t>
        </is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0</v>
      </c>
      <c r="J181" s="17" t="n">
        <v>120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8" t="n">
        <v>0</v>
      </c>
      <c r="R181" s="16" t="n">
        <v>4</v>
      </c>
      <c r="S181" s="17" t="n">
        <v>0</v>
      </c>
      <c r="T181" s="17" t="n">
        <v>0</v>
      </c>
      <c r="U181" s="17" t="n">
        <v>4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8" t="n">
        <v>0</v>
      </c>
      <c r="AC181" s="16" t="n">
        <v>-4</v>
      </c>
      <c r="AD181" s="17" t="n">
        <v>0</v>
      </c>
      <c r="AE181" s="17" t="n">
        <v>0</v>
      </c>
      <c r="AF181" s="17" t="n">
        <v>-4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8" t="n">
        <v>0</v>
      </c>
      <c r="AN181" s="16" t="n">
        <v>61</v>
      </c>
      <c r="AO181" s="17" t="n">
        <v>0</v>
      </c>
      <c r="AP181" s="17" t="n">
        <v>0</v>
      </c>
      <c r="AQ181" s="17" t="n">
        <v>54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8" t="n">
        <v>0</v>
      </c>
      <c r="AY181" s="16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8" t="n">
        <v>0</v>
      </c>
      <c r="BJ181" s="16" t="n">
        <v>61</v>
      </c>
      <c r="BK181" s="17" t="n">
        <v>0</v>
      </c>
      <c r="BL181" s="17" t="n">
        <v>0</v>
      </c>
      <c r="BM181" s="17" t="n">
        <v>54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8" t="n">
        <v>0</v>
      </c>
      <c r="BU181" s="17" t="inlineStr">
        <is>
          <t>Unclassified</t>
        </is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120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8" t="n">
        <v>0</v>
      </c>
      <c r="R182" s="16" t="n">
        <v>2</v>
      </c>
      <c r="S182" s="17" t="n">
        <v>0</v>
      </c>
      <c r="T182" s="17" t="n">
        <v>0</v>
      </c>
      <c r="U182" s="17" t="n">
        <v>1</v>
      </c>
      <c r="V182" s="17" t="n">
        <v>1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8" t="n">
        <v>0</v>
      </c>
      <c r="AC182" s="16" t="n">
        <v>-2</v>
      </c>
      <c r="AD182" s="17" t="n">
        <v>0</v>
      </c>
      <c r="AE182" s="17" t="n">
        <v>0</v>
      </c>
      <c r="AF182" s="17" t="n">
        <v>-1</v>
      </c>
      <c r="AG182" s="17" t="n">
        <v>-1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8" t="n">
        <v>0</v>
      </c>
      <c r="AN182" s="16" t="n">
        <v>58</v>
      </c>
      <c r="AO182" s="17" t="n">
        <v>0</v>
      </c>
      <c r="AP182" s="17" t="n">
        <v>0</v>
      </c>
      <c r="AQ182" s="17" t="n">
        <v>15</v>
      </c>
      <c r="AR182" s="17" t="n">
        <v>35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8" t="n">
        <v>0</v>
      </c>
      <c r="AY182" s="16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8" t="n">
        <v>0</v>
      </c>
      <c r="BJ182" s="16" t="n">
        <v>58</v>
      </c>
      <c r="BK182" s="17" t="n">
        <v>0</v>
      </c>
      <c r="BL182" s="17" t="n">
        <v>0</v>
      </c>
      <c r="BM182" s="17" t="n">
        <v>15</v>
      </c>
      <c r="BN182" s="17" t="n">
        <v>35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8" t="n">
        <v>0</v>
      </c>
      <c r="BU182" s="17" t="inlineStr">
        <is>
          <t>Unclassified</t>
        </is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0</v>
      </c>
      <c r="J183" s="17" t="n">
        <v>6.6</v>
      </c>
      <c r="K183" s="17" t="n">
        <v>6.6</v>
      </c>
      <c r="L183" s="17" t="n">
        <v>0</v>
      </c>
      <c r="M183" s="17" t="n">
        <v>0</v>
      </c>
      <c r="N183" s="17" t="n">
        <v>26.4</v>
      </c>
      <c r="O183" s="17" t="n">
        <v>6.6</v>
      </c>
      <c r="P183" s="17" t="n">
        <v>0</v>
      </c>
      <c r="Q183" s="18" t="n">
        <v>0</v>
      </c>
      <c r="R183" s="16" t="n">
        <v>7</v>
      </c>
      <c r="S183" s="17" t="n">
        <v>0</v>
      </c>
      <c r="T183" s="17" t="n">
        <v>0</v>
      </c>
      <c r="U183" s="17" t="n">
        <v>1</v>
      </c>
      <c r="V183" s="17" t="n">
        <v>1</v>
      </c>
      <c r="W183" s="17" t="n">
        <v>0</v>
      </c>
      <c r="X183" s="17" t="n">
        <v>0</v>
      </c>
      <c r="Y183" s="17" t="n">
        <v>4</v>
      </c>
      <c r="Z183" s="17" t="n">
        <v>1</v>
      </c>
      <c r="AA183" s="17" t="n">
        <v>0</v>
      </c>
      <c r="AB183" s="18" t="n">
        <v>0</v>
      </c>
      <c r="AC183" s="16" t="n">
        <v>1</v>
      </c>
      <c r="AD183" s="17" t="n">
        <v>8</v>
      </c>
      <c r="AE183" s="17" t="n">
        <v>8</v>
      </c>
      <c r="AF183" s="17" t="n">
        <v>7</v>
      </c>
      <c r="AG183" s="17" t="n">
        <v>7</v>
      </c>
      <c r="AH183" s="17" t="n">
        <v>8</v>
      </c>
      <c r="AI183" s="17" t="n">
        <v>8</v>
      </c>
      <c r="AJ183" s="17" t="n">
        <v>4</v>
      </c>
      <c r="AK183" s="17" t="n">
        <v>7</v>
      </c>
      <c r="AL183" s="17" t="n">
        <v>8</v>
      </c>
      <c r="AM183" s="18" t="n">
        <v>8</v>
      </c>
      <c r="AN183" s="16" t="n">
        <v>109</v>
      </c>
      <c r="AO183" s="17" t="n">
        <v>0</v>
      </c>
      <c r="AP183" s="17" t="n">
        <v>0</v>
      </c>
      <c r="AQ183" s="17" t="n">
        <v>10</v>
      </c>
      <c r="AR183" s="17" t="n">
        <v>6</v>
      </c>
      <c r="AS183" s="17" t="n">
        <v>0</v>
      </c>
      <c r="AT183" s="17" t="n">
        <v>0</v>
      </c>
      <c r="AU183" s="17" t="n">
        <v>74</v>
      </c>
      <c r="AV183" s="17" t="n">
        <v>11</v>
      </c>
      <c r="AW183" s="17" t="n">
        <v>0</v>
      </c>
      <c r="AX183" s="18" t="n">
        <v>0</v>
      </c>
      <c r="AY183" s="16" t="n">
        <v>42</v>
      </c>
      <c r="AZ183" s="17" t="n">
        <v>0</v>
      </c>
      <c r="BA183" s="17" t="n">
        <v>0</v>
      </c>
      <c r="BB183" s="17" t="n">
        <v>6</v>
      </c>
      <c r="BC183" s="17" t="n">
        <v>6</v>
      </c>
      <c r="BD183" s="17" t="n">
        <v>0</v>
      </c>
      <c r="BE183" s="17" t="n">
        <v>0</v>
      </c>
      <c r="BF183" s="17" t="n">
        <v>24</v>
      </c>
      <c r="BG183" s="17" t="n">
        <v>6</v>
      </c>
      <c r="BH183" s="17" t="n">
        <v>0</v>
      </c>
      <c r="BI183" s="18" t="n">
        <v>0</v>
      </c>
      <c r="BJ183" s="16" t="n">
        <v>67</v>
      </c>
      <c r="BK183" s="17" t="n">
        <v>0</v>
      </c>
      <c r="BL183" s="17" t="n">
        <v>0</v>
      </c>
      <c r="BM183" s="17" t="n">
        <v>4</v>
      </c>
      <c r="BN183" s="17" t="n">
        <v>0</v>
      </c>
      <c r="BO183" s="17" t="n">
        <v>0</v>
      </c>
      <c r="BP183" s="17" t="n">
        <v>0</v>
      </c>
      <c r="BQ183" s="17" t="n">
        <v>50</v>
      </c>
      <c r="BR183" s="17" t="n">
        <v>5</v>
      </c>
      <c r="BS183" s="17" t="n">
        <v>0</v>
      </c>
      <c r="BT183" s="18" t="n">
        <v>0</v>
      </c>
      <c r="BU183" s="17" t="inlineStr">
        <is>
          <t>Generic Drug</t>
        </is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0</v>
      </c>
      <c r="K184" s="17" t="n">
        <v>180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8" t="n">
        <v>0</v>
      </c>
      <c r="R184" s="16" t="n">
        <v>3</v>
      </c>
      <c r="S184" s="17" t="n">
        <v>0</v>
      </c>
      <c r="T184" s="17" t="n">
        <v>0</v>
      </c>
      <c r="U184" s="17" t="n">
        <v>0</v>
      </c>
      <c r="V184" s="17" t="n">
        <v>3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8" t="n">
        <v>0</v>
      </c>
      <c r="AC184" s="16" t="n">
        <v>-3</v>
      </c>
      <c r="AD184" s="17" t="n">
        <v>0</v>
      </c>
      <c r="AE184" s="17" t="n">
        <v>0</v>
      </c>
      <c r="AF184" s="17" t="n">
        <v>0</v>
      </c>
      <c r="AG184" s="17" t="n">
        <v>-3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8" t="n">
        <v>0</v>
      </c>
      <c r="AN184" s="16" t="n">
        <v>20</v>
      </c>
      <c r="AO184" s="17" t="n">
        <v>0</v>
      </c>
      <c r="AP184" s="17" t="n">
        <v>0</v>
      </c>
      <c r="AQ184" s="17" t="n">
        <v>0</v>
      </c>
      <c r="AR184" s="17" t="n">
        <v>20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8" t="n">
        <v>0</v>
      </c>
      <c r="AY184" s="16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8" t="n">
        <v>0</v>
      </c>
      <c r="BJ184" s="16" t="n">
        <v>20</v>
      </c>
      <c r="BK184" s="17" t="n">
        <v>0</v>
      </c>
      <c r="BL184" s="17" t="n">
        <v>0</v>
      </c>
      <c r="BM184" s="17" t="n">
        <v>0</v>
      </c>
      <c r="BN184" s="17" t="n">
        <v>20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8" t="n">
        <v>0</v>
      </c>
      <c r="BU184" s="17" t="inlineStr">
        <is>
          <t>Unclassified</t>
        </is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0</v>
      </c>
      <c r="J185" s="17" t="n">
        <v>10</v>
      </c>
      <c r="K185" s="17" t="n">
        <v>10</v>
      </c>
      <c r="L185" s="17" t="n">
        <v>0</v>
      </c>
      <c r="M185" s="17" t="n">
        <v>0</v>
      </c>
      <c r="N185" s="17" t="n">
        <v>0</v>
      </c>
      <c r="O185" s="17" t="n">
        <v>10</v>
      </c>
      <c r="P185" s="17" t="n">
        <v>0</v>
      </c>
      <c r="Q185" s="18" t="n">
        <v>0</v>
      </c>
      <c r="R185" s="16" t="n">
        <v>3</v>
      </c>
      <c r="S185" s="17" t="n">
        <v>0</v>
      </c>
      <c r="T185" s="17" t="n">
        <v>0</v>
      </c>
      <c r="U185" s="17" t="n">
        <v>1</v>
      </c>
      <c r="V185" s="17" t="n">
        <v>1</v>
      </c>
      <c r="W185" s="17" t="n">
        <v>0</v>
      </c>
      <c r="X185" s="17" t="n">
        <v>0</v>
      </c>
      <c r="Y185" s="17" t="n">
        <v>0</v>
      </c>
      <c r="Z185" s="17" t="n">
        <v>1</v>
      </c>
      <c r="AA185" s="17" t="n">
        <v>0</v>
      </c>
      <c r="AB185" s="18" t="n">
        <v>0</v>
      </c>
      <c r="AC185" s="16" t="n">
        <v>0</v>
      </c>
      <c r="AD185" s="17" t="n">
        <v>3</v>
      </c>
      <c r="AE185" s="17" t="n">
        <v>3</v>
      </c>
      <c r="AF185" s="17" t="n">
        <v>2</v>
      </c>
      <c r="AG185" s="17" t="n">
        <v>2</v>
      </c>
      <c r="AH185" s="17" t="n">
        <v>3</v>
      </c>
      <c r="AI185" s="17" t="n">
        <v>3</v>
      </c>
      <c r="AJ185" s="17" t="n">
        <v>3</v>
      </c>
      <c r="AK185" s="17" t="n">
        <v>2</v>
      </c>
      <c r="AL185" s="17" t="n">
        <v>3</v>
      </c>
      <c r="AM185" s="18" t="n">
        <v>3</v>
      </c>
      <c r="AN185" s="16" t="n">
        <v>41</v>
      </c>
      <c r="AO185" s="17" t="n">
        <v>0</v>
      </c>
      <c r="AP185" s="17" t="n">
        <v>0</v>
      </c>
      <c r="AQ185" s="17" t="n">
        <v>10</v>
      </c>
      <c r="AR185" s="17" t="n">
        <v>6</v>
      </c>
      <c r="AS185" s="17" t="n">
        <v>0</v>
      </c>
      <c r="AT185" s="17" t="n">
        <v>0</v>
      </c>
      <c r="AU185" s="17" t="n">
        <v>0</v>
      </c>
      <c r="AV185" s="17" t="n">
        <v>8</v>
      </c>
      <c r="AW185" s="17" t="n">
        <v>0</v>
      </c>
      <c r="AX185" s="18" t="n">
        <v>0</v>
      </c>
      <c r="AY185" s="16" t="n">
        <v>48</v>
      </c>
      <c r="AZ185" s="17" t="n">
        <v>0</v>
      </c>
      <c r="BA185" s="17" t="n">
        <v>0</v>
      </c>
      <c r="BB185" s="17" t="n">
        <v>16</v>
      </c>
      <c r="BC185" s="17" t="n">
        <v>16</v>
      </c>
      <c r="BD185" s="17" t="n">
        <v>0</v>
      </c>
      <c r="BE185" s="17" t="n">
        <v>0</v>
      </c>
      <c r="BF185" s="17" t="n">
        <v>0</v>
      </c>
      <c r="BG185" s="17" t="n">
        <v>16</v>
      </c>
      <c r="BH185" s="17" t="n">
        <v>0</v>
      </c>
      <c r="BI185" s="18" t="n">
        <v>0</v>
      </c>
      <c r="BJ185" s="16" t="n">
        <v>-7</v>
      </c>
      <c r="BK185" s="17" t="n">
        <v>0</v>
      </c>
      <c r="BL185" s="17" t="n">
        <v>0</v>
      </c>
      <c r="BM185" s="17" t="n">
        <v>-6</v>
      </c>
      <c r="BN185" s="17" t="n">
        <v>-10</v>
      </c>
      <c r="BO185" s="17" t="n">
        <v>0</v>
      </c>
      <c r="BP185" s="17" t="n">
        <v>0</v>
      </c>
      <c r="BQ185" s="17" t="n">
        <v>0</v>
      </c>
      <c r="BR185" s="17" t="n">
        <v>-8</v>
      </c>
      <c r="BS185" s="17" t="n">
        <v>0</v>
      </c>
      <c r="BT185" s="18" t="n">
        <v>0</v>
      </c>
      <c r="BU185" s="17" t="inlineStr">
        <is>
          <t>Generic Drug</t>
        </is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0</v>
      </c>
      <c r="J186" s="17" t="n">
        <v>25</v>
      </c>
      <c r="K186" s="17" t="n">
        <v>0</v>
      </c>
      <c r="L186" s="17" t="n">
        <v>0</v>
      </c>
      <c r="M186" s="17" t="n">
        <v>0</v>
      </c>
      <c r="N186" s="17" t="n">
        <v>5</v>
      </c>
      <c r="O186" s="17" t="n">
        <v>0</v>
      </c>
      <c r="P186" s="17" t="n">
        <v>0</v>
      </c>
      <c r="Q186" s="18" t="n">
        <v>0</v>
      </c>
      <c r="R186" s="16" t="n">
        <v>6</v>
      </c>
      <c r="S186" s="17" t="n">
        <v>0</v>
      </c>
      <c r="T186" s="17" t="n">
        <v>0</v>
      </c>
      <c r="U186" s="17" t="n">
        <v>5</v>
      </c>
      <c r="V186" s="17" t="n">
        <v>0</v>
      </c>
      <c r="W186" s="17" t="n">
        <v>0</v>
      </c>
      <c r="X186" s="17" t="n">
        <v>0</v>
      </c>
      <c r="Y186" s="17" t="n">
        <v>1</v>
      </c>
      <c r="Z186" s="17" t="n">
        <v>0</v>
      </c>
      <c r="AA186" s="17" t="n">
        <v>0</v>
      </c>
      <c r="AB186" s="18" t="n">
        <v>0</v>
      </c>
      <c r="AC186" s="16" t="n">
        <v>2</v>
      </c>
      <c r="AD186" s="17" t="n">
        <v>8</v>
      </c>
      <c r="AE186" s="17" t="n">
        <v>8</v>
      </c>
      <c r="AF186" s="17" t="n">
        <v>3</v>
      </c>
      <c r="AG186" s="17" t="n">
        <v>8</v>
      </c>
      <c r="AH186" s="17" t="n">
        <v>8</v>
      </c>
      <c r="AI186" s="17" t="n">
        <v>8</v>
      </c>
      <c r="AJ186" s="17" t="n">
        <v>7</v>
      </c>
      <c r="AK186" s="17" t="n">
        <v>8</v>
      </c>
      <c r="AL186" s="17" t="n">
        <v>8</v>
      </c>
      <c r="AM186" s="18" t="n">
        <v>8</v>
      </c>
      <c r="AN186" s="16" t="n">
        <v>55</v>
      </c>
      <c r="AO186" s="17" t="n">
        <v>0</v>
      </c>
      <c r="AP186" s="17" t="n">
        <v>0</v>
      </c>
      <c r="AQ186" s="17" t="n">
        <v>35</v>
      </c>
      <c r="AR186" s="17" t="n">
        <v>0</v>
      </c>
      <c r="AS186" s="17" t="n">
        <v>0</v>
      </c>
      <c r="AT186" s="17" t="n">
        <v>0</v>
      </c>
      <c r="AU186" s="17" t="n">
        <v>18</v>
      </c>
      <c r="AV186" s="17" t="n">
        <v>0</v>
      </c>
      <c r="AW186" s="17" t="n">
        <v>0</v>
      </c>
      <c r="AX186" s="18" t="n">
        <v>0</v>
      </c>
      <c r="AY186" s="16" t="n">
        <v>54</v>
      </c>
      <c r="AZ186" s="17" t="n">
        <v>0</v>
      </c>
      <c r="BA186" s="17" t="n">
        <v>0</v>
      </c>
      <c r="BB186" s="17" t="n">
        <v>45</v>
      </c>
      <c r="BC186" s="17" t="n">
        <v>0</v>
      </c>
      <c r="BD186" s="17" t="n">
        <v>0</v>
      </c>
      <c r="BE186" s="17" t="n">
        <v>0</v>
      </c>
      <c r="BF186" s="17" t="n">
        <v>9</v>
      </c>
      <c r="BG186" s="17" t="n">
        <v>0</v>
      </c>
      <c r="BH186" s="17" t="n">
        <v>0</v>
      </c>
      <c r="BI186" s="18" t="n">
        <v>0</v>
      </c>
      <c r="BJ186" s="16" t="n">
        <v>1</v>
      </c>
      <c r="BK186" s="17" t="n">
        <v>0</v>
      </c>
      <c r="BL186" s="17" t="n">
        <v>0</v>
      </c>
      <c r="BM186" s="17" t="n">
        <v>-10</v>
      </c>
      <c r="BN186" s="17" t="n">
        <v>0</v>
      </c>
      <c r="BO186" s="17" t="n">
        <v>0</v>
      </c>
      <c r="BP186" s="17" t="n">
        <v>0</v>
      </c>
      <c r="BQ186" s="17" t="n">
        <v>9</v>
      </c>
      <c r="BR186" s="17" t="n">
        <v>0</v>
      </c>
      <c r="BS186" s="17" t="n">
        <v>0</v>
      </c>
      <c r="BT186" s="18" t="n">
        <v>0</v>
      </c>
      <c r="BU186" s="17" t="inlineStr">
        <is>
          <t>Generic Drug</t>
        </is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0</v>
      </c>
      <c r="J187" s="17" t="n">
        <v>15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8" t="n">
        <v>0</v>
      </c>
      <c r="R187" s="16" t="n">
        <v>2</v>
      </c>
      <c r="S187" s="17" t="n">
        <v>0</v>
      </c>
      <c r="T187" s="17" t="n">
        <v>0</v>
      </c>
      <c r="U187" s="17" t="n">
        <v>2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8" t="n">
        <v>0</v>
      </c>
      <c r="AC187" s="16" t="n">
        <v>1</v>
      </c>
      <c r="AD187" s="17" t="n">
        <v>3</v>
      </c>
      <c r="AE187" s="17" t="n">
        <v>3</v>
      </c>
      <c r="AF187" s="17" t="n">
        <v>1</v>
      </c>
      <c r="AG187" s="17" t="n">
        <v>3</v>
      </c>
      <c r="AH187" s="17" t="n">
        <v>3</v>
      </c>
      <c r="AI187" s="17" t="n">
        <v>3</v>
      </c>
      <c r="AJ187" s="17" t="n">
        <v>3</v>
      </c>
      <c r="AK187" s="17" t="n">
        <v>3</v>
      </c>
      <c r="AL187" s="17" t="n">
        <v>3</v>
      </c>
      <c r="AM187" s="18" t="n">
        <v>3</v>
      </c>
      <c r="AN187" s="16" t="n">
        <v>132</v>
      </c>
      <c r="AO187" s="17" t="n">
        <v>0</v>
      </c>
      <c r="AP187" s="17" t="n">
        <v>0</v>
      </c>
      <c r="AQ187" s="17" t="n">
        <v>126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8" t="n">
        <v>0</v>
      </c>
      <c r="AY187" s="16" t="n">
        <v>96</v>
      </c>
      <c r="AZ187" s="17" t="n">
        <v>0</v>
      </c>
      <c r="BA187" s="17" t="n">
        <v>0</v>
      </c>
      <c r="BB187" s="17" t="n">
        <v>96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8" t="n">
        <v>0</v>
      </c>
      <c r="BJ187" s="16" t="n">
        <v>36</v>
      </c>
      <c r="BK187" s="17" t="n">
        <v>0</v>
      </c>
      <c r="BL187" s="17" t="n">
        <v>0</v>
      </c>
      <c r="BM187" s="17" t="n">
        <v>30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8" t="n">
        <v>0</v>
      </c>
      <c r="BU187" s="17" t="inlineStr">
        <is>
          <t>Generic Drug</t>
        </is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90</v>
      </c>
      <c r="P188" s="17" t="n">
        <v>0</v>
      </c>
      <c r="Q188" s="18" t="n">
        <v>0</v>
      </c>
      <c r="R188" s="16" t="n">
        <v>0.54</v>
      </c>
      <c r="S188" s="17" t="n">
        <v>0</v>
      </c>
      <c r="T188" s="17" t="n">
        <v>0</v>
      </c>
      <c r="U188" s="17" t="n">
        <v>0.36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0.18</v>
      </c>
      <c r="AA188" s="17" t="n">
        <v>0</v>
      </c>
      <c r="AB188" s="18" t="n">
        <v>0</v>
      </c>
      <c r="AC188" s="16" t="n">
        <v>-0.54</v>
      </c>
      <c r="AD188" s="17" t="n">
        <v>0</v>
      </c>
      <c r="AE188" s="17" t="n">
        <v>0</v>
      </c>
      <c r="AF188" s="17" t="n">
        <v>-0.36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-0.18</v>
      </c>
      <c r="AL188" s="17" t="n">
        <v>0</v>
      </c>
      <c r="AM188" s="18" t="n">
        <v>0</v>
      </c>
      <c r="AN188" s="16" t="n">
        <v>7</v>
      </c>
      <c r="AO188" s="17" t="n">
        <v>0</v>
      </c>
      <c r="AP188" s="17" t="n">
        <v>0</v>
      </c>
      <c r="AQ188" s="17" t="n">
        <v>1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8" t="n">
        <v>0</v>
      </c>
      <c r="AY188" s="16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8" t="n">
        <v>0</v>
      </c>
      <c r="BJ188" s="16" t="n">
        <v>7</v>
      </c>
      <c r="BK188" s="17" t="n">
        <v>0</v>
      </c>
      <c r="BL188" s="17" t="n">
        <v>0</v>
      </c>
      <c r="BM188" s="17" t="n">
        <v>1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8" t="n">
        <v>0</v>
      </c>
      <c r="BU188" s="17" t="inlineStr">
        <is>
          <t>Unclassified</t>
        </is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120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8" t="n">
        <v>0</v>
      </c>
      <c r="R189" s="16" t="n">
        <v>0.24</v>
      </c>
      <c r="S189" s="17" t="n">
        <v>0</v>
      </c>
      <c r="T189" s="17" t="n">
        <v>0</v>
      </c>
      <c r="U189" s="17" t="n">
        <v>0.24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8" t="n">
        <v>0</v>
      </c>
      <c r="AC189" s="16" t="n">
        <v>-0.24</v>
      </c>
      <c r="AD189" s="17" t="n">
        <v>0</v>
      </c>
      <c r="AE189" s="17" t="n">
        <v>0</v>
      </c>
      <c r="AF189" s="17" t="n">
        <v>-0.24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8" t="n">
        <v>0</v>
      </c>
      <c r="AN189" s="16" t="n">
        <v>8</v>
      </c>
      <c r="AO189" s="17" t="n">
        <v>0</v>
      </c>
      <c r="AP189" s="17" t="n">
        <v>0</v>
      </c>
      <c r="AQ189" s="17" t="n">
        <v>8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8" t="n">
        <v>0</v>
      </c>
      <c r="AY189" s="16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8" t="n">
        <v>0</v>
      </c>
      <c r="BJ189" s="16" t="n">
        <v>8</v>
      </c>
      <c r="BK189" s="17" t="n">
        <v>0</v>
      </c>
      <c r="BL189" s="17" t="n">
        <v>0</v>
      </c>
      <c r="BM189" s="17" t="n">
        <v>8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8" t="n">
        <v>0</v>
      </c>
      <c r="BU189" s="17" t="inlineStr">
        <is>
          <t>Unclassified</t>
        </is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28</v>
      </c>
      <c r="O190" s="17" t="n">
        <v>0</v>
      </c>
      <c r="P190" s="17" t="n">
        <v>0</v>
      </c>
      <c r="Q190" s="18" t="n">
        <v>0</v>
      </c>
      <c r="R190" s="16" t="n">
        <v>0.467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0.467</v>
      </c>
      <c r="Z190" s="17" t="n">
        <v>0</v>
      </c>
      <c r="AA190" s="17" t="n">
        <v>0</v>
      </c>
      <c r="AB190" s="18" t="n">
        <v>0</v>
      </c>
      <c r="AC190" s="16" t="n">
        <v>-0.467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-0.467</v>
      </c>
      <c r="AK190" s="17" t="n">
        <v>0</v>
      </c>
      <c r="AL190" s="17" t="n">
        <v>0</v>
      </c>
      <c r="AM190" s="18" t="n">
        <v>0</v>
      </c>
      <c r="AN190" s="16" t="n">
        <v>23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22</v>
      </c>
      <c r="AV190" s="17" t="n">
        <v>0</v>
      </c>
      <c r="AW190" s="17" t="n">
        <v>0</v>
      </c>
      <c r="AX190" s="18" t="n">
        <v>0</v>
      </c>
      <c r="AY190" s="16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8" t="n">
        <v>0</v>
      </c>
      <c r="BJ190" s="16" t="n">
        <v>23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22</v>
      </c>
      <c r="BR190" s="17" t="n">
        <v>0</v>
      </c>
      <c r="BS190" s="17" t="n">
        <v>0</v>
      </c>
      <c r="BT190" s="18" t="n">
        <v>0</v>
      </c>
      <c r="BU190" s="17" t="inlineStr">
        <is>
          <t>Unclassified</t>
        </is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0</v>
      </c>
      <c r="K191" s="17" t="n">
        <v>60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8" t="n">
        <v>0</v>
      </c>
      <c r="R191" s="16" t="n">
        <v>1</v>
      </c>
      <c r="S191" s="17" t="n">
        <v>0</v>
      </c>
      <c r="T191" s="17" t="n">
        <v>0</v>
      </c>
      <c r="U191" s="17" t="n">
        <v>0</v>
      </c>
      <c r="V191" s="17" t="n">
        <v>1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8" t="n">
        <v>0</v>
      </c>
      <c r="AC191" s="16" t="n">
        <v>-1</v>
      </c>
      <c r="AD191" s="17" t="n">
        <v>0</v>
      </c>
      <c r="AE191" s="17" t="n">
        <v>0</v>
      </c>
      <c r="AF191" s="17" t="n">
        <v>0</v>
      </c>
      <c r="AG191" s="17" t="n">
        <v>-1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8" t="n">
        <v>0</v>
      </c>
      <c r="AN191" s="16" t="n">
        <v>14</v>
      </c>
      <c r="AO191" s="17" t="n">
        <v>0</v>
      </c>
      <c r="AP191" s="17" t="n">
        <v>0</v>
      </c>
      <c r="AQ191" s="17" t="n">
        <v>0</v>
      </c>
      <c r="AR191" s="17" t="n">
        <v>12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8" t="n">
        <v>0</v>
      </c>
      <c r="AY191" s="16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8" t="n">
        <v>0</v>
      </c>
      <c r="BJ191" s="16" t="n">
        <v>14</v>
      </c>
      <c r="BK191" s="17" t="n">
        <v>0</v>
      </c>
      <c r="BL191" s="17" t="n">
        <v>0</v>
      </c>
      <c r="BM191" s="17" t="n">
        <v>0</v>
      </c>
      <c r="BN191" s="17" t="n">
        <v>12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8" t="n">
        <v>0</v>
      </c>
      <c r="BU191" s="17" t="inlineStr">
        <is>
          <t>Unclassified</t>
        </is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0</v>
      </c>
      <c r="J192" s="17" t="n">
        <v>100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8" t="n">
        <v>0</v>
      </c>
      <c r="R192" s="16" t="n">
        <v>2</v>
      </c>
      <c r="S192" s="17" t="n">
        <v>0</v>
      </c>
      <c r="T192" s="17" t="n">
        <v>0</v>
      </c>
      <c r="U192" s="17" t="n">
        <v>2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8" t="n">
        <v>0</v>
      </c>
      <c r="AC192" s="16" t="n">
        <v>0</v>
      </c>
      <c r="AD192" s="17" t="n">
        <v>2</v>
      </c>
      <c r="AE192" s="17" t="n">
        <v>2</v>
      </c>
      <c r="AF192" s="17" t="n">
        <v>0</v>
      </c>
      <c r="AG192" s="17" t="n">
        <v>2</v>
      </c>
      <c r="AH192" s="17" t="n">
        <v>2</v>
      </c>
      <c r="AI192" s="17" t="n">
        <v>2</v>
      </c>
      <c r="AJ192" s="17" t="n">
        <v>2</v>
      </c>
      <c r="AK192" s="17" t="n">
        <v>2</v>
      </c>
      <c r="AL192" s="17" t="n">
        <v>2</v>
      </c>
      <c r="AM192" s="18" t="n">
        <v>2</v>
      </c>
      <c r="AN192" s="16" t="n">
        <v>75</v>
      </c>
      <c r="AO192" s="17" t="n">
        <v>0</v>
      </c>
      <c r="AP192" s="17" t="n">
        <v>0</v>
      </c>
      <c r="AQ192" s="17" t="n">
        <v>68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8" t="n">
        <v>0</v>
      </c>
      <c r="AY192" s="16" t="n">
        <v>66</v>
      </c>
      <c r="AZ192" s="17" t="n">
        <v>0</v>
      </c>
      <c r="BA192" s="17" t="n">
        <v>0</v>
      </c>
      <c r="BB192" s="17" t="n">
        <v>66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8" t="n">
        <v>0</v>
      </c>
      <c r="BJ192" s="16" t="n">
        <v>9</v>
      </c>
      <c r="BK192" s="17" t="n">
        <v>0</v>
      </c>
      <c r="BL192" s="17" t="n">
        <v>0</v>
      </c>
      <c r="BM192" s="17" t="n">
        <v>2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8" t="n">
        <v>0</v>
      </c>
      <c r="BU192" s="17" t="inlineStr">
        <is>
          <t>Generic Drug</t>
        </is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0</v>
      </c>
      <c r="J193" s="17" t="n">
        <v>180</v>
      </c>
      <c r="K193" s="17" t="n">
        <v>60</v>
      </c>
      <c r="L193" s="17" t="n">
        <v>0</v>
      </c>
      <c r="M193" s="17" t="n">
        <v>0</v>
      </c>
      <c r="N193" s="17" t="n">
        <v>60</v>
      </c>
      <c r="O193" s="17" t="n">
        <v>120</v>
      </c>
      <c r="P193" s="17" t="n">
        <v>0</v>
      </c>
      <c r="Q193" s="18" t="n">
        <v>0</v>
      </c>
      <c r="R193" s="16" t="n">
        <v>7</v>
      </c>
      <c r="S193" s="17" t="n">
        <v>0</v>
      </c>
      <c r="T193" s="17" t="n">
        <v>0</v>
      </c>
      <c r="U193" s="17" t="n">
        <v>3</v>
      </c>
      <c r="V193" s="17" t="n">
        <v>1</v>
      </c>
      <c r="W193" s="17" t="n">
        <v>0</v>
      </c>
      <c r="X193" s="17" t="n">
        <v>0</v>
      </c>
      <c r="Y193" s="17" t="n">
        <v>1</v>
      </c>
      <c r="Z193" s="17" t="n">
        <v>2</v>
      </c>
      <c r="AA193" s="17" t="n">
        <v>0</v>
      </c>
      <c r="AB193" s="18" t="n">
        <v>0</v>
      </c>
      <c r="AC193" s="16" t="n">
        <v>-4</v>
      </c>
      <c r="AD193" s="17" t="n">
        <v>3</v>
      </c>
      <c r="AE193" s="17" t="n">
        <v>3</v>
      </c>
      <c r="AF193" s="17" t="n">
        <v>0</v>
      </c>
      <c r="AG193" s="17" t="n">
        <v>2</v>
      </c>
      <c r="AH193" s="17" t="n">
        <v>3</v>
      </c>
      <c r="AI193" s="17" t="n">
        <v>3</v>
      </c>
      <c r="AJ193" s="17" t="n">
        <v>2</v>
      </c>
      <c r="AK193" s="17" t="n">
        <v>1</v>
      </c>
      <c r="AL193" s="17" t="n">
        <v>3</v>
      </c>
      <c r="AM193" s="18" t="n">
        <v>3</v>
      </c>
      <c r="AN193" s="16" t="n">
        <v>139</v>
      </c>
      <c r="AO193" s="17" t="n">
        <v>0</v>
      </c>
      <c r="AP193" s="17" t="n">
        <v>0</v>
      </c>
      <c r="AQ193" s="17" t="n">
        <v>31</v>
      </c>
      <c r="AR193" s="17" t="n">
        <v>15</v>
      </c>
      <c r="AS193" s="17" t="n">
        <v>0</v>
      </c>
      <c r="AT193" s="17" t="n">
        <v>0</v>
      </c>
      <c r="AU193" s="17" t="n">
        <v>27</v>
      </c>
      <c r="AV193" s="17" t="n">
        <v>24</v>
      </c>
      <c r="AW193" s="17" t="n">
        <v>0</v>
      </c>
      <c r="AX193" s="18" t="n">
        <v>0</v>
      </c>
      <c r="AY193" s="16" t="n">
        <v>63</v>
      </c>
      <c r="AZ193" s="17" t="n">
        <v>0</v>
      </c>
      <c r="BA193" s="17" t="n">
        <v>0</v>
      </c>
      <c r="BB193" s="17" t="n">
        <v>27</v>
      </c>
      <c r="BC193" s="17" t="n">
        <v>9</v>
      </c>
      <c r="BD193" s="17" t="n">
        <v>0</v>
      </c>
      <c r="BE193" s="17" t="n">
        <v>0</v>
      </c>
      <c r="BF193" s="17" t="n">
        <v>9</v>
      </c>
      <c r="BG193" s="17" t="n">
        <v>18</v>
      </c>
      <c r="BH193" s="17" t="n">
        <v>0</v>
      </c>
      <c r="BI193" s="18" t="n">
        <v>0</v>
      </c>
      <c r="BJ193" s="16" t="n">
        <v>76</v>
      </c>
      <c r="BK193" s="17" t="n">
        <v>0</v>
      </c>
      <c r="BL193" s="17" t="n">
        <v>0</v>
      </c>
      <c r="BM193" s="17" t="n">
        <v>4</v>
      </c>
      <c r="BN193" s="17" t="n">
        <v>6</v>
      </c>
      <c r="BO193" s="17" t="n">
        <v>0</v>
      </c>
      <c r="BP193" s="17" t="n">
        <v>0</v>
      </c>
      <c r="BQ193" s="17" t="n">
        <v>18</v>
      </c>
      <c r="BR193" s="17" t="n">
        <v>6</v>
      </c>
      <c r="BS193" s="17" t="n">
        <v>0</v>
      </c>
      <c r="BT193" s="18" t="n">
        <v>0</v>
      </c>
      <c r="BU193" s="17" t="inlineStr">
        <is>
          <t>Generic Drug</t>
        </is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0</v>
      </c>
      <c r="K194" s="17" t="n">
        <v>60</v>
      </c>
      <c r="L194" s="17" t="n">
        <v>0</v>
      </c>
      <c r="M194" s="17" t="n">
        <v>0</v>
      </c>
      <c r="N194" s="17" t="n">
        <v>120</v>
      </c>
      <c r="O194" s="17" t="n">
        <v>0</v>
      </c>
      <c r="P194" s="17" t="n">
        <v>0</v>
      </c>
      <c r="Q194" s="18" t="n">
        <v>0</v>
      </c>
      <c r="R194" s="16" t="n">
        <v>3</v>
      </c>
      <c r="S194" s="17" t="n">
        <v>0</v>
      </c>
      <c r="T194" s="17" t="n">
        <v>0</v>
      </c>
      <c r="U194" s="17" t="n">
        <v>0</v>
      </c>
      <c r="V194" s="17" t="n">
        <v>1</v>
      </c>
      <c r="W194" s="17" t="n">
        <v>0</v>
      </c>
      <c r="X194" s="17" t="n">
        <v>0</v>
      </c>
      <c r="Y194" s="17" t="n">
        <v>2</v>
      </c>
      <c r="Z194" s="17" t="n">
        <v>0</v>
      </c>
      <c r="AA194" s="17" t="n">
        <v>0</v>
      </c>
      <c r="AB194" s="18" t="n">
        <v>0</v>
      </c>
      <c r="AC194" s="16" t="n">
        <v>-3</v>
      </c>
      <c r="AD194" s="17" t="n">
        <v>0</v>
      </c>
      <c r="AE194" s="17" t="n">
        <v>0</v>
      </c>
      <c r="AF194" s="17" t="n">
        <v>0</v>
      </c>
      <c r="AG194" s="17" t="n">
        <v>-1</v>
      </c>
      <c r="AH194" s="17" t="n">
        <v>0</v>
      </c>
      <c r="AI194" s="17" t="n">
        <v>0</v>
      </c>
      <c r="AJ194" s="17" t="n">
        <v>-2</v>
      </c>
      <c r="AK194" s="17" t="n">
        <v>0</v>
      </c>
      <c r="AL194" s="17" t="n">
        <v>0</v>
      </c>
      <c r="AM194" s="18" t="n">
        <v>0</v>
      </c>
      <c r="AN194" s="16" t="n">
        <v>66</v>
      </c>
      <c r="AO194" s="17" t="n">
        <v>0</v>
      </c>
      <c r="AP194" s="17" t="n">
        <v>0</v>
      </c>
      <c r="AQ194" s="17" t="n">
        <v>0</v>
      </c>
      <c r="AR194" s="17" t="n">
        <v>20</v>
      </c>
      <c r="AS194" s="17" t="n">
        <v>0</v>
      </c>
      <c r="AT194" s="17" t="n">
        <v>0</v>
      </c>
      <c r="AU194" s="17" t="n">
        <v>40</v>
      </c>
      <c r="AV194" s="17" t="n">
        <v>0</v>
      </c>
      <c r="AW194" s="17" t="n">
        <v>0</v>
      </c>
      <c r="AX194" s="18" t="n">
        <v>0</v>
      </c>
      <c r="AY194" s="16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8" t="n">
        <v>0</v>
      </c>
      <c r="BJ194" s="16" t="n">
        <v>66</v>
      </c>
      <c r="BK194" s="17" t="n">
        <v>0</v>
      </c>
      <c r="BL194" s="17" t="n">
        <v>0</v>
      </c>
      <c r="BM194" s="17" t="n">
        <v>0</v>
      </c>
      <c r="BN194" s="17" t="n">
        <v>20</v>
      </c>
      <c r="BO194" s="17" t="n">
        <v>0</v>
      </c>
      <c r="BP194" s="17" t="n">
        <v>0</v>
      </c>
      <c r="BQ194" s="17" t="n">
        <v>40</v>
      </c>
      <c r="BR194" s="17" t="n">
        <v>0</v>
      </c>
      <c r="BS194" s="17" t="n">
        <v>0</v>
      </c>
      <c r="BT194" s="18" t="n">
        <v>0</v>
      </c>
      <c r="BU194" s="17" t="inlineStr">
        <is>
          <t>Unclassified</t>
        </is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90</v>
      </c>
      <c r="O195" s="17" t="n">
        <v>0</v>
      </c>
      <c r="P195" s="17" t="n">
        <v>0</v>
      </c>
      <c r="Q195" s="18" t="n">
        <v>0</v>
      </c>
      <c r="R195" s="16" t="n">
        <v>0.9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0.9</v>
      </c>
      <c r="Z195" s="17" t="n">
        <v>0</v>
      </c>
      <c r="AA195" s="17" t="n">
        <v>0</v>
      </c>
      <c r="AB195" s="18" t="n">
        <v>0</v>
      </c>
      <c r="AC195" s="16" t="n">
        <v>-0.9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-0.9</v>
      </c>
      <c r="AK195" s="17" t="n">
        <v>0</v>
      </c>
      <c r="AL195" s="17" t="n">
        <v>0</v>
      </c>
      <c r="AM195" s="18" t="n">
        <v>0</v>
      </c>
      <c r="AN195" s="16" t="n">
        <v>34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34</v>
      </c>
      <c r="AV195" s="17" t="n">
        <v>0</v>
      </c>
      <c r="AW195" s="17" t="n">
        <v>0</v>
      </c>
      <c r="AX195" s="18" t="n">
        <v>0</v>
      </c>
      <c r="AY195" s="16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8" t="n">
        <v>0</v>
      </c>
      <c r="BJ195" s="16" t="n">
        <v>34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34</v>
      </c>
      <c r="BR195" s="17" t="n">
        <v>0</v>
      </c>
      <c r="BS195" s="17" t="n">
        <v>0</v>
      </c>
      <c r="BT195" s="18" t="n">
        <v>0</v>
      </c>
      <c r="BU195" s="17" t="inlineStr">
        <is>
          <t>Unclassified</t>
        </is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0</v>
      </c>
      <c r="J196" s="17" t="n">
        <v>250</v>
      </c>
      <c r="K196" s="17" t="n">
        <v>0</v>
      </c>
      <c r="L196" s="17" t="n">
        <v>0</v>
      </c>
      <c r="M196" s="17" t="n">
        <v>0</v>
      </c>
      <c r="N196" s="17" t="n">
        <v>50</v>
      </c>
      <c r="O196" s="17" t="n">
        <v>0</v>
      </c>
      <c r="P196" s="17" t="n">
        <v>0</v>
      </c>
      <c r="Q196" s="18" t="n">
        <v>0</v>
      </c>
      <c r="R196" s="16" t="n">
        <v>6</v>
      </c>
      <c r="S196" s="17" t="n">
        <v>0</v>
      </c>
      <c r="T196" s="17" t="n">
        <v>0</v>
      </c>
      <c r="U196" s="17" t="n">
        <v>5</v>
      </c>
      <c r="V196" s="17" t="n">
        <v>0</v>
      </c>
      <c r="W196" s="17" t="n">
        <v>0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8" t="n">
        <v>0</v>
      </c>
      <c r="AC196" s="16" t="n">
        <v>-6</v>
      </c>
      <c r="AD196" s="17" t="n">
        <v>0</v>
      </c>
      <c r="AE196" s="17" t="n">
        <v>0</v>
      </c>
      <c r="AF196" s="17" t="n">
        <v>-5</v>
      </c>
      <c r="AG196" s="17" t="n">
        <v>0</v>
      </c>
      <c r="AH196" s="17" t="n">
        <v>0</v>
      </c>
      <c r="AI196" s="17" t="n">
        <v>0</v>
      </c>
      <c r="AJ196" s="17" t="n">
        <v>-1</v>
      </c>
      <c r="AK196" s="17" t="n">
        <v>0</v>
      </c>
      <c r="AL196" s="17" t="n">
        <v>0</v>
      </c>
      <c r="AM196" s="18" t="n">
        <v>0</v>
      </c>
      <c r="AN196" s="16" t="n">
        <v>244</v>
      </c>
      <c r="AO196" s="17" t="n">
        <v>0</v>
      </c>
      <c r="AP196" s="17" t="n">
        <v>0</v>
      </c>
      <c r="AQ196" s="17" t="n">
        <v>221</v>
      </c>
      <c r="AR196" s="17" t="n">
        <v>0</v>
      </c>
      <c r="AS196" s="17" t="n">
        <v>0</v>
      </c>
      <c r="AT196" s="17" t="n">
        <v>0</v>
      </c>
      <c r="AU196" s="17" t="n">
        <v>16</v>
      </c>
      <c r="AV196" s="17" t="n">
        <v>0</v>
      </c>
      <c r="AW196" s="17" t="n">
        <v>0</v>
      </c>
      <c r="AX196" s="18" t="n">
        <v>0</v>
      </c>
      <c r="AY196" s="16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8" t="n">
        <v>0</v>
      </c>
      <c r="BJ196" s="16" t="n">
        <v>244</v>
      </c>
      <c r="BK196" s="17" t="n">
        <v>0</v>
      </c>
      <c r="BL196" s="17" t="n">
        <v>0</v>
      </c>
      <c r="BM196" s="17" t="n">
        <v>221</v>
      </c>
      <c r="BN196" s="17" t="n">
        <v>0</v>
      </c>
      <c r="BO196" s="17" t="n">
        <v>0</v>
      </c>
      <c r="BP196" s="17" t="n">
        <v>0</v>
      </c>
      <c r="BQ196" s="17" t="n">
        <v>16</v>
      </c>
      <c r="BR196" s="17" t="n">
        <v>0</v>
      </c>
      <c r="BS196" s="17" t="n">
        <v>0</v>
      </c>
      <c r="BT196" s="18" t="n">
        <v>0</v>
      </c>
      <c r="BU196" s="17" t="inlineStr">
        <is>
          <t>Unclassified</t>
        </is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45</v>
      </c>
      <c r="O197" s="17" t="n">
        <v>0</v>
      </c>
      <c r="P197" s="17" t="n">
        <v>0</v>
      </c>
      <c r="Q197" s="18" t="n">
        <v>0</v>
      </c>
      <c r="R197" s="16" t="n">
        <v>1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8" t="n">
        <v>0</v>
      </c>
      <c r="AC197" s="16" t="n">
        <v>-1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-1</v>
      </c>
      <c r="AK197" s="17" t="n">
        <v>0</v>
      </c>
      <c r="AL197" s="17" t="n">
        <v>0</v>
      </c>
      <c r="AM197" s="18" t="n">
        <v>0</v>
      </c>
      <c r="AN197" s="16" t="n">
        <v>17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17</v>
      </c>
      <c r="AV197" s="17" t="n">
        <v>0</v>
      </c>
      <c r="AW197" s="17" t="n">
        <v>0</v>
      </c>
      <c r="AX197" s="18" t="n">
        <v>0</v>
      </c>
      <c r="AY197" s="16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8" t="n">
        <v>0</v>
      </c>
      <c r="BJ197" s="16" t="n">
        <v>17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17</v>
      </c>
      <c r="BR197" s="17" t="n">
        <v>0</v>
      </c>
      <c r="BS197" s="17" t="n">
        <v>0</v>
      </c>
      <c r="BT197" s="18" t="n">
        <v>0</v>
      </c>
      <c r="BU197" s="17" t="inlineStr">
        <is>
          <t>Unclassified</t>
        </is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0</v>
      </c>
      <c r="J198" s="17" t="n">
        <v>120</v>
      </c>
      <c r="K198" s="17" t="n">
        <v>0</v>
      </c>
      <c r="L198" s="17" t="n">
        <v>0</v>
      </c>
      <c r="M198" s="17" t="n">
        <v>0</v>
      </c>
      <c r="N198" s="17" t="n">
        <v>120</v>
      </c>
      <c r="O198" s="17" t="n">
        <v>0</v>
      </c>
      <c r="P198" s="17" t="n">
        <v>0</v>
      </c>
      <c r="Q198" s="18" t="n">
        <v>0</v>
      </c>
      <c r="R198" s="16" t="n">
        <v>4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7" t="n">
        <v>0</v>
      </c>
      <c r="Y198" s="17" t="n">
        <v>2</v>
      </c>
      <c r="Z198" s="17" t="n">
        <v>0</v>
      </c>
      <c r="AA198" s="17" t="n">
        <v>0</v>
      </c>
      <c r="AB198" s="18" t="n">
        <v>0</v>
      </c>
      <c r="AC198" s="16" t="n">
        <v>-4</v>
      </c>
      <c r="AD198" s="17" t="n">
        <v>0</v>
      </c>
      <c r="AE198" s="17" t="n">
        <v>0</v>
      </c>
      <c r="AF198" s="17" t="n">
        <v>-2</v>
      </c>
      <c r="AG198" s="17" t="n">
        <v>0</v>
      </c>
      <c r="AH198" s="17" t="n">
        <v>0</v>
      </c>
      <c r="AI198" s="17" t="n">
        <v>0</v>
      </c>
      <c r="AJ198" s="17" t="n">
        <v>-2</v>
      </c>
      <c r="AK198" s="17" t="n">
        <v>0</v>
      </c>
      <c r="AL198" s="17" t="n">
        <v>0</v>
      </c>
      <c r="AM198" s="18" t="n">
        <v>0</v>
      </c>
      <c r="AN198" s="16" t="n">
        <v>272</v>
      </c>
      <c r="AO198" s="17" t="n">
        <v>0</v>
      </c>
      <c r="AP198" s="17" t="n">
        <v>0</v>
      </c>
      <c r="AQ198" s="17" t="n">
        <v>237</v>
      </c>
      <c r="AR198" s="17" t="n">
        <v>0</v>
      </c>
      <c r="AS198" s="17" t="n">
        <v>0</v>
      </c>
      <c r="AT198" s="17" t="n">
        <v>0</v>
      </c>
      <c r="AU198" s="17" t="n">
        <v>33</v>
      </c>
      <c r="AV198" s="17" t="n">
        <v>0</v>
      </c>
      <c r="AW198" s="17" t="n">
        <v>0</v>
      </c>
      <c r="AX198" s="18" t="n">
        <v>0</v>
      </c>
      <c r="AY198" s="16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8" t="n">
        <v>0</v>
      </c>
      <c r="BJ198" s="16" t="n">
        <v>272</v>
      </c>
      <c r="BK198" s="17" t="n">
        <v>0</v>
      </c>
      <c r="BL198" s="17" t="n">
        <v>0</v>
      </c>
      <c r="BM198" s="17" t="n">
        <v>237</v>
      </c>
      <c r="BN198" s="17" t="n">
        <v>0</v>
      </c>
      <c r="BO198" s="17" t="n">
        <v>0</v>
      </c>
      <c r="BP198" s="17" t="n">
        <v>0</v>
      </c>
      <c r="BQ198" s="17" t="n">
        <v>33</v>
      </c>
      <c r="BR198" s="17" t="n">
        <v>0</v>
      </c>
      <c r="BS198" s="17" t="n">
        <v>0</v>
      </c>
      <c r="BT198" s="18" t="n">
        <v>0</v>
      </c>
      <c r="BU198" s="17" t="inlineStr">
        <is>
          <t>Unclassified</t>
        </is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8" t="n">
        <v>0</v>
      </c>
      <c r="R199" s="16" t="n">
        <v>0.3</v>
      </c>
      <c r="S199" s="17" t="n">
        <v>0</v>
      </c>
      <c r="T199" s="17" t="n">
        <v>0</v>
      </c>
      <c r="U199" s="17" t="n">
        <v>0.3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8" t="n">
        <v>0</v>
      </c>
      <c r="AC199" s="16" t="n">
        <v>0.7</v>
      </c>
      <c r="AD199" s="17" t="n">
        <v>1</v>
      </c>
      <c r="AE199" s="17" t="n">
        <v>1</v>
      </c>
      <c r="AF199" s="17" t="n">
        <v>0.7</v>
      </c>
      <c r="AG199" s="17" t="n">
        <v>1</v>
      </c>
      <c r="AH199" s="17" t="n">
        <v>1</v>
      </c>
      <c r="AI199" s="17" t="n">
        <v>1</v>
      </c>
      <c r="AJ199" s="17" t="n">
        <v>1</v>
      </c>
      <c r="AK199" s="17" t="n">
        <v>1</v>
      </c>
      <c r="AL199" s="17" t="n">
        <v>1</v>
      </c>
      <c r="AM199" s="18" t="n">
        <v>1</v>
      </c>
      <c r="AN199" s="16" t="n">
        <v>23</v>
      </c>
      <c r="AO199" s="17" t="n">
        <v>0</v>
      </c>
      <c r="AP199" s="17" t="n">
        <v>0</v>
      </c>
      <c r="AQ199" s="17" t="n">
        <v>23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8" t="n">
        <v>0</v>
      </c>
      <c r="AY199" s="16" t="n">
        <v>5</v>
      </c>
      <c r="AZ199" s="17" t="n">
        <v>0</v>
      </c>
      <c r="BA199" s="17" t="n">
        <v>0</v>
      </c>
      <c r="BB199" s="17" t="n">
        <v>5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8" t="n">
        <v>0</v>
      </c>
      <c r="BJ199" s="16" t="n">
        <v>17</v>
      </c>
      <c r="BK199" s="17" t="n">
        <v>0</v>
      </c>
      <c r="BL199" s="17" t="n">
        <v>0</v>
      </c>
      <c r="BM199" s="17" t="n">
        <v>17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8" t="n">
        <v>0</v>
      </c>
      <c r="BU199" s="17" t="inlineStr">
        <is>
          <t>Generic Drug</t>
        </is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0</v>
      </c>
      <c r="J200" s="17" t="n">
        <v>30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7" t="n">
        <v>0</v>
      </c>
      <c r="Q200" s="18" t="n">
        <v>0</v>
      </c>
      <c r="R200" s="16" t="n">
        <v>0.12</v>
      </c>
      <c r="S200" s="17" t="n">
        <v>0</v>
      </c>
      <c r="T200" s="17" t="n">
        <v>0</v>
      </c>
      <c r="U200" s="17" t="n">
        <v>0.03</v>
      </c>
      <c r="V200" s="17" t="n">
        <v>0</v>
      </c>
      <c r="W200" s="17" t="n">
        <v>0</v>
      </c>
      <c r="X200" s="17" t="n">
        <v>0</v>
      </c>
      <c r="Y200" s="17" t="n">
        <v>0.09</v>
      </c>
      <c r="Z200" s="17" t="n">
        <v>0</v>
      </c>
      <c r="AA200" s="17" t="n">
        <v>0</v>
      </c>
      <c r="AB200" s="18" t="n">
        <v>0</v>
      </c>
      <c r="AC200" s="16" t="n">
        <v>-0.12</v>
      </c>
      <c r="AD200" s="17" t="n">
        <v>0</v>
      </c>
      <c r="AE200" s="17" t="n">
        <v>0</v>
      </c>
      <c r="AF200" s="17" t="n">
        <v>-0.03</v>
      </c>
      <c r="AG200" s="17" t="n">
        <v>0</v>
      </c>
      <c r="AH200" s="17" t="n">
        <v>0</v>
      </c>
      <c r="AI200" s="17" t="n">
        <v>0</v>
      </c>
      <c r="AJ200" s="17" t="n">
        <v>-0.09</v>
      </c>
      <c r="AK200" s="17" t="n">
        <v>0</v>
      </c>
      <c r="AL200" s="17" t="n">
        <v>0</v>
      </c>
      <c r="AM200" s="18" t="n">
        <v>0</v>
      </c>
      <c r="AN200" s="16" t="n">
        <v>32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32</v>
      </c>
      <c r="AV200" s="17" t="n">
        <v>0</v>
      </c>
      <c r="AW200" s="17" t="n">
        <v>0</v>
      </c>
      <c r="AX200" s="18" t="n">
        <v>0</v>
      </c>
      <c r="AY200" s="16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8" t="n">
        <v>0</v>
      </c>
      <c r="BJ200" s="16" t="n">
        <v>32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32</v>
      </c>
      <c r="BR200" s="17" t="n">
        <v>0</v>
      </c>
      <c r="BS200" s="17" t="n">
        <v>0</v>
      </c>
      <c r="BT200" s="18" t="n">
        <v>0</v>
      </c>
      <c r="BU200" s="17" t="inlineStr">
        <is>
          <t>Unclassified</t>
        </is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30</v>
      </c>
      <c r="K201" s="17" t="n">
        <v>0</v>
      </c>
      <c r="L201" s="17" t="n">
        <v>0</v>
      </c>
      <c r="M201" s="17" t="n">
        <v>60</v>
      </c>
      <c r="N201" s="17" t="n">
        <v>90</v>
      </c>
      <c r="O201" s="17" t="n">
        <v>0</v>
      </c>
      <c r="P201" s="17" t="n">
        <v>0</v>
      </c>
      <c r="Q201" s="18" t="n">
        <v>0</v>
      </c>
      <c r="R201" s="16" t="n">
        <v>1.8</v>
      </c>
      <c r="S201" s="17" t="n">
        <v>0</v>
      </c>
      <c r="T201" s="17" t="n">
        <v>0</v>
      </c>
      <c r="U201" s="17" t="n">
        <v>0.3</v>
      </c>
      <c r="V201" s="17" t="n">
        <v>0</v>
      </c>
      <c r="W201" s="17" t="n">
        <v>0</v>
      </c>
      <c r="X201" s="17" t="n">
        <v>0.6</v>
      </c>
      <c r="Y201" s="17" t="n">
        <v>0.9</v>
      </c>
      <c r="Z201" s="17" t="n">
        <v>0</v>
      </c>
      <c r="AA201" s="17" t="n">
        <v>0</v>
      </c>
      <c r="AB201" s="18" t="n">
        <v>0</v>
      </c>
      <c r="AC201" s="16" t="n">
        <v>-1.8</v>
      </c>
      <c r="AD201" s="17" t="n">
        <v>0</v>
      </c>
      <c r="AE201" s="17" t="n">
        <v>0</v>
      </c>
      <c r="AF201" s="17" t="n">
        <v>-0.3</v>
      </c>
      <c r="AG201" s="17" t="n">
        <v>0</v>
      </c>
      <c r="AH201" s="17" t="n">
        <v>0</v>
      </c>
      <c r="AI201" s="17" t="n">
        <v>-0.6</v>
      </c>
      <c r="AJ201" s="17" t="n">
        <v>-0.9</v>
      </c>
      <c r="AK201" s="17" t="n">
        <v>0</v>
      </c>
      <c r="AL201" s="17" t="n">
        <v>0</v>
      </c>
      <c r="AM201" s="18" t="n">
        <v>0</v>
      </c>
      <c r="AN201" s="16" t="n">
        <v>18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6</v>
      </c>
      <c r="AU201" s="17" t="n">
        <v>13</v>
      </c>
      <c r="AV201" s="17" t="n">
        <v>0</v>
      </c>
      <c r="AW201" s="17" t="n">
        <v>0</v>
      </c>
      <c r="AX201" s="18" t="n">
        <v>0</v>
      </c>
      <c r="AY201" s="16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8" t="n">
        <v>0</v>
      </c>
      <c r="BJ201" s="16" t="n">
        <v>18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</v>
      </c>
      <c r="BQ201" s="17" t="n">
        <v>13</v>
      </c>
      <c r="BR201" s="17" t="n">
        <v>0</v>
      </c>
      <c r="BS201" s="17" t="n">
        <v>0</v>
      </c>
      <c r="BT201" s="18" t="n">
        <v>0</v>
      </c>
      <c r="BU201" s="17" t="inlineStr">
        <is>
          <t>Unclassified</t>
        </is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0</v>
      </c>
      <c r="J202" s="17" t="n">
        <v>150</v>
      </c>
      <c r="K202" s="17" t="n">
        <v>0</v>
      </c>
      <c r="L202" s="17" t="n">
        <v>0</v>
      </c>
      <c r="M202" s="17" t="n">
        <v>0</v>
      </c>
      <c r="N202" s="17" t="n">
        <v>200</v>
      </c>
      <c r="O202" s="17" t="n">
        <v>0</v>
      </c>
      <c r="P202" s="17" t="n">
        <v>0</v>
      </c>
      <c r="Q202" s="18" t="n">
        <v>0</v>
      </c>
      <c r="R202" s="16" t="n">
        <v>0.7</v>
      </c>
      <c r="S202" s="17" t="n">
        <v>0</v>
      </c>
      <c r="T202" s="17" t="n">
        <v>0</v>
      </c>
      <c r="U202" s="17" t="n">
        <v>0.3</v>
      </c>
      <c r="V202" s="17" t="n">
        <v>0</v>
      </c>
      <c r="W202" s="17" t="n">
        <v>0</v>
      </c>
      <c r="X202" s="17" t="n">
        <v>0</v>
      </c>
      <c r="Y202" s="17" t="n">
        <v>0.4</v>
      </c>
      <c r="Z202" s="17" t="n">
        <v>0</v>
      </c>
      <c r="AA202" s="17" t="n">
        <v>0</v>
      </c>
      <c r="AB202" s="18" t="n">
        <v>0</v>
      </c>
      <c r="AC202" s="16" t="n">
        <v>0.3</v>
      </c>
      <c r="AD202" s="17" t="n">
        <v>1</v>
      </c>
      <c r="AE202" s="17" t="n">
        <v>1</v>
      </c>
      <c r="AF202" s="17" t="n">
        <v>0.7</v>
      </c>
      <c r="AG202" s="17" t="n">
        <v>1</v>
      </c>
      <c r="AH202" s="17" t="n">
        <v>1</v>
      </c>
      <c r="AI202" s="17" t="n">
        <v>1</v>
      </c>
      <c r="AJ202" s="17" t="n">
        <v>0.6</v>
      </c>
      <c r="AK202" s="17" t="n">
        <v>1</v>
      </c>
      <c r="AL202" s="17" t="n">
        <v>1</v>
      </c>
      <c r="AM202" s="18" t="n">
        <v>1</v>
      </c>
      <c r="AN202" s="16" t="n">
        <v>40</v>
      </c>
      <c r="AO202" s="17" t="n">
        <v>0</v>
      </c>
      <c r="AP202" s="17" t="n">
        <v>0</v>
      </c>
      <c r="AQ202" s="17" t="n">
        <v>1</v>
      </c>
      <c r="AR202" s="17" t="n">
        <v>0</v>
      </c>
      <c r="AS202" s="17" t="n">
        <v>0</v>
      </c>
      <c r="AT202" s="17" t="n">
        <v>0</v>
      </c>
      <c r="AU202" s="17" t="n">
        <v>37</v>
      </c>
      <c r="AV202" s="17" t="n">
        <v>0</v>
      </c>
      <c r="AW202" s="17" t="n">
        <v>0</v>
      </c>
      <c r="AX202" s="18" t="n">
        <v>0</v>
      </c>
      <c r="AY202" s="16" t="n">
        <v>17</v>
      </c>
      <c r="AZ202" s="17" t="n">
        <v>0</v>
      </c>
      <c r="BA202" s="17" t="n">
        <v>0</v>
      </c>
      <c r="BB202" s="17" t="n">
        <v>7</v>
      </c>
      <c r="BC202" s="17" t="n">
        <v>0</v>
      </c>
      <c r="BD202" s="17" t="n">
        <v>0</v>
      </c>
      <c r="BE202" s="17" t="n">
        <v>0</v>
      </c>
      <c r="BF202" s="17" t="n">
        <v>10</v>
      </c>
      <c r="BG202" s="17" t="n">
        <v>0</v>
      </c>
      <c r="BH202" s="17" t="n">
        <v>0</v>
      </c>
      <c r="BI202" s="18" t="n">
        <v>0</v>
      </c>
      <c r="BJ202" s="16" t="n">
        <v>23</v>
      </c>
      <c r="BK202" s="17" t="n">
        <v>0</v>
      </c>
      <c r="BL202" s="17" t="n">
        <v>0</v>
      </c>
      <c r="BM202" s="17" t="n">
        <v>-6</v>
      </c>
      <c r="BN202" s="17" t="n">
        <v>0</v>
      </c>
      <c r="BO202" s="17" t="n">
        <v>0</v>
      </c>
      <c r="BP202" s="17" t="n">
        <v>0</v>
      </c>
      <c r="BQ202" s="17" t="n">
        <v>28</v>
      </c>
      <c r="BR202" s="17" t="n">
        <v>0</v>
      </c>
      <c r="BS202" s="17" t="n">
        <v>0</v>
      </c>
      <c r="BT202" s="18" t="n">
        <v>0</v>
      </c>
      <c r="BU202" s="17" t="inlineStr">
        <is>
          <t>Generic Drug</t>
        </is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4</v>
      </c>
      <c r="O203" s="17" t="n">
        <v>0</v>
      </c>
      <c r="P203" s="17" t="n">
        <v>0</v>
      </c>
      <c r="Q203" s="18" t="n">
        <v>0</v>
      </c>
      <c r="R203" s="16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1</v>
      </c>
      <c r="Z203" s="17" t="n">
        <v>0</v>
      </c>
      <c r="AA203" s="17" t="n">
        <v>0</v>
      </c>
      <c r="AB203" s="18" t="n">
        <v>0</v>
      </c>
      <c r="AC203" s="16" t="n">
        <v>1</v>
      </c>
      <c r="AD203" s="17" t="n">
        <v>2</v>
      </c>
      <c r="AE203" s="17" t="n">
        <v>2</v>
      </c>
      <c r="AF203" s="17" t="n">
        <v>2</v>
      </c>
      <c r="AG203" s="17" t="n">
        <v>2</v>
      </c>
      <c r="AH203" s="17" t="n">
        <v>2</v>
      </c>
      <c r="AI203" s="17" t="n">
        <v>2</v>
      </c>
      <c r="AJ203" s="17" t="n">
        <v>1</v>
      </c>
      <c r="AK203" s="17" t="n">
        <v>2</v>
      </c>
      <c r="AL203" s="17" t="n">
        <v>2</v>
      </c>
      <c r="AM203" s="18" t="n">
        <v>2</v>
      </c>
      <c r="AN203" s="16" t="n">
        <v>32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32</v>
      </c>
      <c r="AV203" s="17" t="n">
        <v>0</v>
      </c>
      <c r="AW203" s="17" t="n">
        <v>0</v>
      </c>
      <c r="AX203" s="18" t="n">
        <v>0</v>
      </c>
      <c r="AY203" s="16" t="n">
        <v>15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15</v>
      </c>
      <c r="BG203" s="17" t="n">
        <v>0</v>
      </c>
      <c r="BH203" s="17" t="n">
        <v>0</v>
      </c>
      <c r="BI203" s="18" t="n">
        <v>0</v>
      </c>
      <c r="BJ203" s="16" t="n">
        <v>17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17</v>
      </c>
      <c r="BR203" s="17" t="n">
        <v>0</v>
      </c>
      <c r="BS203" s="17" t="n">
        <v>0</v>
      </c>
      <c r="BT203" s="18" t="n">
        <v>0</v>
      </c>
      <c r="BU203" s="17" t="inlineStr">
        <is>
          <t>Generic Drug</t>
        </is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0</v>
      </c>
      <c r="K204" s="17" t="n">
        <v>90</v>
      </c>
      <c r="L204" s="17" t="n">
        <v>0</v>
      </c>
      <c r="M204" s="17" t="n">
        <v>0</v>
      </c>
      <c r="N204" s="17" t="n">
        <v>103</v>
      </c>
      <c r="O204" s="17" t="n">
        <v>0</v>
      </c>
      <c r="P204" s="17" t="n">
        <v>0</v>
      </c>
      <c r="Q204" s="18" t="n">
        <v>0</v>
      </c>
      <c r="R204" s="16" t="n">
        <v>1.93</v>
      </c>
      <c r="S204" s="17" t="n">
        <v>0</v>
      </c>
      <c r="T204" s="17" t="n">
        <v>0</v>
      </c>
      <c r="U204" s="17" t="n">
        <v>0</v>
      </c>
      <c r="V204" s="17" t="n">
        <v>0.9</v>
      </c>
      <c r="W204" s="17" t="n">
        <v>0</v>
      </c>
      <c r="X204" s="17" t="n">
        <v>0</v>
      </c>
      <c r="Y204" s="17" t="n">
        <v>1.03</v>
      </c>
      <c r="Z204" s="17" t="n">
        <v>0</v>
      </c>
      <c r="AA204" s="17" t="n">
        <v>0</v>
      </c>
      <c r="AB204" s="18" t="n">
        <v>0</v>
      </c>
      <c r="AC204" s="16" t="n">
        <v>-1.93</v>
      </c>
      <c r="AD204" s="17" t="n">
        <v>0</v>
      </c>
      <c r="AE204" s="17" t="n">
        <v>0</v>
      </c>
      <c r="AF204" s="17" t="n">
        <v>0</v>
      </c>
      <c r="AG204" s="17" t="n">
        <v>-0.9</v>
      </c>
      <c r="AH204" s="17" t="n">
        <v>0</v>
      </c>
      <c r="AI204" s="17" t="n">
        <v>0</v>
      </c>
      <c r="AJ204" s="17" t="n">
        <v>-1.03</v>
      </c>
      <c r="AK204" s="17" t="n">
        <v>0</v>
      </c>
      <c r="AL204" s="17" t="n">
        <v>0</v>
      </c>
      <c r="AM204" s="18" t="n">
        <v>0</v>
      </c>
      <c r="AN204" s="16" t="n">
        <v>35</v>
      </c>
      <c r="AO204" s="17" t="n">
        <v>0</v>
      </c>
      <c r="AP204" s="17" t="n">
        <v>0</v>
      </c>
      <c r="AQ204" s="17" t="n">
        <v>0</v>
      </c>
      <c r="AR204" s="17" t="n">
        <v>1</v>
      </c>
      <c r="AS204" s="17" t="n">
        <v>0</v>
      </c>
      <c r="AT204" s="17" t="n">
        <v>0</v>
      </c>
      <c r="AU204" s="17" t="n">
        <v>33</v>
      </c>
      <c r="AV204" s="17" t="n">
        <v>0</v>
      </c>
      <c r="AW204" s="17" t="n">
        <v>0</v>
      </c>
      <c r="AX204" s="18" t="n">
        <v>0</v>
      </c>
      <c r="AY204" s="16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8" t="n">
        <v>0</v>
      </c>
      <c r="BJ204" s="16" t="n">
        <v>35</v>
      </c>
      <c r="BK204" s="17" t="n">
        <v>0</v>
      </c>
      <c r="BL204" s="17" t="n">
        <v>0</v>
      </c>
      <c r="BM204" s="17" t="n">
        <v>0</v>
      </c>
      <c r="BN204" s="17" t="n">
        <v>1</v>
      </c>
      <c r="BO204" s="17" t="n">
        <v>0</v>
      </c>
      <c r="BP204" s="17" t="n">
        <v>0</v>
      </c>
      <c r="BQ204" s="17" t="n">
        <v>33</v>
      </c>
      <c r="BR204" s="17" t="n">
        <v>0</v>
      </c>
      <c r="BS204" s="17" t="n">
        <v>0</v>
      </c>
      <c r="BT204" s="18" t="n">
        <v>0</v>
      </c>
      <c r="BU204" s="17" t="inlineStr">
        <is>
          <t>Unclassified</t>
        </is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0</v>
      </c>
      <c r="Q205" s="18" t="n">
        <v>0</v>
      </c>
      <c r="R205" s="16" t="n">
        <v>1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1</v>
      </c>
      <c r="Z205" s="17" t="n">
        <v>0</v>
      </c>
      <c r="AA205" s="17" t="n">
        <v>0</v>
      </c>
      <c r="AB205" s="18" t="n">
        <v>0</v>
      </c>
      <c r="AC205" s="16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2</v>
      </c>
      <c r="AI205" s="17" t="n">
        <v>2</v>
      </c>
      <c r="AJ205" s="17" t="n">
        <v>1</v>
      </c>
      <c r="AK205" s="17" t="n">
        <v>2</v>
      </c>
      <c r="AL205" s="17" t="n">
        <v>2</v>
      </c>
      <c r="AM205" s="18" t="n">
        <v>2</v>
      </c>
      <c r="AN205" s="16" t="n">
        <v>41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41</v>
      </c>
      <c r="AV205" s="17" t="n">
        <v>0</v>
      </c>
      <c r="AW205" s="17" t="n">
        <v>0</v>
      </c>
      <c r="AX205" s="18" t="n">
        <v>0</v>
      </c>
      <c r="AY205" s="16" t="n">
        <v>23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23</v>
      </c>
      <c r="BG205" s="17" t="n">
        <v>0</v>
      </c>
      <c r="BH205" s="17" t="n">
        <v>0</v>
      </c>
      <c r="BI205" s="18" t="n">
        <v>0</v>
      </c>
      <c r="BJ205" s="16" t="n">
        <v>18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18</v>
      </c>
      <c r="BR205" s="17" t="n">
        <v>0</v>
      </c>
      <c r="BS205" s="17" t="n">
        <v>0</v>
      </c>
      <c r="BT205" s="18" t="n">
        <v>0</v>
      </c>
      <c r="BU205" s="17" t="inlineStr">
        <is>
          <t>Generic Drug</t>
        </is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60</v>
      </c>
      <c r="O206" s="17" t="n">
        <v>0</v>
      </c>
      <c r="P206" s="17" t="n">
        <v>0</v>
      </c>
      <c r="Q206" s="18" t="n">
        <v>0</v>
      </c>
      <c r="R206" s="16" t="n">
        <v>0.6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0.6</v>
      </c>
      <c r="Z206" s="17" t="n">
        <v>0</v>
      </c>
      <c r="AA206" s="17" t="n">
        <v>0</v>
      </c>
      <c r="AB206" s="18" t="n">
        <v>0</v>
      </c>
      <c r="AC206" s="16" t="n">
        <v>2.4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7" t="n">
        <v>2.4</v>
      </c>
      <c r="AK206" s="17" t="n">
        <v>3</v>
      </c>
      <c r="AL206" s="17" t="n">
        <v>3</v>
      </c>
      <c r="AM206" s="18" t="n">
        <v>3</v>
      </c>
      <c r="AN206" s="16" t="n">
        <v>23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23</v>
      </c>
      <c r="AV206" s="17" t="n">
        <v>0</v>
      </c>
      <c r="AW206" s="17" t="n">
        <v>0</v>
      </c>
      <c r="AX206" s="18" t="n">
        <v>0</v>
      </c>
      <c r="AY206" s="16" t="n">
        <v>2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2</v>
      </c>
      <c r="BG206" s="17" t="n">
        <v>0</v>
      </c>
      <c r="BH206" s="17" t="n">
        <v>0</v>
      </c>
      <c r="BI206" s="18" t="n">
        <v>0</v>
      </c>
      <c r="BJ206" s="16" t="n">
        <v>20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20</v>
      </c>
      <c r="BR206" s="17" t="n">
        <v>0</v>
      </c>
      <c r="BS206" s="17" t="n">
        <v>0</v>
      </c>
      <c r="BT206" s="18" t="n">
        <v>0</v>
      </c>
      <c r="BU206" s="17" t="inlineStr">
        <is>
          <t>Generic Drug</t>
        </is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0</v>
      </c>
      <c r="J207" s="17" t="n">
        <v>584</v>
      </c>
      <c r="K207" s="17" t="n">
        <v>30</v>
      </c>
      <c r="L207" s="17" t="n">
        <v>0</v>
      </c>
      <c r="M207" s="17" t="n">
        <v>0</v>
      </c>
      <c r="N207" s="17" t="n">
        <v>90</v>
      </c>
      <c r="O207" s="17" t="n">
        <v>0</v>
      </c>
      <c r="P207" s="17" t="n">
        <v>0</v>
      </c>
      <c r="Q207" s="18" t="n">
        <v>0</v>
      </c>
      <c r="R207" s="16" t="n">
        <v>1.408</v>
      </c>
      <c r="S207" s="17" t="n">
        <v>0</v>
      </c>
      <c r="T207" s="17" t="n">
        <v>0</v>
      </c>
      <c r="U207" s="17" t="n">
        <v>1.168</v>
      </c>
      <c r="V207" s="17" t="n">
        <v>0.06</v>
      </c>
      <c r="W207" s="17" t="n">
        <v>0</v>
      </c>
      <c r="X207" s="17" t="n">
        <v>0</v>
      </c>
      <c r="Y207" s="17" t="n">
        <v>0.18</v>
      </c>
      <c r="Z207" s="17" t="n">
        <v>0</v>
      </c>
      <c r="AA207" s="17" t="n">
        <v>0</v>
      </c>
      <c r="AB207" s="18" t="n">
        <v>0</v>
      </c>
      <c r="AC207" s="16" t="n">
        <v>-1.408</v>
      </c>
      <c r="AD207" s="17" t="n">
        <v>0</v>
      </c>
      <c r="AE207" s="17" t="n">
        <v>0</v>
      </c>
      <c r="AF207" s="17" t="n">
        <v>-1.168</v>
      </c>
      <c r="AG207" s="17" t="n">
        <v>-0.06</v>
      </c>
      <c r="AH207" s="17" t="n">
        <v>0</v>
      </c>
      <c r="AI207" s="17" t="n">
        <v>0</v>
      </c>
      <c r="AJ207" s="17" t="n">
        <v>-0.18</v>
      </c>
      <c r="AK207" s="17" t="n">
        <v>0</v>
      </c>
      <c r="AL207" s="17" t="n">
        <v>0</v>
      </c>
      <c r="AM207" s="18" t="n">
        <v>0</v>
      </c>
      <c r="AN207" s="16" t="n">
        <v>30</v>
      </c>
      <c r="AO207" s="17" t="n">
        <v>0</v>
      </c>
      <c r="AP207" s="17" t="n">
        <v>0</v>
      </c>
      <c r="AQ207" s="17" t="n">
        <v>13</v>
      </c>
      <c r="AR207" s="17" t="n">
        <v>2</v>
      </c>
      <c r="AS207" s="17" t="n">
        <v>0</v>
      </c>
      <c r="AT207" s="17" t="n">
        <v>0</v>
      </c>
      <c r="AU207" s="17" t="n">
        <v>14</v>
      </c>
      <c r="AV207" s="17" t="n">
        <v>0</v>
      </c>
      <c r="AW207" s="17" t="n">
        <v>0</v>
      </c>
      <c r="AX207" s="18" t="n">
        <v>0</v>
      </c>
      <c r="AY207" s="16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8" t="n">
        <v>0</v>
      </c>
      <c r="BJ207" s="16" t="n">
        <v>30</v>
      </c>
      <c r="BK207" s="17" t="n">
        <v>0</v>
      </c>
      <c r="BL207" s="17" t="n">
        <v>0</v>
      </c>
      <c r="BM207" s="17" t="n">
        <v>13</v>
      </c>
      <c r="BN207" s="17" t="n">
        <v>2</v>
      </c>
      <c r="BO207" s="17" t="n">
        <v>0</v>
      </c>
      <c r="BP207" s="17" t="n">
        <v>0</v>
      </c>
      <c r="BQ207" s="17" t="n">
        <v>14</v>
      </c>
      <c r="BR207" s="17" t="n">
        <v>0</v>
      </c>
      <c r="BS207" s="17" t="n">
        <v>0</v>
      </c>
      <c r="BT207" s="18" t="n">
        <v>0</v>
      </c>
      <c r="BU207" s="17" t="inlineStr">
        <is>
          <t>Unclassified</t>
        </is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0</v>
      </c>
      <c r="J208" s="17" t="n">
        <v>135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8" t="n">
        <v>0</v>
      </c>
      <c r="R208" s="16" t="n">
        <v>0</v>
      </c>
      <c r="S208" s="17" t="n">
        <v>0</v>
      </c>
      <c r="T208" s="17" t="n">
        <v>0</v>
      </c>
      <c r="U208" s="17" t="n">
        <v>3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8" t="n">
        <v>0</v>
      </c>
      <c r="AC208" s="16" t="n">
        <v>5</v>
      </c>
      <c r="AD208" s="17" t="n">
        <v>5</v>
      </c>
      <c r="AE208" s="17" t="n">
        <v>5</v>
      </c>
      <c r="AF208" s="17" t="n">
        <v>2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5</v>
      </c>
      <c r="AM208" s="18" t="n">
        <v>5</v>
      </c>
      <c r="AN208" s="16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8" t="n">
        <v>0</v>
      </c>
      <c r="AY208" s="16" t="n">
        <v>0</v>
      </c>
      <c r="AZ208" s="17" t="n">
        <v>0</v>
      </c>
      <c r="BA208" s="17" t="n">
        <v>0</v>
      </c>
      <c r="BB208" s="17" t="n">
        <v>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8" t="n">
        <v>0</v>
      </c>
      <c r="BJ208" s="16" t="n">
        <v>0</v>
      </c>
      <c r="BK208" s="17" t="n">
        <v>0</v>
      </c>
      <c r="BL208" s="17" t="n">
        <v>0</v>
      </c>
      <c r="BM208" s="17" t="n">
        <v>-9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8" t="n">
        <v>0</v>
      </c>
      <c r="BU208" s="17" t="inlineStr">
        <is>
          <t>Health and Beauty Aid</t>
        </is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0</v>
      </c>
      <c r="J209" s="17" t="n">
        <v>240</v>
      </c>
      <c r="K209" s="17" t="n">
        <v>60</v>
      </c>
      <c r="L209" s="17" t="n">
        <v>0</v>
      </c>
      <c r="M209" s="17" t="n">
        <v>30</v>
      </c>
      <c r="N209" s="17" t="n">
        <v>60</v>
      </c>
      <c r="O209" s="17" t="n">
        <v>0</v>
      </c>
      <c r="P209" s="17" t="n">
        <v>0</v>
      </c>
      <c r="Q209" s="18" t="n">
        <v>0</v>
      </c>
      <c r="R209" s="16" t="n">
        <v>13</v>
      </c>
      <c r="S209" s="17" t="n">
        <v>0</v>
      </c>
      <c r="T209" s="17" t="n">
        <v>0</v>
      </c>
      <c r="U209" s="17" t="n">
        <v>8</v>
      </c>
      <c r="V209" s="17" t="n">
        <v>2</v>
      </c>
      <c r="W209" s="17" t="n">
        <v>0</v>
      </c>
      <c r="X209" s="17" t="n">
        <v>1</v>
      </c>
      <c r="Y209" s="17" t="n">
        <v>2</v>
      </c>
      <c r="Z209" s="17" t="n">
        <v>0</v>
      </c>
      <c r="AA209" s="17" t="n">
        <v>0</v>
      </c>
      <c r="AB209" s="18" t="n">
        <v>0</v>
      </c>
      <c r="AC209" s="16" t="n">
        <v>-13</v>
      </c>
      <c r="AD209" s="17" t="n">
        <v>0</v>
      </c>
      <c r="AE209" s="17" t="n">
        <v>0</v>
      </c>
      <c r="AF209" s="17" t="n">
        <v>-8</v>
      </c>
      <c r="AG209" s="17" t="n">
        <v>-2</v>
      </c>
      <c r="AH209" s="17" t="n">
        <v>0</v>
      </c>
      <c r="AI209" s="17" t="n">
        <v>-1</v>
      </c>
      <c r="AJ209" s="17" t="n">
        <v>-2</v>
      </c>
      <c r="AK209" s="17" t="n">
        <v>0</v>
      </c>
      <c r="AL209" s="17" t="n">
        <v>0</v>
      </c>
      <c r="AM209" s="18" t="n">
        <v>0</v>
      </c>
      <c r="AN209" s="16" t="n">
        <v>368</v>
      </c>
      <c r="AO209" s="17" t="n">
        <v>0</v>
      </c>
      <c r="AP209" s="17" t="n">
        <v>0</v>
      </c>
      <c r="AQ209" s="17" t="n">
        <v>180</v>
      </c>
      <c r="AR209" s="17" t="n">
        <v>64</v>
      </c>
      <c r="AS209" s="17" t="n">
        <v>0</v>
      </c>
      <c r="AT209" s="17" t="n">
        <v>19</v>
      </c>
      <c r="AU209" s="17" t="n">
        <v>51</v>
      </c>
      <c r="AV209" s="17" t="n">
        <v>0</v>
      </c>
      <c r="AW209" s="17" t="n">
        <v>0</v>
      </c>
      <c r="AX209" s="18" t="n">
        <v>0</v>
      </c>
      <c r="AY209" s="16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8" t="n">
        <v>0</v>
      </c>
      <c r="BJ209" s="16" t="n">
        <v>368</v>
      </c>
      <c r="BK209" s="17" t="n">
        <v>0</v>
      </c>
      <c r="BL209" s="17" t="n">
        <v>0</v>
      </c>
      <c r="BM209" s="17" t="n">
        <v>180</v>
      </c>
      <c r="BN209" s="17" t="n">
        <v>64</v>
      </c>
      <c r="BO209" s="17" t="n">
        <v>0</v>
      </c>
      <c r="BP209" s="17" t="n">
        <v>19</v>
      </c>
      <c r="BQ209" s="17" t="n">
        <v>51</v>
      </c>
      <c r="BR209" s="17" t="n">
        <v>0</v>
      </c>
      <c r="BS209" s="17" t="n">
        <v>0</v>
      </c>
      <c r="BT209" s="18" t="n">
        <v>0</v>
      </c>
      <c r="BU209" s="17" t="inlineStr">
        <is>
          <t>Unclassified</t>
        </is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0</v>
      </c>
      <c r="J210" s="17" t="n">
        <v>135</v>
      </c>
      <c r="K210" s="17" t="n">
        <v>0</v>
      </c>
      <c r="L210" s="17" t="n">
        <v>0</v>
      </c>
      <c r="M210" s="17" t="n">
        <v>0</v>
      </c>
      <c r="N210" s="17" t="n">
        <v>90</v>
      </c>
      <c r="O210" s="17" t="n">
        <v>0</v>
      </c>
      <c r="P210" s="17" t="n">
        <v>0</v>
      </c>
      <c r="Q210" s="18" t="n">
        <v>0</v>
      </c>
      <c r="R210" s="16" t="n">
        <v>5</v>
      </c>
      <c r="S210" s="17" t="n">
        <v>0</v>
      </c>
      <c r="T210" s="17" t="n">
        <v>0</v>
      </c>
      <c r="U210" s="17" t="n">
        <v>3</v>
      </c>
      <c r="V210" s="17" t="n">
        <v>0</v>
      </c>
      <c r="W210" s="17" t="n">
        <v>0</v>
      </c>
      <c r="X210" s="17" t="n">
        <v>0</v>
      </c>
      <c r="Y210" s="17" t="n">
        <v>2</v>
      </c>
      <c r="Z210" s="17" t="n">
        <v>0</v>
      </c>
      <c r="AA210" s="17" t="n">
        <v>0</v>
      </c>
      <c r="AB210" s="18" t="n">
        <v>0</v>
      </c>
      <c r="AC210" s="16" t="n">
        <v>-5</v>
      </c>
      <c r="AD210" s="17" t="n">
        <v>0</v>
      </c>
      <c r="AE210" s="17" t="n">
        <v>0</v>
      </c>
      <c r="AF210" s="17" t="n">
        <v>-3</v>
      </c>
      <c r="AG210" s="17" t="n">
        <v>0</v>
      </c>
      <c r="AH210" s="17" t="n">
        <v>0</v>
      </c>
      <c r="AI210" s="17" t="n">
        <v>0</v>
      </c>
      <c r="AJ210" s="17" t="n">
        <v>-2</v>
      </c>
      <c r="AK210" s="17" t="n">
        <v>0</v>
      </c>
      <c r="AL210" s="17" t="n">
        <v>0</v>
      </c>
      <c r="AM210" s="18" t="n">
        <v>0</v>
      </c>
      <c r="AN210" s="16" t="n">
        <v>52</v>
      </c>
      <c r="AO210" s="17" t="n">
        <v>0</v>
      </c>
      <c r="AP210" s="17" t="n">
        <v>0</v>
      </c>
      <c r="AQ210" s="17" t="n">
        <v>21</v>
      </c>
      <c r="AR210" s="17" t="n">
        <v>0</v>
      </c>
      <c r="AS210" s="17" t="n">
        <v>0</v>
      </c>
      <c r="AT210" s="17" t="n">
        <v>0</v>
      </c>
      <c r="AU210" s="17" t="n">
        <v>31</v>
      </c>
      <c r="AV210" s="17" t="n">
        <v>0</v>
      </c>
      <c r="AW210" s="17" t="n">
        <v>0</v>
      </c>
      <c r="AX210" s="18" t="n">
        <v>0</v>
      </c>
      <c r="AY210" s="16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8" t="n">
        <v>0</v>
      </c>
      <c r="BJ210" s="16" t="n">
        <v>52</v>
      </c>
      <c r="BK210" s="17" t="n">
        <v>0</v>
      </c>
      <c r="BL210" s="17" t="n">
        <v>0</v>
      </c>
      <c r="BM210" s="17" t="n">
        <v>21</v>
      </c>
      <c r="BN210" s="17" t="n">
        <v>0</v>
      </c>
      <c r="BO210" s="17" t="n">
        <v>0</v>
      </c>
      <c r="BP210" s="17" t="n">
        <v>0</v>
      </c>
      <c r="BQ210" s="17" t="n">
        <v>31</v>
      </c>
      <c r="BR210" s="17" t="n">
        <v>0</v>
      </c>
      <c r="BS210" s="17" t="n">
        <v>0</v>
      </c>
      <c r="BT210" s="18" t="n">
        <v>0</v>
      </c>
      <c r="BU210" s="17" t="inlineStr">
        <is>
          <t>Unclassified</t>
        </is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45</v>
      </c>
      <c r="O211" s="17" t="n">
        <v>0</v>
      </c>
      <c r="P211" s="17" t="n">
        <v>0</v>
      </c>
      <c r="Q211" s="18" t="n">
        <v>0</v>
      </c>
      <c r="R211" s="16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1</v>
      </c>
      <c r="Z211" s="17" t="n">
        <v>0</v>
      </c>
      <c r="AA211" s="17" t="n">
        <v>0</v>
      </c>
      <c r="AB211" s="18" t="n">
        <v>0</v>
      </c>
      <c r="AC211" s="16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-1</v>
      </c>
      <c r="AK211" s="17" t="n">
        <v>0</v>
      </c>
      <c r="AL211" s="17" t="n">
        <v>0</v>
      </c>
      <c r="AM211" s="18" t="n">
        <v>0</v>
      </c>
      <c r="AN211" s="16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12</v>
      </c>
      <c r="AV211" s="17" t="n">
        <v>0</v>
      </c>
      <c r="AW211" s="17" t="n">
        <v>0</v>
      </c>
      <c r="AX211" s="18" t="n">
        <v>0</v>
      </c>
      <c r="AY211" s="16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8" t="n">
        <v>0</v>
      </c>
      <c r="BJ211" s="16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12</v>
      </c>
      <c r="BR211" s="17" t="n">
        <v>0</v>
      </c>
      <c r="BS211" s="17" t="n">
        <v>0</v>
      </c>
      <c r="BT211" s="18" t="n">
        <v>0</v>
      </c>
      <c r="BU211" s="17" t="inlineStr">
        <is>
          <t>Unclassified</t>
        </is>
      </c>
    </row>
    <row r="212" ht="20" customHeight="1">
      <c r="A212" s="15" t="inlineStr">
        <is>
          <t>00472037945</t>
        </is>
      </c>
      <c r="B212" s="15" t="inlineStr">
        <is>
          <t>CLOTRIMAZOLE-BETAMETHASONE 1-0.05 % EXTERNAL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90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90</v>
      </c>
      <c r="N212" s="17" t="n">
        <v>0</v>
      </c>
      <c r="O212" s="17" t="n">
        <v>0</v>
      </c>
      <c r="P212" s="17" t="n">
        <v>0</v>
      </c>
      <c r="Q212" s="18" t="n">
        <v>0</v>
      </c>
      <c r="R212" s="16" t="n">
        <v>2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2</v>
      </c>
      <c r="Y212" s="17" t="n">
        <v>0</v>
      </c>
      <c r="Z212" s="17" t="n">
        <v>0</v>
      </c>
      <c r="AA212" s="17" t="n">
        <v>0</v>
      </c>
      <c r="AB212" s="18" t="n">
        <v>0</v>
      </c>
      <c r="AC212" s="16" t="n">
        <v>-2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-2</v>
      </c>
      <c r="AJ212" s="17" t="n">
        <v>0</v>
      </c>
      <c r="AK212" s="17" t="n">
        <v>0</v>
      </c>
      <c r="AL212" s="17" t="n">
        <v>0</v>
      </c>
      <c r="AM212" s="18" t="n">
        <v>0</v>
      </c>
      <c r="AN212" s="16" t="n">
        <v>25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25</v>
      </c>
      <c r="AU212" s="17" t="n">
        <v>0</v>
      </c>
      <c r="AV212" s="17" t="n">
        <v>0</v>
      </c>
      <c r="AW212" s="17" t="n">
        <v>0</v>
      </c>
      <c r="AX212" s="18" t="n">
        <v>0</v>
      </c>
      <c r="AY212" s="16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8" t="n">
        <v>0</v>
      </c>
      <c r="BJ212" s="16" t="n">
        <v>25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25</v>
      </c>
      <c r="BQ212" s="17" t="n">
        <v>0</v>
      </c>
      <c r="BR212" s="17" t="n">
        <v>0</v>
      </c>
      <c r="BS212" s="17" t="n">
        <v>0</v>
      </c>
      <c r="BT212" s="18" t="n">
        <v>0</v>
      </c>
      <c r="BU212" s="17" t="inlineStr">
        <is>
          <t>Unclassified</t>
        </is>
      </c>
    </row>
    <row r="213" ht="20" customHeight="1">
      <c r="A213" s="15" t="inlineStr">
        <is>
          <t>00168025815</t>
        </is>
      </c>
      <c r="B213" s="15" t="inlineStr">
        <is>
          <t>CLOTRIMAZOLE-BETAMETHASONE 1-0.05 % EXTERNAL CREAM</t>
        </is>
      </c>
      <c r="C213" s="16" t="n">
        <v>15</v>
      </c>
      <c r="D213" s="16" t="n">
        <v>0</v>
      </c>
      <c r="E213" s="16" t="n">
        <v>0</v>
      </c>
      <c r="F213" s="16" t="n">
        <v>0</v>
      </c>
      <c r="G213" s="16" t="n">
        <v>30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30</v>
      </c>
      <c r="O213" s="17" t="n">
        <v>0</v>
      </c>
      <c r="P213" s="17" t="n">
        <v>0</v>
      </c>
      <c r="Q213" s="18" t="n">
        <v>0</v>
      </c>
      <c r="R213" s="16" t="n">
        <v>2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2</v>
      </c>
      <c r="Z213" s="17" t="n">
        <v>0</v>
      </c>
      <c r="AA213" s="17" t="n">
        <v>0</v>
      </c>
      <c r="AB213" s="18" t="n">
        <v>0</v>
      </c>
      <c r="AC213" s="16" t="n">
        <v>-2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-2</v>
      </c>
      <c r="AK213" s="17" t="n">
        <v>0</v>
      </c>
      <c r="AL213" s="17" t="n">
        <v>0</v>
      </c>
      <c r="AM213" s="18" t="n">
        <v>0</v>
      </c>
      <c r="AN213" s="16" t="n">
        <v>17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17</v>
      </c>
      <c r="AV213" s="17" t="n">
        <v>0</v>
      </c>
      <c r="AW213" s="17" t="n">
        <v>0</v>
      </c>
      <c r="AX213" s="18" t="n">
        <v>0</v>
      </c>
      <c r="AY213" s="16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8" t="n">
        <v>0</v>
      </c>
      <c r="BJ213" s="16" t="n">
        <v>17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17</v>
      </c>
      <c r="BR213" s="17" t="n">
        <v>0</v>
      </c>
      <c r="BS213" s="17" t="n">
        <v>0</v>
      </c>
      <c r="BT213" s="18" t="n">
        <v>0</v>
      </c>
      <c r="BU213" s="17" t="inlineStr">
        <is>
          <t>Unclassified</t>
        </is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0</v>
      </c>
      <c r="J214" s="17" t="n">
        <v>315</v>
      </c>
      <c r="K214" s="17" t="n">
        <v>135</v>
      </c>
      <c r="L214" s="17" t="n">
        <v>0</v>
      </c>
      <c r="M214" s="17" t="n">
        <v>0</v>
      </c>
      <c r="N214" s="17" t="n">
        <v>135</v>
      </c>
      <c r="O214" s="17" t="n">
        <v>0</v>
      </c>
      <c r="P214" s="17" t="n">
        <v>0</v>
      </c>
      <c r="Q214" s="18" t="n">
        <v>0</v>
      </c>
      <c r="R214" s="16" t="n">
        <v>13</v>
      </c>
      <c r="S214" s="17" t="n">
        <v>0</v>
      </c>
      <c r="T214" s="17" t="n">
        <v>0</v>
      </c>
      <c r="U214" s="17" t="n">
        <v>7</v>
      </c>
      <c r="V214" s="17" t="n">
        <v>3</v>
      </c>
      <c r="W214" s="17" t="n">
        <v>0</v>
      </c>
      <c r="X214" s="17" t="n">
        <v>0</v>
      </c>
      <c r="Y214" s="17" t="n">
        <v>3</v>
      </c>
      <c r="Z214" s="17" t="n">
        <v>0</v>
      </c>
      <c r="AA214" s="17" t="n">
        <v>0</v>
      </c>
      <c r="AB214" s="18" t="n">
        <v>0</v>
      </c>
      <c r="AC214" s="16" t="n">
        <v>-7</v>
      </c>
      <c r="AD214" s="17" t="n">
        <v>6</v>
      </c>
      <c r="AE214" s="17" t="n">
        <v>6</v>
      </c>
      <c r="AF214" s="17" t="n">
        <v>-1</v>
      </c>
      <c r="AG214" s="17" t="n">
        <v>3</v>
      </c>
      <c r="AH214" s="17" t="n">
        <v>6</v>
      </c>
      <c r="AI214" s="17" t="n">
        <v>6</v>
      </c>
      <c r="AJ214" s="17" t="n">
        <v>3</v>
      </c>
      <c r="AK214" s="17" t="n">
        <v>6</v>
      </c>
      <c r="AL214" s="17" t="n">
        <v>6</v>
      </c>
      <c r="AM214" s="18" t="n">
        <v>6</v>
      </c>
      <c r="AN214" s="16" t="n">
        <v>224</v>
      </c>
      <c r="AO214" s="17" t="n">
        <v>0</v>
      </c>
      <c r="AP214" s="17" t="n">
        <v>0</v>
      </c>
      <c r="AQ214" s="17" t="n">
        <v>98</v>
      </c>
      <c r="AR214" s="17" t="n">
        <v>52</v>
      </c>
      <c r="AS214" s="17" t="n">
        <v>0</v>
      </c>
      <c r="AT214" s="17" t="n">
        <v>0</v>
      </c>
      <c r="AU214" s="17" t="n">
        <v>56</v>
      </c>
      <c r="AV214" s="17" t="n">
        <v>0</v>
      </c>
      <c r="AW214" s="17" t="n">
        <v>0</v>
      </c>
      <c r="AX214" s="18" t="n">
        <v>0</v>
      </c>
      <c r="AY214" s="16" t="n">
        <v>91</v>
      </c>
      <c r="AZ214" s="17" t="n">
        <v>0</v>
      </c>
      <c r="BA214" s="17" t="n">
        <v>0</v>
      </c>
      <c r="BB214" s="17" t="n">
        <v>49</v>
      </c>
      <c r="BC214" s="17" t="n">
        <v>21</v>
      </c>
      <c r="BD214" s="17" t="n">
        <v>0</v>
      </c>
      <c r="BE214" s="17" t="n">
        <v>0</v>
      </c>
      <c r="BF214" s="17" t="n">
        <v>21</v>
      </c>
      <c r="BG214" s="17" t="n">
        <v>0</v>
      </c>
      <c r="BH214" s="17" t="n">
        <v>0</v>
      </c>
      <c r="BI214" s="18" t="n">
        <v>0</v>
      </c>
      <c r="BJ214" s="16" t="n">
        <v>133</v>
      </c>
      <c r="BK214" s="17" t="n">
        <v>0</v>
      </c>
      <c r="BL214" s="17" t="n">
        <v>0</v>
      </c>
      <c r="BM214" s="17" t="n">
        <v>49</v>
      </c>
      <c r="BN214" s="17" t="n">
        <v>31</v>
      </c>
      <c r="BO214" s="17" t="n">
        <v>0</v>
      </c>
      <c r="BP214" s="17" t="n">
        <v>0</v>
      </c>
      <c r="BQ214" s="17" t="n">
        <v>35</v>
      </c>
      <c r="BR214" s="17" t="n">
        <v>0</v>
      </c>
      <c r="BS214" s="17" t="n">
        <v>0</v>
      </c>
      <c r="BT214" s="18" t="n">
        <v>0</v>
      </c>
      <c r="BU214" s="17" t="inlineStr">
        <is>
          <t>Generic Drug</t>
        </is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8" t="n">
        <v>0</v>
      </c>
      <c r="R215" s="16" t="n">
        <v>0.75</v>
      </c>
      <c r="S215" s="17" t="n">
        <v>0</v>
      </c>
      <c r="T215" s="17" t="n">
        <v>0</v>
      </c>
      <c r="U215" s="17" t="n">
        <v>0.75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8" t="n">
        <v>0</v>
      </c>
      <c r="AC215" s="16" t="n">
        <v>0.25</v>
      </c>
      <c r="AD215" s="17" t="n">
        <v>1</v>
      </c>
      <c r="AE215" s="17" t="n">
        <v>1</v>
      </c>
      <c r="AF215" s="17" t="n">
        <v>0.25</v>
      </c>
      <c r="AG215" s="17" t="n">
        <v>1</v>
      </c>
      <c r="AH215" s="17" t="n">
        <v>1</v>
      </c>
      <c r="AI215" s="17" t="n">
        <v>1</v>
      </c>
      <c r="AJ215" s="17" t="n">
        <v>1</v>
      </c>
      <c r="AK215" s="17" t="n">
        <v>1</v>
      </c>
      <c r="AL215" s="17" t="n">
        <v>1</v>
      </c>
      <c r="AM215" s="18" t="n">
        <v>1</v>
      </c>
      <c r="AN215" s="16" t="n">
        <v>50</v>
      </c>
      <c r="AO215" s="17" t="n">
        <v>0</v>
      </c>
      <c r="AP215" s="17" t="n">
        <v>0</v>
      </c>
      <c r="AQ215" s="17" t="n">
        <v>47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8" t="n">
        <v>0</v>
      </c>
      <c r="AY215" s="16" t="n">
        <v>52</v>
      </c>
      <c r="AZ215" s="17" t="n">
        <v>0</v>
      </c>
      <c r="BA215" s="17" t="n">
        <v>0</v>
      </c>
      <c r="BB215" s="17" t="n">
        <v>52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8" t="n">
        <v>0</v>
      </c>
      <c r="BJ215" s="16" t="n">
        <v>-3</v>
      </c>
      <c r="BK215" s="17" t="n">
        <v>0</v>
      </c>
      <c r="BL215" s="17" t="n">
        <v>0</v>
      </c>
      <c r="BM215" s="17" t="n">
        <v>-6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8" t="n">
        <v>0</v>
      </c>
      <c r="BU215" s="17" t="inlineStr">
        <is>
          <t>Generic Drug</t>
        </is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0</v>
      </c>
      <c r="J216" s="17" t="n">
        <v>20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8" t="n">
        <v>0</v>
      </c>
      <c r="R216" s="16" t="n">
        <v>2</v>
      </c>
      <c r="S216" s="17" t="n">
        <v>0</v>
      </c>
      <c r="T216" s="17" t="n">
        <v>0</v>
      </c>
      <c r="U216" s="17" t="n">
        <v>2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8" t="n">
        <v>0</v>
      </c>
      <c r="AC216" s="16" t="n">
        <v>-2</v>
      </c>
      <c r="AD216" s="17" t="n">
        <v>0</v>
      </c>
      <c r="AE216" s="17" t="n">
        <v>0</v>
      </c>
      <c r="AF216" s="17" t="n">
        <v>-2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8" t="n">
        <v>0</v>
      </c>
      <c r="AN216" s="16" t="n">
        <v>769</v>
      </c>
      <c r="AO216" s="17" t="n">
        <v>0</v>
      </c>
      <c r="AP216" s="17" t="n">
        <v>0</v>
      </c>
      <c r="AQ216" s="17" t="n">
        <v>769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8" t="n">
        <v>0</v>
      </c>
      <c r="AY216" s="16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8" t="n">
        <v>0</v>
      </c>
      <c r="BJ216" s="16" t="n">
        <v>769</v>
      </c>
      <c r="BK216" s="17" t="n">
        <v>0</v>
      </c>
      <c r="BL216" s="17" t="n">
        <v>0</v>
      </c>
      <c r="BM216" s="17" t="n">
        <v>769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8" t="n">
        <v>0</v>
      </c>
      <c r="BU216" s="17" t="inlineStr">
        <is>
          <t>Unclassified</t>
        </is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0</v>
      </c>
      <c r="J217" s="17" t="n">
        <v>45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8" t="n">
        <v>0</v>
      </c>
      <c r="R217" s="16" t="n">
        <v>3</v>
      </c>
      <c r="S217" s="17" t="n">
        <v>0</v>
      </c>
      <c r="T217" s="17" t="n">
        <v>0</v>
      </c>
      <c r="U217" s="17" t="n">
        <v>3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8" t="n">
        <v>0</v>
      </c>
      <c r="AC217" s="16" t="n">
        <v>-3</v>
      </c>
      <c r="AD217" s="17" t="n">
        <v>0</v>
      </c>
      <c r="AE217" s="17" t="n">
        <v>0</v>
      </c>
      <c r="AF217" s="17" t="n">
        <v>-3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8" t="n">
        <v>0</v>
      </c>
      <c r="AN217" s="16" t="n">
        <v>1747</v>
      </c>
      <c r="AO217" s="17" t="n">
        <v>0</v>
      </c>
      <c r="AP217" s="17" t="n">
        <v>0</v>
      </c>
      <c r="AQ217" s="17" t="n">
        <v>1746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8" t="n">
        <v>0</v>
      </c>
      <c r="AY217" s="16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8" t="n">
        <v>0</v>
      </c>
      <c r="BJ217" s="16" t="n">
        <v>1747</v>
      </c>
      <c r="BK217" s="17" t="n">
        <v>0</v>
      </c>
      <c r="BL217" s="17" t="n">
        <v>0</v>
      </c>
      <c r="BM217" s="17" t="n">
        <v>1746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8" t="n">
        <v>0</v>
      </c>
      <c r="BU217" s="17" t="inlineStr">
        <is>
          <t>Unclassified</t>
        </is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0</v>
      </c>
      <c r="J218" s="17" t="n">
        <v>4</v>
      </c>
      <c r="K218" s="17" t="n">
        <v>0</v>
      </c>
      <c r="L218" s="17" t="n">
        <v>0</v>
      </c>
      <c r="M218" s="17" t="n">
        <v>1</v>
      </c>
      <c r="N218" s="17" t="n">
        <v>2</v>
      </c>
      <c r="O218" s="17" t="n">
        <v>0</v>
      </c>
      <c r="P218" s="17" t="n">
        <v>0</v>
      </c>
      <c r="Q218" s="18" t="n">
        <v>0</v>
      </c>
      <c r="R218" s="16" t="n">
        <v>7</v>
      </c>
      <c r="S218" s="17" t="n">
        <v>0</v>
      </c>
      <c r="T218" s="17" t="n">
        <v>0</v>
      </c>
      <c r="U218" s="17" t="n">
        <v>4</v>
      </c>
      <c r="V218" s="17" t="n">
        <v>0</v>
      </c>
      <c r="W218" s="17" t="n">
        <v>0</v>
      </c>
      <c r="X218" s="17" t="n">
        <v>1</v>
      </c>
      <c r="Y218" s="17" t="n">
        <v>2</v>
      </c>
      <c r="Z218" s="17" t="n">
        <v>0</v>
      </c>
      <c r="AA218" s="17" t="n">
        <v>0</v>
      </c>
      <c r="AB218" s="18" t="n">
        <v>0</v>
      </c>
      <c r="AC218" s="16" t="n">
        <v>5</v>
      </c>
      <c r="AD218" s="17" t="n">
        <v>12</v>
      </c>
      <c r="AE218" s="17" t="n">
        <v>12</v>
      </c>
      <c r="AF218" s="17" t="n">
        <v>8</v>
      </c>
      <c r="AG218" s="17" t="n">
        <v>12</v>
      </c>
      <c r="AH218" s="17" t="n">
        <v>12</v>
      </c>
      <c r="AI218" s="17" t="n">
        <v>11</v>
      </c>
      <c r="AJ218" s="17" t="n">
        <v>10</v>
      </c>
      <c r="AK218" s="17" t="n">
        <v>12</v>
      </c>
      <c r="AL218" s="17" t="n">
        <v>12</v>
      </c>
      <c r="AM218" s="18" t="n">
        <v>12</v>
      </c>
      <c r="AN218" s="16" t="n">
        <v>100</v>
      </c>
      <c r="AO218" s="17" t="n">
        <v>0</v>
      </c>
      <c r="AP218" s="17" t="n">
        <v>0</v>
      </c>
      <c r="AQ218" s="17" t="n">
        <v>45</v>
      </c>
      <c r="AR218" s="17" t="n">
        <v>0</v>
      </c>
      <c r="AS218" s="17" t="n">
        <v>0</v>
      </c>
      <c r="AT218" s="17" t="n">
        <v>14</v>
      </c>
      <c r="AU218" s="17" t="n">
        <v>30</v>
      </c>
      <c r="AV218" s="17" t="n">
        <v>0</v>
      </c>
      <c r="AW218" s="17" t="n">
        <v>0</v>
      </c>
      <c r="AX218" s="18" t="n">
        <v>0</v>
      </c>
      <c r="AY218" s="16" t="n">
        <v>112</v>
      </c>
      <c r="AZ218" s="17" t="n">
        <v>0</v>
      </c>
      <c r="BA218" s="17" t="n">
        <v>0</v>
      </c>
      <c r="BB218" s="17" t="n">
        <v>64</v>
      </c>
      <c r="BC218" s="17" t="n">
        <v>0</v>
      </c>
      <c r="BD218" s="17" t="n">
        <v>0</v>
      </c>
      <c r="BE218" s="17" t="n">
        <v>16</v>
      </c>
      <c r="BF218" s="17" t="n">
        <v>32</v>
      </c>
      <c r="BG218" s="17" t="n">
        <v>0</v>
      </c>
      <c r="BH218" s="17" t="n">
        <v>0</v>
      </c>
      <c r="BI218" s="18" t="n">
        <v>0</v>
      </c>
      <c r="BJ218" s="16" t="n">
        <v>-12</v>
      </c>
      <c r="BK218" s="17" t="n">
        <v>0</v>
      </c>
      <c r="BL218" s="17" t="n">
        <v>0</v>
      </c>
      <c r="BM218" s="17" t="n">
        <v>-19</v>
      </c>
      <c r="BN218" s="17" t="n">
        <v>0</v>
      </c>
      <c r="BO218" s="17" t="n">
        <v>0</v>
      </c>
      <c r="BP218" s="17" t="n">
        <v>-2</v>
      </c>
      <c r="BQ218" s="17" t="n">
        <v>-2</v>
      </c>
      <c r="BR218" s="17" t="n">
        <v>0</v>
      </c>
      <c r="BS218" s="17" t="n">
        <v>0</v>
      </c>
      <c r="BT218" s="18" t="n">
        <v>0</v>
      </c>
      <c r="BU218" s="17" t="inlineStr">
        <is>
          <t>Home Health Care</t>
        </is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0</v>
      </c>
      <c r="J219" s="17" t="n">
        <v>5300</v>
      </c>
      <c r="K219" s="17" t="n">
        <v>0</v>
      </c>
      <c r="L219" s="17" t="n">
        <v>100</v>
      </c>
      <c r="M219" s="17" t="n">
        <v>600</v>
      </c>
      <c r="N219" s="17" t="n">
        <v>1200</v>
      </c>
      <c r="O219" s="17" t="n">
        <v>300</v>
      </c>
      <c r="P219" s="17" t="n">
        <v>0</v>
      </c>
      <c r="Q219" s="18" t="n">
        <v>0</v>
      </c>
      <c r="R219" s="16" t="n">
        <v>154</v>
      </c>
      <c r="S219" s="17" t="n">
        <v>0</v>
      </c>
      <c r="T219" s="17" t="n">
        <v>0</v>
      </c>
      <c r="U219" s="17" t="n">
        <v>106</v>
      </c>
      <c r="V219" s="17" t="n">
        <v>0</v>
      </c>
      <c r="W219" s="17" t="n">
        <v>2</v>
      </c>
      <c r="X219" s="17" t="n">
        <v>12</v>
      </c>
      <c r="Y219" s="17" t="n">
        <v>24</v>
      </c>
      <c r="Z219" s="17" t="n">
        <v>6</v>
      </c>
      <c r="AA219" s="17" t="n">
        <v>0</v>
      </c>
      <c r="AB219" s="18" t="n">
        <v>0</v>
      </c>
      <c r="AC219" s="16" t="n">
        <v>-154</v>
      </c>
      <c r="AD219" s="17" t="n">
        <v>0</v>
      </c>
      <c r="AE219" s="17" t="n">
        <v>0</v>
      </c>
      <c r="AF219" s="17" t="n">
        <v>-106</v>
      </c>
      <c r="AG219" s="17" t="n">
        <v>0</v>
      </c>
      <c r="AH219" s="17" t="n">
        <v>-2</v>
      </c>
      <c r="AI219" s="17" t="n">
        <v>-12</v>
      </c>
      <c r="AJ219" s="17" t="n">
        <v>-24</v>
      </c>
      <c r="AK219" s="17" t="n">
        <v>-6</v>
      </c>
      <c r="AL219" s="17" t="n">
        <v>0</v>
      </c>
      <c r="AM219" s="18" t="n">
        <v>0</v>
      </c>
      <c r="AN219" s="16" t="n">
        <v>8082</v>
      </c>
      <c r="AO219" s="17" t="n">
        <v>0</v>
      </c>
      <c r="AP219" s="17" t="n">
        <v>0</v>
      </c>
      <c r="AQ219" s="17" t="n">
        <v>5280</v>
      </c>
      <c r="AR219" s="17" t="n">
        <v>0</v>
      </c>
      <c r="AS219" s="17" t="n">
        <v>13</v>
      </c>
      <c r="AT219" s="17" t="n">
        <v>602</v>
      </c>
      <c r="AU219" s="17" t="n">
        <v>1320</v>
      </c>
      <c r="AV219" s="17" t="n">
        <v>327</v>
      </c>
      <c r="AW219" s="17" t="n">
        <v>0</v>
      </c>
      <c r="AX219" s="18" t="n">
        <v>0</v>
      </c>
      <c r="AY219" s="16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8" t="n">
        <v>0</v>
      </c>
      <c r="BJ219" s="16" t="n">
        <v>8082</v>
      </c>
      <c r="BK219" s="17" t="n">
        <v>0</v>
      </c>
      <c r="BL219" s="17" t="n">
        <v>0</v>
      </c>
      <c r="BM219" s="17" t="n">
        <v>5280</v>
      </c>
      <c r="BN219" s="17" t="n">
        <v>0</v>
      </c>
      <c r="BO219" s="17" t="n">
        <v>13</v>
      </c>
      <c r="BP219" s="17" t="n">
        <v>602</v>
      </c>
      <c r="BQ219" s="17" t="n">
        <v>1320</v>
      </c>
      <c r="BR219" s="17" t="n">
        <v>327</v>
      </c>
      <c r="BS219" s="17" t="n">
        <v>0</v>
      </c>
      <c r="BT219" s="18" t="n">
        <v>0</v>
      </c>
      <c r="BU219" s="17" t="inlineStr">
        <is>
          <t>Unclassified</t>
        </is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0</v>
      </c>
      <c r="J220" s="17" t="n">
        <v>90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8" t="n">
        <v>0</v>
      </c>
      <c r="R220" s="16" t="n">
        <v>0.9</v>
      </c>
      <c r="S220" s="17" t="n">
        <v>0</v>
      </c>
      <c r="T220" s="17" t="n">
        <v>0</v>
      </c>
      <c r="U220" s="17" t="n">
        <v>0.9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8" t="n">
        <v>0</v>
      </c>
      <c r="AC220" s="16" t="n">
        <v>2.1</v>
      </c>
      <c r="AD220" s="17" t="n">
        <v>3</v>
      </c>
      <c r="AE220" s="17" t="n">
        <v>3</v>
      </c>
      <c r="AF220" s="17" t="n">
        <v>2.1</v>
      </c>
      <c r="AG220" s="17" t="n">
        <v>3</v>
      </c>
      <c r="AH220" s="17" t="n">
        <v>3</v>
      </c>
      <c r="AI220" s="17" t="n">
        <v>3</v>
      </c>
      <c r="AJ220" s="17" t="n">
        <v>3</v>
      </c>
      <c r="AK220" s="17" t="n">
        <v>3</v>
      </c>
      <c r="AL220" s="17" t="n">
        <v>3</v>
      </c>
      <c r="AM220" s="18" t="n">
        <v>3</v>
      </c>
      <c r="AN220" s="16" t="n">
        <v>747</v>
      </c>
      <c r="AO220" s="17" t="n">
        <v>0</v>
      </c>
      <c r="AP220" s="17" t="n">
        <v>0</v>
      </c>
      <c r="AQ220" s="17" t="n">
        <v>734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8" t="n">
        <v>0</v>
      </c>
      <c r="AY220" s="16" t="n">
        <v>764</v>
      </c>
      <c r="AZ220" s="17" t="n">
        <v>0</v>
      </c>
      <c r="BA220" s="17" t="n">
        <v>0</v>
      </c>
      <c r="BB220" s="17" t="n">
        <v>764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8" t="n">
        <v>0</v>
      </c>
      <c r="BJ220" s="16" t="n">
        <v>-17</v>
      </c>
      <c r="BK220" s="17" t="n">
        <v>0</v>
      </c>
      <c r="BL220" s="17" t="n">
        <v>0</v>
      </c>
      <c r="BM220" s="17" t="n">
        <v>-30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8" t="n">
        <v>0</v>
      </c>
      <c r="BU220" s="17" t="inlineStr">
        <is>
          <t>Branded Drug</t>
        </is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0</v>
      </c>
      <c r="K221" s="17" t="n">
        <v>84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8" t="n">
        <v>0</v>
      </c>
      <c r="R221" s="16" t="n">
        <v>3</v>
      </c>
      <c r="S221" s="17" t="n">
        <v>0</v>
      </c>
      <c r="T221" s="17" t="n">
        <v>0</v>
      </c>
      <c r="U221" s="17" t="n">
        <v>0</v>
      </c>
      <c r="V221" s="17" t="n">
        <v>3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 </c>
      <c r="AD221" s="17" t="n">
        <v>0</v>
      </c>
      <c r="AE221" s="17" t="n">
        <v>0</v>
      </c>
      <c r="AF221" s="17" t="n">
        <v>0</v>
      </c>
      <c r="AG221" s="17" t="n">
        <v>-3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8" t="n">
        <v>0</v>
      </c>
      <c r="AN221" s="16" t="n">
        <v>39</v>
      </c>
      <c r="AO221" s="17" t="n">
        <v>0</v>
      </c>
      <c r="AP221" s="17" t="n">
        <v>0</v>
      </c>
      <c r="AQ221" s="17" t="n">
        <v>0</v>
      </c>
      <c r="AR221" s="17" t="n">
        <v>39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8" t="n">
        <v>0</v>
      </c>
      <c r="AY221" s="16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8" t="n">
        <v>0</v>
      </c>
      <c r="BJ221" s="16" t="n">
        <v>39</v>
      </c>
      <c r="BK221" s="17" t="n">
        <v>0</v>
      </c>
      <c r="BL221" s="17" t="n">
        <v>0</v>
      </c>
      <c r="BM221" s="17" t="n">
        <v>0</v>
      </c>
      <c r="BN221" s="17" t="n">
        <v>39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8" t="n">
        <v>0</v>
      </c>
      <c r="BU221" s="17" t="inlineStr">
        <is>
          <t>Unclassified</t>
        </is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0</v>
      </c>
      <c r="J222" s="17" t="n">
        <v>1</v>
      </c>
      <c r="K222" s="17" t="n">
        <v>0</v>
      </c>
      <c r="L222" s="17" t="n">
        <v>0</v>
      </c>
      <c r="M222" s="17" t="n">
        <v>0</v>
      </c>
      <c r="N222" s="17" t="n">
        <v>6</v>
      </c>
      <c r="O222" s="17" t="n">
        <v>0</v>
      </c>
      <c r="P222" s="17" t="n">
        <v>0</v>
      </c>
      <c r="Q222" s="18" t="n">
        <v>0</v>
      </c>
      <c r="R222" s="16" t="n">
        <v>0.28</v>
      </c>
      <c r="S222" s="17" t="n">
        <v>0</v>
      </c>
      <c r="T222" s="17" t="n">
        <v>0</v>
      </c>
      <c r="U222" s="17" t="n">
        <v>0.04</v>
      </c>
      <c r="V222" s="17" t="n">
        <v>0</v>
      </c>
      <c r="W222" s="17" t="n">
        <v>0</v>
      </c>
      <c r="X222" s="17" t="n">
        <v>0</v>
      </c>
      <c r="Y222" s="17" t="n">
        <v>0.24</v>
      </c>
      <c r="Z222" s="17" t="n">
        <v>0</v>
      </c>
      <c r="AA222" s="17" t="n">
        <v>0</v>
      </c>
      <c r="AB222" s="18" t="n">
        <v>0</v>
      </c>
      <c r="AC222" s="16" t="n">
        <v>-0.28</v>
      </c>
      <c r="AD222" s="17" t="n">
        <v>0</v>
      </c>
      <c r="AE222" s="17" t="n">
        <v>0</v>
      </c>
      <c r="AF222" s="17" t="n">
        <v>-0.04</v>
      </c>
      <c r="AG222" s="17" t="n">
        <v>0</v>
      </c>
      <c r="AH222" s="17" t="n">
        <v>0</v>
      </c>
      <c r="AI222" s="17" t="n">
        <v>0</v>
      </c>
      <c r="AJ222" s="17" t="n">
        <v>-0.24</v>
      </c>
      <c r="AK222" s="17" t="n">
        <v>0</v>
      </c>
      <c r="AL222" s="17" t="n">
        <v>0</v>
      </c>
      <c r="AM222" s="18" t="n">
        <v>0</v>
      </c>
      <c r="AN222" s="16" t="n">
        <v>25</v>
      </c>
      <c r="AO222" s="17" t="n">
        <v>0</v>
      </c>
      <c r="AP222" s="17" t="n">
        <v>0</v>
      </c>
      <c r="AQ222" s="17" t="n">
        <v>1</v>
      </c>
      <c r="AR222" s="17" t="n">
        <v>0</v>
      </c>
      <c r="AS222" s="17" t="n">
        <v>0</v>
      </c>
      <c r="AT222" s="17" t="n">
        <v>0</v>
      </c>
      <c r="AU222" s="17" t="n">
        <v>23</v>
      </c>
      <c r="AV222" s="17" t="n">
        <v>0</v>
      </c>
      <c r="AW222" s="17" t="n">
        <v>0</v>
      </c>
      <c r="AX222" s="18" t="n">
        <v>0</v>
      </c>
      <c r="AY222" s="16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8" t="n">
        <v>0</v>
      </c>
      <c r="BJ222" s="16" t="n">
        <v>25</v>
      </c>
      <c r="BK222" s="17" t="n">
        <v>0</v>
      </c>
      <c r="BL222" s="17" t="n">
        <v>0</v>
      </c>
      <c r="BM222" s="17" t="n">
        <v>1</v>
      </c>
      <c r="BN222" s="17" t="n">
        <v>0</v>
      </c>
      <c r="BO222" s="17" t="n">
        <v>0</v>
      </c>
      <c r="BP222" s="17" t="n">
        <v>0</v>
      </c>
      <c r="BQ222" s="17" t="n">
        <v>23</v>
      </c>
      <c r="BR222" s="17" t="n">
        <v>0</v>
      </c>
      <c r="BS222" s="17" t="n">
        <v>0</v>
      </c>
      <c r="BT222" s="18" t="n">
        <v>0</v>
      </c>
      <c r="BU222" s="17" t="inlineStr">
        <is>
          <t>Unclassified</t>
        </is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0</v>
      </c>
      <c r="J223" s="17" t="n">
        <v>295</v>
      </c>
      <c r="K223" s="17" t="n">
        <v>100</v>
      </c>
      <c r="L223" s="17" t="n">
        <v>0</v>
      </c>
      <c r="M223" s="17" t="n">
        <v>0</v>
      </c>
      <c r="N223" s="17" t="n">
        <v>180</v>
      </c>
      <c r="O223" s="17" t="n">
        <v>60</v>
      </c>
      <c r="P223" s="17" t="n">
        <v>90</v>
      </c>
      <c r="Q223" s="18" t="n">
        <v>0</v>
      </c>
      <c r="R223" s="16" t="n">
        <v>0.725</v>
      </c>
      <c r="S223" s="17" t="n">
        <v>0</v>
      </c>
      <c r="T223" s="17" t="n">
        <v>0</v>
      </c>
      <c r="U223" s="17" t="n">
        <v>0.295</v>
      </c>
      <c r="V223" s="17" t="n">
        <v>0.1</v>
      </c>
      <c r="W223" s="17" t="n">
        <v>0</v>
      </c>
      <c r="X223" s="17" t="n">
        <v>0</v>
      </c>
      <c r="Y223" s="17" t="n">
        <v>0.18</v>
      </c>
      <c r="Z223" s="17" t="n">
        <v>0.06</v>
      </c>
      <c r="AA223" s="17" t="n">
        <v>0.09</v>
      </c>
      <c r="AB223" s="18" t="n">
        <v>0</v>
      </c>
      <c r="AC223" s="16" t="n">
        <v>-0.725</v>
      </c>
      <c r="AD223" s="17" t="n">
        <v>0</v>
      </c>
      <c r="AE223" s="17" t="n">
        <v>0</v>
      </c>
      <c r="AF223" s="17" t="n">
        <v>-0.295</v>
      </c>
      <c r="AG223" s="17" t="n">
        <v>-0.1</v>
      </c>
      <c r="AH223" s="17" t="n">
        <v>0</v>
      </c>
      <c r="AI223" s="17" t="n">
        <v>0</v>
      </c>
      <c r="AJ223" s="17" t="n">
        <v>-0.18</v>
      </c>
      <c r="AK223" s="17" t="n">
        <v>-0.06</v>
      </c>
      <c r="AL223" s="17" t="n">
        <v>-0.09</v>
      </c>
      <c r="AM223" s="18" t="n">
        <v>0</v>
      </c>
      <c r="AN223" s="16" t="n">
        <v>65</v>
      </c>
      <c r="AO223" s="17" t="n">
        <v>0</v>
      </c>
      <c r="AP223" s="17" t="n">
        <v>0</v>
      </c>
      <c r="AQ223" s="17" t="n">
        <v>2</v>
      </c>
      <c r="AR223" s="17" t="n">
        <v>0</v>
      </c>
      <c r="AS223" s="17" t="n">
        <v>0</v>
      </c>
      <c r="AT223" s="17" t="n">
        <v>0</v>
      </c>
      <c r="AU223" s="17" t="n">
        <v>44</v>
      </c>
      <c r="AV223" s="17" t="n">
        <v>13</v>
      </c>
      <c r="AW223" s="17" t="n">
        <v>0</v>
      </c>
      <c r="AX223" s="18" t="n">
        <v>0</v>
      </c>
      <c r="AY223" s="16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8" t="n">
        <v>0</v>
      </c>
      <c r="BJ223" s="16" t="n">
        <v>65</v>
      </c>
      <c r="BK223" s="17" t="n">
        <v>0</v>
      </c>
      <c r="BL223" s="17" t="n">
        <v>0</v>
      </c>
      <c r="BM223" s="17" t="n">
        <v>2</v>
      </c>
      <c r="BN223" s="17" t="n">
        <v>0</v>
      </c>
      <c r="BO223" s="17" t="n">
        <v>0</v>
      </c>
      <c r="BP223" s="17" t="n">
        <v>0</v>
      </c>
      <c r="BQ223" s="17" t="n">
        <v>44</v>
      </c>
      <c r="BR223" s="17" t="n">
        <v>13</v>
      </c>
      <c r="BS223" s="17" t="n">
        <v>0</v>
      </c>
      <c r="BT223" s="18" t="n">
        <v>0</v>
      </c>
      <c r="BU223" s="17" t="inlineStr">
        <is>
          <t>Unclassified</t>
        </is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0</v>
      </c>
      <c r="J224" s="17" t="n">
        <v>247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8" t="n">
        <v>0</v>
      </c>
      <c r="R224" s="16" t="n">
        <v>0.494</v>
      </c>
      <c r="S224" s="17" t="n">
        <v>0</v>
      </c>
      <c r="T224" s="17" t="n">
        <v>0</v>
      </c>
      <c r="U224" s="17" t="n">
        <v>0.494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8" t="n">
        <v>0</v>
      </c>
      <c r="AC224" s="16" t="n">
        <v>-0.494</v>
      </c>
      <c r="AD224" s="17" t="n">
        <v>0</v>
      </c>
      <c r="AE224" s="17" t="n">
        <v>0</v>
      </c>
      <c r="AF224" s="17" t="n">
        <v>-0.494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8" t="n">
        <v>0</v>
      </c>
      <c r="AN224" s="16" t="n">
        <v>5</v>
      </c>
      <c r="AO224" s="17" t="n">
        <v>0</v>
      </c>
      <c r="AP224" s="17" t="n">
        <v>0</v>
      </c>
      <c r="AQ224" s="17" t="n">
        <v>3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8" t="n">
        <v>0</v>
      </c>
      <c r="AY224" s="16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8" t="n">
        <v>0</v>
      </c>
      <c r="BJ224" s="16" t="n">
        <v>5</v>
      </c>
      <c r="BK224" s="17" t="n">
        <v>0</v>
      </c>
      <c r="BL224" s="17" t="n">
        <v>0</v>
      </c>
      <c r="BM224" s="17" t="n">
        <v>3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8" t="n">
        <v>0</v>
      </c>
      <c r="BU224" s="17" t="inlineStr">
        <is>
          <t>Unclassified</t>
        </is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180</v>
      </c>
      <c r="N225" s="17" t="n">
        <v>0</v>
      </c>
      <c r="O225" s="17" t="n">
        <v>0</v>
      </c>
      <c r="P225" s="17" t="n">
        <v>0</v>
      </c>
      <c r="Q225" s="18" t="n">
        <v>0</v>
      </c>
      <c r="R225" s="16" t="n">
        <v>3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3</v>
      </c>
      <c r="Y225" s="17" t="n">
        <v>0</v>
      </c>
      <c r="Z225" s="17" t="n">
        <v>0</v>
      </c>
      <c r="AA225" s="17" t="n">
        <v>0</v>
      </c>
      <c r="AB225" s="18" t="n">
        <v>0</v>
      </c>
      <c r="AC225" s="16" t="n">
        <v>-3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-3</v>
      </c>
      <c r="AJ225" s="17" t="n">
        <v>0</v>
      </c>
      <c r="AK225" s="17" t="n">
        <v>0</v>
      </c>
      <c r="AL225" s="17" t="n">
        <v>0</v>
      </c>
      <c r="AM225" s="18" t="n">
        <v>0</v>
      </c>
      <c r="AN225" s="16" t="n">
        <v>412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411</v>
      </c>
      <c r="AU225" s="17" t="n">
        <v>0</v>
      </c>
      <c r="AV225" s="17" t="n">
        <v>0</v>
      </c>
      <c r="AW225" s="17" t="n">
        <v>0</v>
      </c>
      <c r="AX225" s="18" t="n">
        <v>0</v>
      </c>
      <c r="AY225" s="16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8" t="n">
        <v>0</v>
      </c>
      <c r="BJ225" s="16" t="n">
        <v>412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411</v>
      </c>
      <c r="BQ225" s="17" t="n">
        <v>0</v>
      </c>
      <c r="BR225" s="17" t="n">
        <v>0</v>
      </c>
      <c r="BS225" s="17" t="n">
        <v>0</v>
      </c>
      <c r="BT225" s="18" t="n">
        <v>0</v>
      </c>
      <c r="BU225" s="17" t="inlineStr">
        <is>
          <t>Unclassified</t>
        </is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0</v>
      </c>
      <c r="J226" s="17" t="n">
        <v>180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8" t="n">
        <v>0</v>
      </c>
      <c r="R226" s="16" t="n">
        <v>3</v>
      </c>
      <c r="S226" s="17" t="n">
        <v>0</v>
      </c>
      <c r="T226" s="17" t="n">
        <v>0</v>
      </c>
      <c r="U226" s="17" t="n">
        <v>3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8" t="n">
        <v>0</v>
      </c>
      <c r="AC226" s="16" t="n">
        <v>-3</v>
      </c>
      <c r="AD226" s="17" t="n">
        <v>0</v>
      </c>
      <c r="AE226" s="17" t="n">
        <v>0</v>
      </c>
      <c r="AF226" s="17" t="n">
        <v>-3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8" t="n">
        <v>0</v>
      </c>
      <c r="AN226" s="16" t="n">
        <v>140</v>
      </c>
      <c r="AO226" s="17" t="n">
        <v>0</v>
      </c>
      <c r="AP226" s="17" t="n">
        <v>0</v>
      </c>
      <c r="AQ226" s="17" t="n">
        <v>138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8" t="n">
        <v>0</v>
      </c>
      <c r="AY226" s="16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8" t="n">
        <v>0</v>
      </c>
      <c r="BJ226" s="16" t="n">
        <v>140</v>
      </c>
      <c r="BK226" s="17" t="n">
        <v>0</v>
      </c>
      <c r="BL226" s="17" t="n">
        <v>0</v>
      </c>
      <c r="BM226" s="17" t="n">
        <v>138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8" t="n">
        <v>0</v>
      </c>
      <c r="BU226" s="17" t="inlineStr">
        <is>
          <t>Unclassified</t>
        </is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0</v>
      </c>
      <c r="J227" s="17" t="n">
        <v>480</v>
      </c>
      <c r="K227" s="17" t="n">
        <v>0</v>
      </c>
      <c r="L227" s="17" t="n">
        <v>0</v>
      </c>
      <c r="M227" s="17" t="n">
        <v>90</v>
      </c>
      <c r="N227" s="17" t="n">
        <v>0</v>
      </c>
      <c r="O227" s="17" t="n">
        <v>0</v>
      </c>
      <c r="P227" s="17" t="n">
        <v>0</v>
      </c>
      <c r="Q227" s="18" t="n">
        <v>0</v>
      </c>
      <c r="R227" s="16" t="n">
        <v>19</v>
      </c>
      <c r="S227" s="17" t="n">
        <v>0</v>
      </c>
      <c r="T227" s="17" t="n">
        <v>0</v>
      </c>
      <c r="U227" s="17" t="n">
        <v>16</v>
      </c>
      <c r="V227" s="17" t="n">
        <v>0</v>
      </c>
      <c r="W227" s="17" t="n">
        <v>0</v>
      </c>
      <c r="X227" s="17" t="n">
        <v>3</v>
      </c>
      <c r="Y227" s="17" t="n">
        <v>0</v>
      </c>
      <c r="Z227" s="17" t="n">
        <v>0</v>
      </c>
      <c r="AA227" s="17" t="n">
        <v>0</v>
      </c>
      <c r="AB227" s="18" t="n">
        <v>0</v>
      </c>
      <c r="AC227" s="16" t="n">
        <v>-10</v>
      </c>
      <c r="AD227" s="17" t="n">
        <v>9</v>
      </c>
      <c r="AE227" s="17" t="n">
        <v>9</v>
      </c>
      <c r="AF227" s="17" t="n">
        <v>-7</v>
      </c>
      <c r="AG227" s="17" t="n">
        <v>9</v>
      </c>
      <c r="AH227" s="17" t="n">
        <v>9</v>
      </c>
      <c r="AI227" s="17" t="n">
        <v>6</v>
      </c>
      <c r="AJ227" s="17" t="n">
        <v>9</v>
      </c>
      <c r="AK227" s="17" t="n">
        <v>9</v>
      </c>
      <c r="AL227" s="17" t="n">
        <v>9</v>
      </c>
      <c r="AM227" s="18" t="n">
        <v>9</v>
      </c>
      <c r="AN227" s="16" t="n">
        <v>3453</v>
      </c>
      <c r="AO227" s="17" t="n">
        <v>0</v>
      </c>
      <c r="AP227" s="17" t="n">
        <v>0</v>
      </c>
      <c r="AQ227" s="17" t="n">
        <v>2900</v>
      </c>
      <c r="AR227" s="17" t="n">
        <v>0</v>
      </c>
      <c r="AS227" s="17" t="n">
        <v>0</v>
      </c>
      <c r="AT227" s="17" t="n">
        <v>549</v>
      </c>
      <c r="AU227" s="17" t="n">
        <v>0</v>
      </c>
      <c r="AV227" s="17" t="n">
        <v>0</v>
      </c>
      <c r="AW227" s="17" t="n">
        <v>0</v>
      </c>
      <c r="AX227" s="18" t="n">
        <v>0</v>
      </c>
      <c r="AY227" s="16" t="n">
        <v>8360</v>
      </c>
      <c r="AZ227" s="17" t="n">
        <v>0</v>
      </c>
      <c r="BA227" s="17" t="n">
        <v>0</v>
      </c>
      <c r="BB227" s="17" t="n">
        <v>7040</v>
      </c>
      <c r="BC227" s="17" t="n">
        <v>0</v>
      </c>
      <c r="BD227" s="17" t="n">
        <v>0</v>
      </c>
      <c r="BE227" s="17" t="n">
        <v>1320</v>
      </c>
      <c r="BF227" s="17" t="n">
        <v>0</v>
      </c>
      <c r="BG227" s="17" t="n">
        <v>0</v>
      </c>
      <c r="BH227" s="17" t="n">
        <v>0</v>
      </c>
      <c r="BI227" s="18" t="n">
        <v>0</v>
      </c>
      <c r="BJ227" s="16" t="n">
        <v>-4907</v>
      </c>
      <c r="BK227" s="17" t="n">
        <v>0</v>
      </c>
      <c r="BL227" s="17" t="n">
        <v>0</v>
      </c>
      <c r="BM227" s="17" t="n">
        <v>-4140</v>
      </c>
      <c r="BN227" s="17" t="n">
        <v>0</v>
      </c>
      <c r="BO227" s="17" t="n">
        <v>0</v>
      </c>
      <c r="BP227" s="17" t="n">
        <v>-771</v>
      </c>
      <c r="BQ227" s="17" t="n">
        <v>0</v>
      </c>
      <c r="BR227" s="17" t="n">
        <v>0</v>
      </c>
      <c r="BS227" s="17" t="n">
        <v>0</v>
      </c>
      <c r="BT227" s="18" t="n">
        <v>0</v>
      </c>
      <c r="BU227" s="17" t="inlineStr">
        <is>
          <t>Generic Drug</t>
        </is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0</v>
      </c>
      <c r="J228" s="17" t="n">
        <v>120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8" t="n">
        <v>0</v>
      </c>
      <c r="R228" s="16" t="n">
        <v>4</v>
      </c>
      <c r="S228" s="17" t="n">
        <v>0</v>
      </c>
      <c r="T228" s="17" t="n">
        <v>0</v>
      </c>
      <c r="U228" s="17" t="n">
        <v>4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8" t="n">
        <v>0</v>
      </c>
      <c r="AC228" s="16" t="n">
        <v>-4</v>
      </c>
      <c r="AD228" s="17" t="n">
        <v>0</v>
      </c>
      <c r="AE228" s="17" t="n">
        <v>0</v>
      </c>
      <c r="AF228" s="17" t="n">
        <v>-4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8" t="n">
        <v>0</v>
      </c>
      <c r="AN228" s="16" t="n">
        <v>726</v>
      </c>
      <c r="AO228" s="17" t="n">
        <v>0</v>
      </c>
      <c r="AP228" s="17" t="n">
        <v>0</v>
      </c>
      <c r="AQ228" s="17" t="n">
        <v>726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8" t="n">
        <v>0</v>
      </c>
      <c r="AY228" s="16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8" t="n">
        <v>0</v>
      </c>
      <c r="BJ228" s="16" t="n">
        <v>726</v>
      </c>
      <c r="BK228" s="17" t="n">
        <v>0</v>
      </c>
      <c r="BL228" s="17" t="n">
        <v>0</v>
      </c>
      <c r="BM228" s="17" t="n">
        <v>726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8" t="n">
        <v>0</v>
      </c>
      <c r="BU228" s="17" t="inlineStr">
        <is>
          <t>Unclassified</t>
        </is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0</v>
      </c>
      <c r="J229" s="17" t="n">
        <v>30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8" t="n">
        <v>0</v>
      </c>
      <c r="R229" s="16" t="n">
        <v>1</v>
      </c>
      <c r="S229" s="17" t="n">
        <v>0</v>
      </c>
      <c r="T229" s="17" t="n">
        <v>0</v>
      </c>
      <c r="U229" s="17" t="n">
        <v>1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8" t="n">
        <v>0</v>
      </c>
      <c r="AC229" s="16" t="n">
        <v>0</v>
      </c>
      <c r="AD229" s="17" t="n">
        <v>1</v>
      </c>
      <c r="AE229" s="17" t="n">
        <v>1</v>
      </c>
      <c r="AF229" s="17" t="n">
        <v>0</v>
      </c>
      <c r="AG229" s="17" t="n">
        <v>1</v>
      </c>
      <c r="AH229" s="17" t="n">
        <v>1</v>
      </c>
      <c r="AI229" s="17" t="n">
        <v>1</v>
      </c>
      <c r="AJ229" s="17" t="n">
        <v>1</v>
      </c>
      <c r="AK229" s="17" t="n">
        <v>1</v>
      </c>
      <c r="AL229" s="17" t="n">
        <v>1</v>
      </c>
      <c r="AM229" s="18" t="n">
        <v>1</v>
      </c>
      <c r="AN229" s="16" t="n">
        <v>345</v>
      </c>
      <c r="AO229" s="17" t="n">
        <v>0</v>
      </c>
      <c r="AP229" s="17" t="n">
        <v>0</v>
      </c>
      <c r="AQ229" s="17" t="n">
        <v>345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8" t="n">
        <v>0</v>
      </c>
      <c r="AY229" s="16" t="n">
        <v>353</v>
      </c>
      <c r="AZ229" s="17" t="n">
        <v>0</v>
      </c>
      <c r="BA229" s="17" t="n">
        <v>0</v>
      </c>
      <c r="BB229" s="17" t="n">
        <v>353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8" t="n">
        <v>0</v>
      </c>
      <c r="BJ229" s="16" t="n">
        <v>-8</v>
      </c>
      <c r="BK229" s="17" t="n">
        <v>0</v>
      </c>
      <c r="BL229" s="17" t="n">
        <v>0</v>
      </c>
      <c r="BM229" s="17" t="n">
        <v>-8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8" t="n">
        <v>0</v>
      </c>
      <c r="BU229" s="17" t="inlineStr">
        <is>
          <t>Branded Drug</t>
        </is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60</v>
      </c>
      <c r="O230" s="17" t="n">
        <v>0</v>
      </c>
      <c r="P230" s="17" t="n">
        <v>0</v>
      </c>
      <c r="Q230" s="18" t="n">
        <v>0</v>
      </c>
      <c r="R230" s="16" t="n">
        <v>0.6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0.6</v>
      </c>
      <c r="Z230" s="17" t="n">
        <v>0</v>
      </c>
      <c r="AA230" s="17" t="n">
        <v>0</v>
      </c>
      <c r="AB230" s="18" t="n">
        <v>0</v>
      </c>
      <c r="AC230" s="16" t="n">
        <v>-0.6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-0.6</v>
      </c>
      <c r="AK230" s="17" t="n">
        <v>0</v>
      </c>
      <c r="AL230" s="17" t="n">
        <v>0</v>
      </c>
      <c r="AM230" s="18" t="n">
        <v>0</v>
      </c>
      <c r="AN230" s="16" t="n">
        <v>458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458</v>
      </c>
      <c r="AV230" s="17" t="n">
        <v>0</v>
      </c>
      <c r="AW230" s="17" t="n">
        <v>0</v>
      </c>
      <c r="AX230" s="18" t="n">
        <v>0</v>
      </c>
      <c r="AY230" s="16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8" t="n">
        <v>0</v>
      </c>
      <c r="BJ230" s="16" t="n">
        <v>458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458</v>
      </c>
      <c r="BR230" s="17" t="n">
        <v>0</v>
      </c>
      <c r="BS230" s="17" t="n">
        <v>0</v>
      </c>
      <c r="BT230" s="18" t="n">
        <v>0</v>
      </c>
      <c r="BU230" s="17" t="inlineStr">
        <is>
          <t>Unclassified</t>
        </is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30</v>
      </c>
      <c r="O231" s="17" t="n">
        <v>0</v>
      </c>
      <c r="P231" s="17" t="n">
        <v>0</v>
      </c>
      <c r="Q231" s="18" t="n">
        <v>0</v>
      </c>
      <c r="R231" s="16" t="n">
        <v>0.3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0.3</v>
      </c>
      <c r="Z231" s="17" t="n">
        <v>0</v>
      </c>
      <c r="AA231" s="17" t="n">
        <v>0</v>
      </c>
      <c r="AB231" s="18" t="n">
        <v>0</v>
      </c>
      <c r="AC231" s="16" t="n">
        <v>-0.3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-0.3</v>
      </c>
      <c r="AK231" s="17" t="n">
        <v>0</v>
      </c>
      <c r="AL231" s="17" t="n">
        <v>0</v>
      </c>
      <c r="AM231" s="18" t="n">
        <v>0</v>
      </c>
      <c r="AN231" s="16" t="n">
        <v>121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121</v>
      </c>
      <c r="AV231" s="17" t="n">
        <v>0</v>
      </c>
      <c r="AW231" s="17" t="n">
        <v>0</v>
      </c>
      <c r="AX231" s="18" t="n">
        <v>0</v>
      </c>
      <c r="AY231" s="16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8" t="n">
        <v>0</v>
      </c>
      <c r="BJ231" s="16" t="n">
        <v>121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121</v>
      </c>
      <c r="BR231" s="17" t="n">
        <v>0</v>
      </c>
      <c r="BS231" s="17" t="n">
        <v>0</v>
      </c>
      <c r="BT231" s="18" t="n">
        <v>0</v>
      </c>
      <c r="BU231" s="17" t="inlineStr">
        <is>
          <t>Unclassified</t>
        </is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60</v>
      </c>
      <c r="Q232" s="18" t="n">
        <v>0</v>
      </c>
      <c r="R232" s="16" t="n">
        <v>1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1</v>
      </c>
      <c r="AB232" s="18" t="n">
        <v>0</v>
      </c>
      <c r="AC232" s="16" t="n">
        <v>-1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-1</v>
      </c>
      <c r="AM232" s="18" t="n">
        <v>0</v>
      </c>
      <c r="AN232" s="16" t="n">
        <v>55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49</v>
      </c>
      <c r="AX232" s="18" t="n">
        <v>0</v>
      </c>
      <c r="AY232" s="16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8" t="n">
        <v>0</v>
      </c>
      <c r="BJ232" s="16" t="n">
        <v>55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49</v>
      </c>
      <c r="BT232" s="18" t="n">
        <v>0</v>
      </c>
      <c r="BU232" s="17" t="inlineStr">
        <is>
          <t>Unclassified</t>
        </is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0</v>
      </c>
      <c r="J233" s="17" t="n">
        <v>90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8" t="n">
        <v>0</v>
      </c>
      <c r="R233" s="16" t="n">
        <v>3</v>
      </c>
      <c r="S233" s="17" t="n">
        <v>0</v>
      </c>
      <c r="T233" s="17" t="n">
        <v>0</v>
      </c>
      <c r="U233" s="17" t="n">
        <v>3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8" t="n">
        <v>0</v>
      </c>
      <c r="AC233" s="16" t="n">
        <v>0</v>
      </c>
      <c r="AD233" s="17" t="n">
        <v>3</v>
      </c>
      <c r="AE233" s="17" t="n">
        <v>3</v>
      </c>
      <c r="AF233" s="17" t="n">
        <v>0</v>
      </c>
      <c r="AG233" s="17" t="n">
        <v>3</v>
      </c>
      <c r="AH233" s="17" t="n">
        <v>3</v>
      </c>
      <c r="AI233" s="17" t="n">
        <v>3</v>
      </c>
      <c r="AJ233" s="17" t="n">
        <v>3</v>
      </c>
      <c r="AK233" s="17" t="n">
        <v>3</v>
      </c>
      <c r="AL233" s="17" t="n">
        <v>3</v>
      </c>
      <c r="AM233" s="18" t="n">
        <v>3</v>
      </c>
      <c r="AN233" s="16" t="n">
        <v>22</v>
      </c>
      <c r="AO233" s="17" t="n">
        <v>0</v>
      </c>
      <c r="AP233" s="17" t="n">
        <v>0</v>
      </c>
      <c r="AQ233" s="17" t="n">
        <v>22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8" t="n">
        <v>0</v>
      </c>
      <c r="AY233" s="16" t="n">
        <v>57</v>
      </c>
      <c r="AZ233" s="17" t="n">
        <v>0</v>
      </c>
      <c r="BA233" s="17" t="n">
        <v>0</v>
      </c>
      <c r="BB233" s="17" t="n">
        <v>57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8" t="n">
        <v>0</v>
      </c>
      <c r="BJ233" s="16" t="n">
        <v>-35</v>
      </c>
      <c r="BK233" s="17" t="n">
        <v>0</v>
      </c>
      <c r="BL233" s="17" t="n">
        <v>0</v>
      </c>
      <c r="BM233" s="17" t="n">
        <v>-35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8" t="n">
        <v>0</v>
      </c>
      <c r="BU233" s="17" t="inlineStr">
        <is>
          <t>Generic Drug</t>
        </is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0</v>
      </c>
      <c r="J234" s="17" t="n">
        <v>1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8" t="n">
        <v>0</v>
      </c>
      <c r="R234" s="16" t="n">
        <v>1</v>
      </c>
      <c r="S234" s="17" t="n">
        <v>0</v>
      </c>
      <c r="T234" s="17" t="n">
        <v>0</v>
      </c>
      <c r="U234" s="17" t="n">
        <v>1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8" t="n">
        <v>0</v>
      </c>
      <c r="AC234" s="16" t="n">
        <v>-1</v>
      </c>
      <c r="AD234" s="17" t="n">
        <v>0</v>
      </c>
      <c r="AE234" s="17" t="n">
        <v>0</v>
      </c>
      <c r="AF234" s="17" t="n">
        <v>-1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8" t="n">
        <v>0</v>
      </c>
      <c r="AN234" s="16" t="n">
        <v>295</v>
      </c>
      <c r="AO234" s="17" t="n">
        <v>0</v>
      </c>
      <c r="AP234" s="17" t="n">
        <v>0</v>
      </c>
      <c r="AQ234" s="17" t="n">
        <v>295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8" t="n">
        <v>0</v>
      </c>
      <c r="AY234" s="16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8" t="n">
        <v>0</v>
      </c>
      <c r="BJ234" s="16" t="n">
        <v>295</v>
      </c>
      <c r="BK234" s="17" t="n">
        <v>0</v>
      </c>
      <c r="BL234" s="17" t="n">
        <v>0</v>
      </c>
      <c r="BM234" s="17" t="n">
        <v>295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8" t="n">
        <v>0</v>
      </c>
      <c r="BU234" s="17" t="inlineStr">
        <is>
          <t>Unclassified</t>
        </is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0</v>
      </c>
      <c r="J235" s="17" t="n">
        <v>9</v>
      </c>
      <c r="K235" s="17" t="n">
        <v>3</v>
      </c>
      <c r="L235" s="17" t="n">
        <v>0</v>
      </c>
      <c r="M235" s="17" t="n">
        <v>0</v>
      </c>
      <c r="N235" s="17" t="n">
        <v>6</v>
      </c>
      <c r="O235" s="17" t="n">
        <v>3</v>
      </c>
      <c r="P235" s="17" t="n">
        <v>0</v>
      </c>
      <c r="Q235" s="18" t="n">
        <v>0</v>
      </c>
      <c r="R235" s="16" t="n">
        <v>21</v>
      </c>
      <c r="S235" s="17" t="n">
        <v>0</v>
      </c>
      <c r="T235" s="17" t="n">
        <v>0</v>
      </c>
      <c r="U235" s="17" t="n">
        <v>9</v>
      </c>
      <c r="V235" s="17" t="n">
        <v>3</v>
      </c>
      <c r="W235" s="17" t="n">
        <v>0</v>
      </c>
      <c r="X235" s="17" t="n">
        <v>0</v>
      </c>
      <c r="Y235" s="17" t="n">
        <v>6</v>
      </c>
      <c r="Z235" s="17" t="n">
        <v>3</v>
      </c>
      <c r="AA235" s="17" t="n">
        <v>0</v>
      </c>
      <c r="AB235" s="18" t="n">
        <v>0</v>
      </c>
      <c r="AC235" s="16" t="n">
        <v>3</v>
      </c>
      <c r="AD235" s="17" t="n">
        <v>24</v>
      </c>
      <c r="AE235" s="17" t="n">
        <v>24</v>
      </c>
      <c r="AF235" s="17" t="n">
        <v>15</v>
      </c>
      <c r="AG235" s="17" t="n">
        <v>21</v>
      </c>
      <c r="AH235" s="17" t="n">
        <v>24</v>
      </c>
      <c r="AI235" s="17" t="n">
        <v>24</v>
      </c>
      <c r="AJ235" s="17" t="n">
        <v>18</v>
      </c>
      <c r="AK235" s="17" t="n">
        <v>21</v>
      </c>
      <c r="AL235" s="17" t="n">
        <v>24</v>
      </c>
      <c r="AM235" s="18" t="n">
        <v>24</v>
      </c>
      <c r="AN235" s="16" t="n">
        <v>2669</v>
      </c>
      <c r="AO235" s="17" t="n">
        <v>0</v>
      </c>
      <c r="AP235" s="17" t="n">
        <v>0</v>
      </c>
      <c r="AQ235" s="17" t="n">
        <v>1150</v>
      </c>
      <c r="AR235" s="17" t="n">
        <v>357</v>
      </c>
      <c r="AS235" s="17" t="n">
        <v>0</v>
      </c>
      <c r="AT235" s="17" t="n">
        <v>0</v>
      </c>
      <c r="AU235" s="17" t="n">
        <v>776</v>
      </c>
      <c r="AV235" s="17" t="n">
        <v>356</v>
      </c>
      <c r="AW235" s="17" t="n">
        <v>0</v>
      </c>
      <c r="AX235" s="18" t="n">
        <v>0</v>
      </c>
      <c r="AY235" s="16" t="n">
        <v>2709</v>
      </c>
      <c r="AZ235" s="17" t="n">
        <v>0</v>
      </c>
      <c r="BA235" s="17" t="n">
        <v>0</v>
      </c>
      <c r="BB235" s="17" t="n">
        <v>1161</v>
      </c>
      <c r="BC235" s="17" t="n">
        <v>387</v>
      </c>
      <c r="BD235" s="17" t="n">
        <v>0</v>
      </c>
      <c r="BE235" s="17" t="n">
        <v>0</v>
      </c>
      <c r="BF235" s="17" t="n">
        <v>774</v>
      </c>
      <c r="BG235" s="17" t="n">
        <v>387</v>
      </c>
      <c r="BH235" s="17" t="n">
        <v>0</v>
      </c>
      <c r="BI235" s="18" t="n">
        <v>0</v>
      </c>
      <c r="BJ235" s="16" t="n">
        <v>-40</v>
      </c>
      <c r="BK235" s="17" t="n">
        <v>0</v>
      </c>
      <c r="BL235" s="17" t="n">
        <v>0</v>
      </c>
      <c r="BM235" s="17" t="n">
        <v>-11</v>
      </c>
      <c r="BN235" s="17" t="n">
        <v>-30</v>
      </c>
      <c r="BO235" s="17" t="n">
        <v>0</v>
      </c>
      <c r="BP235" s="17" t="n">
        <v>0</v>
      </c>
      <c r="BQ235" s="17" t="n">
        <v>2</v>
      </c>
      <c r="BR235" s="17" t="n">
        <v>-31</v>
      </c>
      <c r="BS235" s="17" t="n">
        <v>0</v>
      </c>
      <c r="BT235" s="18" t="n">
        <v>0</v>
      </c>
      <c r="BU235" s="17" t="inlineStr">
        <is>
          <t>Home Health Care</t>
        </is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30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8" t="n">
        <v>0</v>
      </c>
      <c r="R236" s="16" t="n">
        <v>1</v>
      </c>
      <c r="S236" s="17" t="n">
        <v>0</v>
      </c>
      <c r="T236" s="17" t="n">
        <v>0</v>
      </c>
      <c r="U236" s="17" t="n">
        <v>1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8" t="n">
        <v>0</v>
      </c>
      <c r="AC236" s="16" t="n">
        <v>-1</v>
      </c>
      <c r="AD236" s="17" t="n">
        <v>0</v>
      </c>
      <c r="AE236" s="17" t="n">
        <v>0</v>
      </c>
      <c r="AF236" s="17" t="n">
        <v>-1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8" t="n">
        <v>0</v>
      </c>
      <c r="AN236" s="16" t="n">
        <v>293</v>
      </c>
      <c r="AO236" s="17" t="n">
        <v>0</v>
      </c>
      <c r="AP236" s="17" t="n">
        <v>0</v>
      </c>
      <c r="AQ236" s="17" t="n">
        <v>288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8" t="n">
        <v>0</v>
      </c>
      <c r="AY236" s="16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8" t="n">
        <v>0</v>
      </c>
      <c r="BJ236" s="16" t="n">
        <v>293</v>
      </c>
      <c r="BK236" s="17" t="n">
        <v>0</v>
      </c>
      <c r="BL236" s="17" t="n">
        <v>0</v>
      </c>
      <c r="BM236" s="17" t="n">
        <v>288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8" t="n">
        <v>0</v>
      </c>
      <c r="BU236" s="17" t="inlineStr">
        <is>
          <t>Unclassified</t>
        </is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0</v>
      </c>
      <c r="K237" s="17" t="n">
        <v>30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8" t="n">
        <v>0</v>
      </c>
      <c r="R237" s="16" t="n">
        <v>0.3</v>
      </c>
      <c r="S237" s="17" t="n">
        <v>0</v>
      </c>
      <c r="T237" s="17" t="n">
        <v>0</v>
      </c>
      <c r="U237" s="17" t="n">
        <v>0</v>
      </c>
      <c r="V237" s="17" t="n">
        <v>0.3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8" t="n">
        <v>0</v>
      </c>
      <c r="AC237" s="16" t="n">
        <v>-0.3</v>
      </c>
      <c r="AD237" s="17" t="n">
        <v>0</v>
      </c>
      <c r="AE237" s="17" t="n">
        <v>0</v>
      </c>
      <c r="AF237" s="17" t="n">
        <v>0</v>
      </c>
      <c r="AG237" s="17" t="n">
        <v>-0.3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8" t="n">
        <v>0</v>
      </c>
      <c r="AN237" s="16" t="n">
        <v>6</v>
      </c>
      <c r="AO237" s="17" t="n">
        <v>0</v>
      </c>
      <c r="AP237" s="17" t="n">
        <v>0</v>
      </c>
      <c r="AQ237" s="17" t="n">
        <v>0</v>
      </c>
      <c r="AR237" s="17" t="n">
        <v>4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8" t="n">
        <v>0</v>
      </c>
      <c r="AY237" s="16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8" t="n">
        <v>0</v>
      </c>
      <c r="BJ237" s="16" t="n">
        <v>6</v>
      </c>
      <c r="BK237" s="17" t="n">
        <v>0</v>
      </c>
      <c r="BL237" s="17" t="n">
        <v>0</v>
      </c>
      <c r="BM237" s="17" t="n">
        <v>0</v>
      </c>
      <c r="BN237" s="17" t="n">
        <v>4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8" t="n">
        <v>0</v>
      </c>
      <c r="BU237" s="17" t="inlineStr">
        <is>
          <t>Unclassified</t>
        </is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0</v>
      </c>
      <c r="J238" s="17" t="n">
        <v>90</v>
      </c>
      <c r="K238" s="17" t="n">
        <v>0</v>
      </c>
      <c r="L238" s="17" t="n">
        <v>0</v>
      </c>
      <c r="M238" s="17" t="n">
        <v>0</v>
      </c>
      <c r="N238" s="17" t="n">
        <v>90</v>
      </c>
      <c r="O238" s="17" t="n">
        <v>60</v>
      </c>
      <c r="P238" s="17" t="n">
        <v>0</v>
      </c>
      <c r="Q238" s="18" t="n">
        <v>0</v>
      </c>
      <c r="R238" s="16" t="n">
        <v>2.4</v>
      </c>
      <c r="S238" s="17" t="n">
        <v>0</v>
      </c>
      <c r="T238" s="17" t="n">
        <v>0</v>
      </c>
      <c r="U238" s="17" t="n">
        <v>0.9</v>
      </c>
      <c r="V238" s="17" t="n">
        <v>0</v>
      </c>
      <c r="W238" s="17" t="n">
        <v>0</v>
      </c>
      <c r="X238" s="17" t="n">
        <v>0</v>
      </c>
      <c r="Y238" s="17" t="n">
        <v>0.9</v>
      </c>
      <c r="Z238" s="17" t="n">
        <v>0.6</v>
      </c>
      <c r="AA238" s="17" t="n">
        <v>0</v>
      </c>
      <c r="AB238" s="18" t="n">
        <v>0</v>
      </c>
      <c r="AC238" s="16" t="n">
        <v>-2.4</v>
      </c>
      <c r="AD238" s="17" t="n">
        <v>0</v>
      </c>
      <c r="AE238" s="17" t="n">
        <v>0</v>
      </c>
      <c r="AF238" s="17" t="n">
        <v>-0.9</v>
      </c>
      <c r="AG238" s="17" t="n">
        <v>0</v>
      </c>
      <c r="AH238" s="17" t="n">
        <v>0</v>
      </c>
      <c r="AI238" s="17" t="n">
        <v>0</v>
      </c>
      <c r="AJ238" s="17" t="n">
        <v>-0.9</v>
      </c>
      <c r="AK238" s="17" t="n">
        <v>-0.6</v>
      </c>
      <c r="AL238" s="17" t="n">
        <v>0</v>
      </c>
      <c r="AM238" s="18" t="n">
        <v>0</v>
      </c>
      <c r="AN238" s="16" t="n">
        <v>45</v>
      </c>
      <c r="AO238" s="17" t="n">
        <v>0</v>
      </c>
      <c r="AP238" s="17" t="n">
        <v>0</v>
      </c>
      <c r="AQ238" s="17" t="n">
        <v>5</v>
      </c>
      <c r="AR238" s="17" t="n">
        <v>0</v>
      </c>
      <c r="AS238" s="17" t="n">
        <v>0</v>
      </c>
      <c r="AT238" s="17" t="n">
        <v>0</v>
      </c>
      <c r="AU238" s="17" t="n">
        <v>26</v>
      </c>
      <c r="AV238" s="17" t="n">
        <v>13</v>
      </c>
      <c r="AW238" s="17" t="n">
        <v>0</v>
      </c>
      <c r="AX238" s="18" t="n">
        <v>0</v>
      </c>
      <c r="AY238" s="16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8" t="n">
        <v>0</v>
      </c>
      <c r="BJ238" s="16" t="n">
        <v>45</v>
      </c>
      <c r="BK238" s="17" t="n">
        <v>0</v>
      </c>
      <c r="BL238" s="17" t="n">
        <v>0</v>
      </c>
      <c r="BM238" s="17" t="n">
        <v>5</v>
      </c>
      <c r="BN238" s="17" t="n">
        <v>0</v>
      </c>
      <c r="BO238" s="17" t="n">
        <v>0</v>
      </c>
      <c r="BP238" s="17" t="n">
        <v>0</v>
      </c>
      <c r="BQ238" s="17" t="n">
        <v>26</v>
      </c>
      <c r="BR238" s="17" t="n">
        <v>13</v>
      </c>
      <c r="BS238" s="17" t="n">
        <v>0</v>
      </c>
      <c r="BT238" s="18" t="n">
        <v>0</v>
      </c>
      <c r="BU238" s="17" t="inlineStr">
        <is>
          <t>Unclassified</t>
        </is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0</v>
      </c>
      <c r="J239" s="17" t="n">
        <v>30</v>
      </c>
      <c r="K239" s="17" t="n">
        <v>60</v>
      </c>
      <c r="L239" s="17" t="n">
        <v>0</v>
      </c>
      <c r="M239" s="17" t="n">
        <v>0</v>
      </c>
      <c r="N239" s="17" t="n">
        <v>120</v>
      </c>
      <c r="O239" s="17" t="n">
        <v>0</v>
      </c>
      <c r="P239" s="17" t="n">
        <v>0</v>
      </c>
      <c r="Q239" s="18" t="n">
        <v>0</v>
      </c>
      <c r="R239" s="16" t="n">
        <v>0.42</v>
      </c>
      <c r="S239" s="17" t="n">
        <v>0</v>
      </c>
      <c r="T239" s="17" t="n">
        <v>0</v>
      </c>
      <c r="U239" s="17" t="n">
        <v>0.06</v>
      </c>
      <c r="V239" s="17" t="n">
        <v>0.12</v>
      </c>
      <c r="W239" s="17" t="n">
        <v>0</v>
      </c>
      <c r="X239" s="17" t="n">
        <v>0</v>
      </c>
      <c r="Y239" s="17" t="n">
        <v>0.24</v>
      </c>
      <c r="Z239" s="17" t="n">
        <v>0</v>
      </c>
      <c r="AA239" s="17" t="n">
        <v>0</v>
      </c>
      <c r="AB239" s="18" t="n">
        <v>0</v>
      </c>
      <c r="AC239" s="16" t="n">
        <v>-0.42</v>
      </c>
      <c r="AD239" s="17" t="n">
        <v>0</v>
      </c>
      <c r="AE239" s="17" t="n">
        <v>0</v>
      </c>
      <c r="AF239" s="17" t="n">
        <v>-0.06</v>
      </c>
      <c r="AG239" s="17" t="n">
        <v>-0.12</v>
      </c>
      <c r="AH239" s="17" t="n">
        <v>0</v>
      </c>
      <c r="AI239" s="17" t="n">
        <v>0</v>
      </c>
      <c r="AJ239" s="17" t="n">
        <v>-0.24</v>
      </c>
      <c r="AK239" s="17" t="n">
        <v>0</v>
      </c>
      <c r="AL239" s="17" t="n">
        <v>0</v>
      </c>
      <c r="AM239" s="18" t="n">
        <v>0</v>
      </c>
      <c r="AN239" s="16" t="n">
        <v>48</v>
      </c>
      <c r="AO239" s="17" t="n">
        <v>0</v>
      </c>
      <c r="AP239" s="17" t="n">
        <v>0</v>
      </c>
      <c r="AQ239" s="17" t="n">
        <v>2</v>
      </c>
      <c r="AR239" s="17" t="n">
        <v>4</v>
      </c>
      <c r="AS239" s="17" t="n">
        <v>0</v>
      </c>
      <c r="AT239" s="17" t="n">
        <v>0</v>
      </c>
      <c r="AU239" s="17" t="n">
        <v>38</v>
      </c>
      <c r="AV239" s="17" t="n">
        <v>0</v>
      </c>
      <c r="AW239" s="17" t="n">
        <v>0</v>
      </c>
      <c r="AX239" s="18" t="n">
        <v>0</v>
      </c>
      <c r="AY239" s="16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8" t="n">
        <v>0</v>
      </c>
      <c r="BJ239" s="16" t="n">
        <v>48</v>
      </c>
      <c r="BK239" s="17" t="n">
        <v>0</v>
      </c>
      <c r="BL239" s="17" t="n">
        <v>0</v>
      </c>
      <c r="BM239" s="17" t="n">
        <v>2</v>
      </c>
      <c r="BN239" s="17" t="n">
        <v>4</v>
      </c>
      <c r="BO239" s="17" t="n">
        <v>0</v>
      </c>
      <c r="BP239" s="17" t="n">
        <v>0</v>
      </c>
      <c r="BQ239" s="17" t="n">
        <v>38</v>
      </c>
      <c r="BR239" s="17" t="n">
        <v>0</v>
      </c>
      <c r="BS239" s="17" t="n">
        <v>0</v>
      </c>
      <c r="BT239" s="18" t="n">
        <v>0</v>
      </c>
      <c r="BU239" s="17" t="inlineStr">
        <is>
          <t>Unclassified</t>
        </is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0</v>
      </c>
      <c r="J240" s="17" t="n">
        <v>300</v>
      </c>
      <c r="K240" s="17" t="n">
        <v>100</v>
      </c>
      <c r="L240" s="17" t="n">
        <v>0</v>
      </c>
      <c r="M240" s="17" t="n">
        <v>0</v>
      </c>
      <c r="N240" s="17" t="n">
        <v>8600</v>
      </c>
      <c r="O240" s="17" t="n">
        <v>0</v>
      </c>
      <c r="P240" s="17" t="n">
        <v>0</v>
      </c>
      <c r="Q240" s="18" t="n">
        <v>0</v>
      </c>
      <c r="R240" s="16" t="n">
        <v>0</v>
      </c>
      <c r="S240" s="17" t="n">
        <v>0</v>
      </c>
      <c r="T240" s="17" t="n">
        <v>0</v>
      </c>
      <c r="U240" s="17" t="n">
        <v>3</v>
      </c>
      <c r="V240" s="17" t="n">
        <v>1</v>
      </c>
      <c r="W240" s="17" t="n">
        <v>0</v>
      </c>
      <c r="X240" s="17" t="n">
        <v>0</v>
      </c>
      <c r="Y240" s="17" t="n">
        <v>86</v>
      </c>
      <c r="Z240" s="17" t="n">
        <v>0</v>
      </c>
      <c r="AA240" s="17" t="n">
        <v>0</v>
      </c>
      <c r="AB240" s="18" t="n">
        <v>0</v>
      </c>
      <c r="AC240" s="16" t="n">
        <v>48</v>
      </c>
      <c r="AD240" s="17" t="n">
        <v>48</v>
      </c>
      <c r="AE240" s="17" t="n">
        <v>48</v>
      </c>
      <c r="AF240" s="17" t="n">
        <v>45</v>
      </c>
      <c r="AG240" s="17" t="n">
        <v>47</v>
      </c>
      <c r="AH240" s="17" t="n">
        <v>48</v>
      </c>
      <c r="AI240" s="17" t="n">
        <v>48</v>
      </c>
      <c r="AJ240" s="17" t="n">
        <v>-38</v>
      </c>
      <c r="AK240" s="17" t="n">
        <v>48</v>
      </c>
      <c r="AL240" s="17" t="n">
        <v>48</v>
      </c>
      <c r="AM240" s="18" t="n">
        <v>48</v>
      </c>
      <c r="AN240" s="16" t="n">
        <v>0</v>
      </c>
      <c r="AO240" s="17" t="n">
        <v>0</v>
      </c>
      <c r="AP240" s="17" t="n">
        <v>0</v>
      </c>
      <c r="AQ240" s="17" t="n">
        <v>14</v>
      </c>
      <c r="AR240" s="17" t="n">
        <v>0</v>
      </c>
      <c r="AS240" s="17" t="n">
        <v>0</v>
      </c>
      <c r="AT240" s="17" t="n">
        <v>0</v>
      </c>
      <c r="AU240" s="17" t="n">
        <v>928</v>
      </c>
      <c r="AV240" s="17" t="n">
        <v>0</v>
      </c>
      <c r="AW240" s="17" t="n">
        <v>0</v>
      </c>
      <c r="AX240" s="18" t="n">
        <v>0</v>
      </c>
      <c r="AY240" s="16" t="n">
        <v>0</v>
      </c>
      <c r="AZ240" s="17" t="n">
        <v>0</v>
      </c>
      <c r="BA240" s="17" t="n">
        <v>0</v>
      </c>
      <c r="BB240" s="17" t="n">
        <v>27</v>
      </c>
      <c r="BC240" s="17" t="n">
        <v>9</v>
      </c>
      <c r="BD240" s="17" t="n">
        <v>0</v>
      </c>
      <c r="BE240" s="17" t="n">
        <v>0</v>
      </c>
      <c r="BF240" s="17" t="n">
        <v>774</v>
      </c>
      <c r="BG240" s="17" t="n">
        <v>0</v>
      </c>
      <c r="BH240" s="17" t="n">
        <v>0</v>
      </c>
      <c r="BI240" s="18" t="n">
        <v>0</v>
      </c>
      <c r="BJ240" s="16" t="n">
        <v>0</v>
      </c>
      <c r="BK240" s="17" t="n">
        <v>0</v>
      </c>
      <c r="BL240" s="17" t="n">
        <v>0</v>
      </c>
      <c r="BM240" s="17" t="n">
        <v>-13</v>
      </c>
      <c r="BN240" s="17" t="n">
        <v>-9</v>
      </c>
      <c r="BO240" s="17" t="n">
        <v>0</v>
      </c>
      <c r="BP240" s="17" t="n">
        <v>0</v>
      </c>
      <c r="BQ240" s="17" t="n">
        <v>154</v>
      </c>
      <c r="BR240" s="17" t="n">
        <v>0</v>
      </c>
      <c r="BS240" s="17" t="n">
        <v>0</v>
      </c>
      <c r="BT240" s="18" t="n">
        <v>0</v>
      </c>
      <c r="BU240" s="17" t="inlineStr">
        <is>
          <t>OTC Drug</t>
        </is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30</v>
      </c>
      <c r="N241" s="17" t="n">
        <v>0</v>
      </c>
      <c r="O241" s="17" t="n">
        <v>0</v>
      </c>
      <c r="P241" s="17" t="n">
        <v>0</v>
      </c>
      <c r="Q241" s="18" t="n">
        <v>0</v>
      </c>
      <c r="R241" s="16" t="n">
        <v>0.3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0.3</v>
      </c>
      <c r="Y241" s="17" t="n">
        <v>0</v>
      </c>
      <c r="Z241" s="17" t="n">
        <v>0</v>
      </c>
      <c r="AA241" s="17" t="n">
        <v>0</v>
      </c>
      <c r="AB241" s="18" t="n">
        <v>0</v>
      </c>
      <c r="AC241" s="16" t="n">
        <v>-0.3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-0.3</v>
      </c>
      <c r="AJ241" s="17" t="n">
        <v>0</v>
      </c>
      <c r="AK241" s="17" t="n">
        <v>0</v>
      </c>
      <c r="AL241" s="17" t="n">
        <v>0</v>
      </c>
      <c r="AM241" s="18" t="n">
        <v>0</v>
      </c>
      <c r="AN241" s="16" t="n">
        <v>29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29</v>
      </c>
      <c r="AU241" s="17" t="n">
        <v>0</v>
      </c>
      <c r="AV241" s="17" t="n">
        <v>0</v>
      </c>
      <c r="AW241" s="17" t="n">
        <v>0</v>
      </c>
      <c r="AX241" s="18" t="n">
        <v>0</v>
      </c>
      <c r="AY241" s="16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8" t="n">
        <v>0</v>
      </c>
      <c r="BJ241" s="16" t="n">
        <v>29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</v>
      </c>
      <c r="BQ241" s="17" t="n">
        <v>0</v>
      </c>
      <c r="BR241" s="17" t="n">
        <v>0</v>
      </c>
      <c r="BS241" s="17" t="n">
        <v>0</v>
      </c>
      <c r="BT241" s="18" t="n">
        <v>0</v>
      </c>
      <c r="BU241" s="17" t="inlineStr">
        <is>
          <t>Unclassified</t>
        </is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200</v>
      </c>
      <c r="N242" s="17" t="n">
        <v>0</v>
      </c>
      <c r="O242" s="17" t="n">
        <v>0</v>
      </c>
      <c r="P242" s="17" t="n">
        <v>0</v>
      </c>
      <c r="Q242" s="18" t="n">
        <v>0</v>
      </c>
      <c r="R242" s="16" t="n">
        <v>2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2</v>
      </c>
      <c r="Y242" s="17" t="n">
        <v>0</v>
      </c>
      <c r="Z242" s="17" t="n">
        <v>0</v>
      </c>
      <c r="AA242" s="17" t="n">
        <v>0</v>
      </c>
      <c r="AB242" s="18" t="n">
        <v>0</v>
      </c>
      <c r="AC242" s="16" t="n">
        <v>-1</v>
      </c>
      <c r="AD242" s="17" t="n">
        <v>1</v>
      </c>
      <c r="AE242" s="17" t="n">
        <v>1</v>
      </c>
      <c r="AF242" s="17" t="n">
        <v>1</v>
      </c>
      <c r="AG242" s="17" t="n">
        <v>1</v>
      </c>
      <c r="AH242" s="17" t="n">
        <v>1</v>
      </c>
      <c r="AI242" s="17" t="n">
        <v>-1</v>
      </c>
      <c r="AJ242" s="17" t="n">
        <v>1</v>
      </c>
      <c r="AK242" s="17" t="n">
        <v>1</v>
      </c>
      <c r="AL242" s="17" t="n">
        <v>1</v>
      </c>
      <c r="AM242" s="18" t="n">
        <v>1</v>
      </c>
      <c r="AN242" s="16" t="n">
        <v>84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84</v>
      </c>
      <c r="AU242" s="17" t="n">
        <v>0</v>
      </c>
      <c r="AV242" s="17" t="n">
        <v>0</v>
      </c>
      <c r="AW242" s="17" t="n">
        <v>0</v>
      </c>
      <c r="AX242" s="18" t="n">
        <v>0</v>
      </c>
      <c r="AY242" s="16" t="n">
        <v>52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52</v>
      </c>
      <c r="BF242" s="17" t="n">
        <v>0</v>
      </c>
      <c r="BG242" s="17" t="n">
        <v>0</v>
      </c>
      <c r="BH242" s="17" t="n">
        <v>0</v>
      </c>
      <c r="BI242" s="18" t="n">
        <v>0</v>
      </c>
      <c r="BJ242" s="16" t="n">
        <v>32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</v>
      </c>
      <c r="BQ242" s="17" t="n">
        <v>0</v>
      </c>
      <c r="BR242" s="17" t="n">
        <v>0</v>
      </c>
      <c r="BS242" s="17" t="n">
        <v>0</v>
      </c>
      <c r="BT242" s="18" t="n">
        <v>0</v>
      </c>
      <c r="BU242" s="17" t="inlineStr">
        <is>
          <t>Generic Drug</t>
        </is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0</v>
      </c>
      <c r="J243" s="17" t="n">
        <v>30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8" t="n">
        <v>0</v>
      </c>
      <c r="R243" s="16" t="n">
        <v>0.03</v>
      </c>
      <c r="S243" s="17" t="n">
        <v>0</v>
      </c>
      <c r="T243" s="17" t="n">
        <v>0</v>
      </c>
      <c r="U243" s="17" t="n">
        <v>0.03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8" t="n">
        <v>0</v>
      </c>
      <c r="AC243" s="16" t="n">
        <v>-0.03</v>
      </c>
      <c r="AD243" s="17" t="n">
        <v>0</v>
      </c>
      <c r="AE243" s="17" t="n">
        <v>0</v>
      </c>
      <c r="AF243" s="17" t="n">
        <v>-0.03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8" t="n">
        <v>0</v>
      </c>
      <c r="AN243" s="16" t="n">
        <v>2</v>
      </c>
      <c r="AO243" s="17" t="n">
        <v>0</v>
      </c>
      <c r="AP243" s="17" t="n">
        <v>0</v>
      </c>
      <c r="AQ243" s="17" t="n">
        <v>1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8" t="n">
        <v>0</v>
      </c>
      <c r="AY243" s="16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8" t="n">
        <v>0</v>
      </c>
      <c r="BJ243" s="16" t="n">
        <v>2</v>
      </c>
      <c r="BK243" s="17" t="n">
        <v>0</v>
      </c>
      <c r="BL243" s="17" t="n">
        <v>0</v>
      </c>
      <c r="BM243" s="17" t="n">
        <v>1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8" t="n">
        <v>0</v>
      </c>
      <c r="BU243" s="17" t="inlineStr">
        <is>
          <t>Unclassified</t>
        </is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30</v>
      </c>
      <c r="O244" s="17" t="n">
        <v>0</v>
      </c>
      <c r="P244" s="17" t="n">
        <v>0</v>
      </c>
      <c r="Q244" s="18" t="n">
        <v>0</v>
      </c>
      <c r="R244" s="16" t="n">
        <v>0.3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8" t="n">
        <v>0</v>
      </c>
      <c r="AC244" s="16" t="n">
        <v>-0.3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-0.3</v>
      </c>
      <c r="AK244" s="17" t="n">
        <v>0</v>
      </c>
      <c r="AL244" s="17" t="n">
        <v>0</v>
      </c>
      <c r="AM244" s="18" t="n">
        <v>0</v>
      </c>
      <c r="AN244" s="16" t="n">
        <v>14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14</v>
      </c>
      <c r="AV244" s="17" t="n">
        <v>0</v>
      </c>
      <c r="AW244" s="17" t="n">
        <v>0</v>
      </c>
      <c r="AX244" s="18" t="n">
        <v>0</v>
      </c>
      <c r="AY244" s="16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8" t="n">
        <v>0</v>
      </c>
      <c r="BJ244" s="16" t="n">
        <v>14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14</v>
      </c>
      <c r="BR244" s="17" t="n">
        <v>0</v>
      </c>
      <c r="BS244" s="17" t="n">
        <v>0</v>
      </c>
      <c r="BT244" s="18" t="n">
        <v>0</v>
      </c>
      <c r="BU244" s="17" t="inlineStr">
        <is>
          <t>Unclassified</t>
        </is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0</v>
      </c>
      <c r="J245" s="17" t="n">
        <v>30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8" t="n">
        <v>0</v>
      </c>
      <c r="R245" s="16" t="n">
        <v>0.333</v>
      </c>
      <c r="S245" s="17" t="n">
        <v>0</v>
      </c>
      <c r="T245" s="17" t="n">
        <v>0</v>
      </c>
      <c r="U245" s="17" t="n">
        <v>0.333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8" t="n">
        <v>0</v>
      </c>
      <c r="AC245" s="16" t="n">
        <v>-0.333</v>
      </c>
      <c r="AD245" s="17" t="n">
        <v>0</v>
      </c>
      <c r="AE245" s="17" t="n">
        <v>0</v>
      </c>
      <c r="AF245" s="17" t="n">
        <v>-0.333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8" t="n">
        <v>0</v>
      </c>
      <c r="AN245" s="16" t="n">
        <v>8</v>
      </c>
      <c r="AO245" s="17" t="n">
        <v>0</v>
      </c>
      <c r="AP245" s="17" t="n">
        <v>0</v>
      </c>
      <c r="AQ245" s="17" t="n">
        <v>8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8" t="n">
        <v>0</v>
      </c>
      <c r="AY245" s="16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8" t="n">
        <v>0</v>
      </c>
      <c r="BJ245" s="16" t="n">
        <v>8</v>
      </c>
      <c r="BK245" s="17" t="n">
        <v>0</v>
      </c>
      <c r="BL245" s="17" t="n">
        <v>0</v>
      </c>
      <c r="BM245" s="17" t="n">
        <v>8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8" t="n">
        <v>0</v>
      </c>
      <c r="BU245" s="17" t="inlineStr">
        <is>
          <t>Unclassified</t>
        </is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119</v>
      </c>
      <c r="O246" s="17" t="n">
        <v>0</v>
      </c>
      <c r="P246" s="17" t="n">
        <v>0</v>
      </c>
      <c r="Q246" s="18" t="n">
        <v>0</v>
      </c>
      <c r="R246" s="16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1</v>
      </c>
      <c r="Z246" s="17" t="n">
        <v>0</v>
      </c>
      <c r="AA246" s="17" t="n">
        <v>0</v>
      </c>
      <c r="AB246" s="18" t="n">
        <v>0</v>
      </c>
      <c r="AC246" s="16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-1</v>
      </c>
      <c r="AK246" s="17" t="n">
        <v>0</v>
      </c>
      <c r="AL246" s="17" t="n">
        <v>0</v>
      </c>
      <c r="AM246" s="18" t="n">
        <v>0</v>
      </c>
      <c r="AN246" s="16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34</v>
      </c>
      <c r="AV246" s="17" t="n">
        <v>0</v>
      </c>
      <c r="AW246" s="17" t="n">
        <v>0</v>
      </c>
      <c r="AX246" s="18" t="n">
        <v>0</v>
      </c>
      <c r="AY246" s="16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8" t="n">
        <v>0</v>
      </c>
      <c r="BJ246" s="16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34</v>
      </c>
      <c r="BR246" s="17" t="n">
        <v>0</v>
      </c>
      <c r="BS246" s="17" t="n">
        <v>0</v>
      </c>
      <c r="BT246" s="18" t="n">
        <v>0</v>
      </c>
      <c r="BU246" s="17" t="inlineStr">
        <is>
          <t>Unclassified</t>
        </is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0</v>
      </c>
      <c r="K247" s="17" t="n">
        <v>60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8" t="n">
        <v>0</v>
      </c>
      <c r="R247" s="16" t="n">
        <v>0.12</v>
      </c>
      <c r="S247" s="17" t="n">
        <v>0</v>
      </c>
      <c r="T247" s="17" t="n">
        <v>0</v>
      </c>
      <c r="U247" s="17" t="n">
        <v>0</v>
      </c>
      <c r="V247" s="17" t="n">
        <v>0.12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8" t="n">
        <v>0</v>
      </c>
      <c r="AC247" s="16" t="n">
        <v>-0.12</v>
      </c>
      <c r="AD247" s="17" t="n">
        <v>0</v>
      </c>
      <c r="AE247" s="17" t="n">
        <v>0</v>
      </c>
      <c r="AF247" s="17" t="n">
        <v>0</v>
      </c>
      <c r="AG247" s="17" t="n">
        <v>-0.12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8" t="n">
        <v>0</v>
      </c>
      <c r="AN247" s="16" t="n">
        <v>14</v>
      </c>
      <c r="AO247" s="17" t="n">
        <v>0</v>
      </c>
      <c r="AP247" s="17" t="n">
        <v>0</v>
      </c>
      <c r="AQ247" s="17" t="n">
        <v>0</v>
      </c>
      <c r="AR247" s="17" t="n">
        <v>12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8" t="n">
        <v>0</v>
      </c>
      <c r="AY247" s="16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8" t="n">
        <v>0</v>
      </c>
      <c r="BJ247" s="16" t="n">
        <v>14</v>
      </c>
      <c r="BK247" s="17" t="n">
        <v>0</v>
      </c>
      <c r="BL247" s="17" t="n">
        <v>0</v>
      </c>
      <c r="BM247" s="17" t="n">
        <v>0</v>
      </c>
      <c r="BN247" s="17" t="n">
        <v>12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8" t="n">
        <v>0</v>
      </c>
      <c r="BU247" s="17" t="inlineStr">
        <is>
          <t>Unclassified</t>
        </is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30</v>
      </c>
      <c r="O248" s="17" t="n">
        <v>0</v>
      </c>
      <c r="P248" s="17" t="n">
        <v>0</v>
      </c>
      <c r="Q248" s="18" t="n">
        <v>0</v>
      </c>
      <c r="R248" s="16" t="n">
        <v>0.3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0.3</v>
      </c>
      <c r="Z248" s="17" t="n">
        <v>0</v>
      </c>
      <c r="AA248" s="17" t="n">
        <v>0</v>
      </c>
      <c r="AB248" s="18" t="n">
        <v>0</v>
      </c>
      <c r="AC248" s="16" t="n">
        <v>-0.3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-0.3</v>
      </c>
      <c r="AK248" s="17" t="n">
        <v>0</v>
      </c>
      <c r="AL248" s="17" t="n">
        <v>0</v>
      </c>
      <c r="AM248" s="18" t="n">
        <v>0</v>
      </c>
      <c r="AN248" s="16" t="n">
        <v>12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12</v>
      </c>
      <c r="AV248" s="17" t="n">
        <v>0</v>
      </c>
      <c r="AW248" s="17" t="n">
        <v>0</v>
      </c>
      <c r="AX248" s="18" t="n">
        <v>0</v>
      </c>
      <c r="AY248" s="16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8" t="n">
        <v>0</v>
      </c>
      <c r="BJ248" s="16" t="n">
        <v>12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12</v>
      </c>
      <c r="BR248" s="17" t="n">
        <v>0</v>
      </c>
      <c r="BS248" s="17" t="n">
        <v>0</v>
      </c>
      <c r="BT248" s="18" t="n">
        <v>0</v>
      </c>
      <c r="BU248" s="17" t="inlineStr">
        <is>
          <t>Unclassified</t>
        </is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2</v>
      </c>
      <c r="O249" s="17" t="n">
        <v>0</v>
      </c>
      <c r="P249" s="17" t="n">
        <v>0</v>
      </c>
      <c r="Q249" s="18" t="n">
        <v>0</v>
      </c>
      <c r="R249" s="16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1</v>
      </c>
      <c r="Z249" s="17" t="n">
        <v>0</v>
      </c>
      <c r="AA249" s="17" t="n">
        <v>0</v>
      </c>
      <c r="AB249" s="18" t="n">
        <v>0</v>
      </c>
      <c r="AC249" s="16" t="n">
        <v>1</v>
      </c>
      <c r="AD249" s="17" t="n">
        <v>1</v>
      </c>
      <c r="AE249" s="17" t="n">
        <v>1</v>
      </c>
      <c r="AF249" s="17" t="n">
        <v>1</v>
      </c>
      <c r="AG249" s="17" t="n">
        <v>1</v>
      </c>
      <c r="AH249" s="17" t="n">
        <v>1</v>
      </c>
      <c r="AI249" s="17" t="n">
        <v>1</v>
      </c>
      <c r="AJ249" s="17" t="n">
        <v>0</v>
      </c>
      <c r="AK249" s="17" t="n">
        <v>1</v>
      </c>
      <c r="AL249" s="17" t="n">
        <v>1</v>
      </c>
      <c r="AM249" s="18" t="n">
        <v>1</v>
      </c>
      <c r="AN249" s="16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23</v>
      </c>
      <c r="AV249" s="17" t="n">
        <v>0</v>
      </c>
      <c r="AW249" s="17" t="n">
        <v>0</v>
      </c>
      <c r="AX249" s="18" t="n">
        <v>0</v>
      </c>
      <c r="AY249" s="16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15</v>
      </c>
      <c r="BG249" s="17" t="n">
        <v>0</v>
      </c>
      <c r="BH249" s="17" t="n">
        <v>0</v>
      </c>
      <c r="BI249" s="18" t="n">
        <v>0</v>
      </c>
      <c r="BJ249" s="16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8</v>
      </c>
      <c r="BR249" s="17" t="n">
        <v>0</v>
      </c>
      <c r="BS249" s="17" t="n">
        <v>0</v>
      </c>
      <c r="BT249" s="18" t="n">
        <v>0</v>
      </c>
      <c r="BU249" s="17" t="inlineStr">
        <is>
          <t>OTC Drug</t>
        </is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0</v>
      </c>
      <c r="J250" s="17" t="n">
        <v>60</v>
      </c>
      <c r="K250" s="17" t="n">
        <v>0</v>
      </c>
      <c r="L250" s="17" t="n">
        <v>0</v>
      </c>
      <c r="M250" s="17" t="n">
        <v>0</v>
      </c>
      <c r="N250" s="17" t="n">
        <v>1704</v>
      </c>
      <c r="O250" s="17" t="n">
        <v>0</v>
      </c>
      <c r="P250" s="17" t="n">
        <v>0</v>
      </c>
      <c r="Q250" s="18" t="n">
        <v>0</v>
      </c>
      <c r="R250" s="16" t="n">
        <v>0</v>
      </c>
      <c r="S250" s="17" t="n">
        <v>0</v>
      </c>
      <c r="T250" s="17" t="n">
        <v>0</v>
      </c>
      <c r="U250" s="17" t="n">
        <v>0.06</v>
      </c>
      <c r="V250" s="17" t="n">
        <v>0</v>
      </c>
      <c r="W250" s="17" t="n">
        <v>0</v>
      </c>
      <c r="X250" s="17" t="n">
        <v>0</v>
      </c>
      <c r="Y250" s="17" t="n">
        <v>1.704</v>
      </c>
      <c r="Z250" s="17" t="n">
        <v>0</v>
      </c>
      <c r="AA250" s="17" t="n">
        <v>0</v>
      </c>
      <c r="AB250" s="18" t="n">
        <v>0</v>
      </c>
      <c r="AC250" s="16" t="n">
        <v>0</v>
      </c>
      <c r="AD250" s="17" t="n">
        <v>0</v>
      </c>
      <c r="AE250" s="17" t="n">
        <v>0</v>
      </c>
      <c r="AF250" s="17" t="n">
        <v>-0.06</v>
      </c>
      <c r="AG250" s="17" t="n">
        <v>0</v>
      </c>
      <c r="AH250" s="17" t="n">
        <v>0</v>
      </c>
      <c r="AI250" s="17" t="n">
        <v>0</v>
      </c>
      <c r="AJ250" s="17" t="n">
        <v>-1.704</v>
      </c>
      <c r="AK250" s="17" t="n">
        <v>0</v>
      </c>
      <c r="AL250" s="17" t="n">
        <v>0</v>
      </c>
      <c r="AM250" s="18" t="n">
        <v>0</v>
      </c>
      <c r="AN250" s="16" t="n">
        <v>0</v>
      </c>
      <c r="AO250" s="17" t="n">
        <v>0</v>
      </c>
      <c r="AP250" s="17" t="n">
        <v>0</v>
      </c>
      <c r="AQ250" s="17" t="n">
        <v>1</v>
      </c>
      <c r="AR250" s="17" t="n">
        <v>0</v>
      </c>
      <c r="AS250" s="17" t="n">
        <v>0</v>
      </c>
      <c r="AT250" s="17" t="n">
        <v>0</v>
      </c>
      <c r="AU250" s="17" t="n">
        <v>238</v>
      </c>
      <c r="AV250" s="17" t="n">
        <v>0</v>
      </c>
      <c r="AW250" s="17" t="n">
        <v>0</v>
      </c>
      <c r="AX250" s="18" t="n">
        <v>0</v>
      </c>
      <c r="AY250" s="16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8" t="n">
        <v>0</v>
      </c>
      <c r="BJ250" s="16" t="n">
        <v>0</v>
      </c>
      <c r="BK250" s="17" t="n">
        <v>0</v>
      </c>
      <c r="BL250" s="17" t="n">
        <v>0</v>
      </c>
      <c r="BM250" s="17" t="n">
        <v>1</v>
      </c>
      <c r="BN250" s="17" t="n">
        <v>0</v>
      </c>
      <c r="BO250" s="17" t="n">
        <v>0</v>
      </c>
      <c r="BP250" s="17" t="n">
        <v>0</v>
      </c>
      <c r="BQ250" s="17" t="n">
        <v>238</v>
      </c>
      <c r="BR250" s="17" t="n">
        <v>0</v>
      </c>
      <c r="BS250" s="17" t="n">
        <v>0</v>
      </c>
      <c r="BT250" s="18" t="n">
        <v>0</v>
      </c>
      <c r="BU250" s="17" t="inlineStr">
        <is>
          <t>Unclassified</t>
        </is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0</v>
      </c>
      <c r="J251" s="17" t="n">
        <v>360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8" t="n">
        <v>0</v>
      </c>
      <c r="R251" s="16" t="n">
        <v>0.36</v>
      </c>
      <c r="S251" s="17" t="n">
        <v>0</v>
      </c>
      <c r="T251" s="17" t="n">
        <v>0</v>
      </c>
      <c r="U251" s="17" t="n">
        <v>0.36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8" t="n">
        <v>0</v>
      </c>
      <c r="AC251" s="16" t="n">
        <v>0.64</v>
      </c>
      <c r="AD251" s="17" t="n">
        <v>1</v>
      </c>
      <c r="AE251" s="17" t="n">
        <v>1</v>
      </c>
      <c r="AF251" s="17" t="n">
        <v>0.64</v>
      </c>
      <c r="AG251" s="17" t="n">
        <v>1</v>
      </c>
      <c r="AH251" s="17" t="n">
        <v>1</v>
      </c>
      <c r="AI251" s="17" t="n">
        <v>1</v>
      </c>
      <c r="AJ251" s="17" t="n">
        <v>1</v>
      </c>
      <c r="AK251" s="17" t="n">
        <v>1</v>
      </c>
      <c r="AL251" s="17" t="n">
        <v>1</v>
      </c>
      <c r="AM251" s="18" t="n">
        <v>1</v>
      </c>
      <c r="AN251" s="16" t="n">
        <v>11</v>
      </c>
      <c r="AO251" s="17" t="n">
        <v>0</v>
      </c>
      <c r="AP251" s="17" t="n">
        <v>0</v>
      </c>
      <c r="AQ251" s="17" t="n">
        <v>9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8" t="n">
        <v>0</v>
      </c>
      <c r="AY251" s="16" t="n">
        <v>12</v>
      </c>
      <c r="AZ251" s="17" t="n">
        <v>0</v>
      </c>
      <c r="BA251" s="17" t="n">
        <v>0</v>
      </c>
      <c r="BB251" s="17" t="n">
        <v>12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8" t="n">
        <v>0</v>
      </c>
      <c r="BJ251" s="16" t="n">
        <v>-1</v>
      </c>
      <c r="BK251" s="17" t="n">
        <v>0</v>
      </c>
      <c r="BL251" s="17" t="n">
        <v>0</v>
      </c>
      <c r="BM251" s="17" t="n">
        <v>-3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8" t="n">
        <v>0</v>
      </c>
      <c r="BU251" s="17" t="inlineStr">
        <is>
          <t>Generic Drug</t>
        </is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0</v>
      </c>
      <c r="J252" s="17" t="n">
        <v>120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8" t="n">
        <v>0</v>
      </c>
      <c r="R252" s="16" t="n">
        <v>0.12</v>
      </c>
      <c r="S252" s="17" t="n">
        <v>0</v>
      </c>
      <c r="T252" s="17" t="n">
        <v>0</v>
      </c>
      <c r="U252" s="17" t="n">
        <v>0.12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8" t="n">
        <v>0</v>
      </c>
      <c r="AC252" s="16" t="n">
        <v>-0.12</v>
      </c>
      <c r="AD252" s="17" t="n">
        <v>0</v>
      </c>
      <c r="AE252" s="17" t="n">
        <v>0</v>
      </c>
      <c r="AF252" s="17" t="n">
        <v>-0.12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8" t="n">
        <v>0</v>
      </c>
      <c r="AN252" s="16" t="n">
        <v>2</v>
      </c>
      <c r="AO252" s="17" t="n">
        <v>0</v>
      </c>
      <c r="AP252" s="17" t="n">
        <v>0</v>
      </c>
      <c r="AQ252" s="17" t="n">
        <v>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8" t="n">
        <v>0</v>
      </c>
      <c r="AY252" s="16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8" t="n">
        <v>0</v>
      </c>
      <c r="BJ252" s="16" t="n">
        <v>2</v>
      </c>
      <c r="BK252" s="17" t="n">
        <v>0</v>
      </c>
      <c r="BL252" s="17" t="n">
        <v>0</v>
      </c>
      <c r="BM252" s="17" t="n">
        <v>2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8" t="n">
        <v>0</v>
      </c>
      <c r="BU252" s="17" t="inlineStr">
        <is>
          <t>Unclassified</t>
        </is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0</v>
      </c>
      <c r="J253" s="17" t="n">
        <v>30</v>
      </c>
      <c r="K253" s="17" t="n">
        <v>20</v>
      </c>
      <c r="L253" s="17" t="n">
        <v>0</v>
      </c>
      <c r="M253" s="17" t="n">
        <v>0</v>
      </c>
      <c r="N253" s="17" t="n">
        <v>10</v>
      </c>
      <c r="O253" s="17" t="n">
        <v>10</v>
      </c>
      <c r="P253" s="17" t="n">
        <v>0</v>
      </c>
      <c r="Q253" s="18" t="n">
        <v>0</v>
      </c>
      <c r="R253" s="16" t="n">
        <v>7</v>
      </c>
      <c r="S253" s="17" t="n">
        <v>0</v>
      </c>
      <c r="T253" s="17" t="n">
        <v>0</v>
      </c>
      <c r="U253" s="17" t="n">
        <v>3</v>
      </c>
      <c r="V253" s="17" t="n">
        <v>2</v>
      </c>
      <c r="W253" s="17" t="n">
        <v>0</v>
      </c>
      <c r="X253" s="17" t="n">
        <v>0</v>
      </c>
      <c r="Y253" s="17" t="n">
        <v>1</v>
      </c>
      <c r="Z253" s="17" t="n">
        <v>1</v>
      </c>
      <c r="AA253" s="17" t="n">
        <v>0</v>
      </c>
      <c r="AB253" s="18" t="n">
        <v>0</v>
      </c>
      <c r="AC253" s="16" t="n">
        <v>-7</v>
      </c>
      <c r="AD253" s="17" t="n">
        <v>0</v>
      </c>
      <c r="AE253" s="17" t="n">
        <v>0</v>
      </c>
      <c r="AF253" s="17" t="n">
        <v>-3</v>
      </c>
      <c r="AG253" s="17" t="n">
        <v>-2</v>
      </c>
      <c r="AH253" s="17" t="n">
        <v>0</v>
      </c>
      <c r="AI253" s="17" t="n">
        <v>0</v>
      </c>
      <c r="AJ253" s="17" t="n">
        <v>-1</v>
      </c>
      <c r="AK253" s="17" t="n">
        <v>-1</v>
      </c>
      <c r="AL253" s="17" t="n">
        <v>0</v>
      </c>
      <c r="AM253" s="18" t="n">
        <v>0</v>
      </c>
      <c r="AN253" s="16" t="n">
        <v>88</v>
      </c>
      <c r="AO253" s="17" t="n">
        <v>0</v>
      </c>
      <c r="AP253" s="17" t="n">
        <v>0</v>
      </c>
      <c r="AQ253" s="17" t="n">
        <v>16</v>
      </c>
      <c r="AR253" s="17" t="n">
        <v>30</v>
      </c>
      <c r="AS253" s="17" t="n">
        <v>0</v>
      </c>
      <c r="AT253" s="17" t="n">
        <v>0</v>
      </c>
      <c r="AU253" s="17" t="n">
        <v>20</v>
      </c>
      <c r="AV253" s="17" t="n">
        <v>0</v>
      </c>
      <c r="AW253" s="17" t="n">
        <v>0</v>
      </c>
      <c r="AX253" s="18" t="n">
        <v>0</v>
      </c>
      <c r="AY253" s="16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8" t="n">
        <v>0</v>
      </c>
      <c r="BJ253" s="16" t="n">
        <v>88</v>
      </c>
      <c r="BK253" s="17" t="n">
        <v>0</v>
      </c>
      <c r="BL253" s="17" t="n">
        <v>0</v>
      </c>
      <c r="BM253" s="17" t="n">
        <v>16</v>
      </c>
      <c r="BN253" s="17" t="n">
        <v>30</v>
      </c>
      <c r="BO253" s="17" t="n">
        <v>0</v>
      </c>
      <c r="BP253" s="17" t="n">
        <v>0</v>
      </c>
      <c r="BQ253" s="17" t="n">
        <v>20</v>
      </c>
      <c r="BR253" s="17" t="n">
        <v>0</v>
      </c>
      <c r="BS253" s="17" t="n">
        <v>0</v>
      </c>
      <c r="BT253" s="18" t="n">
        <v>0</v>
      </c>
      <c r="BU253" s="17" t="inlineStr">
        <is>
          <t>Unclassified</t>
        </is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180</v>
      </c>
      <c r="O254" s="17" t="n">
        <v>0</v>
      </c>
      <c r="P254" s="17" t="n">
        <v>0</v>
      </c>
      <c r="Q254" s="18" t="n">
        <v>0</v>
      </c>
      <c r="R254" s="16" t="n">
        <v>3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3</v>
      </c>
      <c r="Z254" s="17" t="n">
        <v>0</v>
      </c>
      <c r="AA254" s="17" t="n">
        <v>0</v>
      </c>
      <c r="AB254" s="18" t="n">
        <v>0</v>
      </c>
      <c r="AC254" s="16" t="n">
        <v>-3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-3</v>
      </c>
      <c r="AK254" s="17" t="n">
        <v>0</v>
      </c>
      <c r="AL254" s="17" t="n">
        <v>0</v>
      </c>
      <c r="AM254" s="18" t="n">
        <v>0</v>
      </c>
      <c r="AN254" s="16" t="n">
        <v>202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202</v>
      </c>
      <c r="AV254" s="17" t="n">
        <v>0</v>
      </c>
      <c r="AW254" s="17" t="n">
        <v>0</v>
      </c>
      <c r="AX254" s="18" t="n">
        <v>0</v>
      </c>
      <c r="AY254" s="16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8" t="n">
        <v>0</v>
      </c>
      <c r="BJ254" s="16" t="n">
        <v>202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202</v>
      </c>
      <c r="BR254" s="17" t="n">
        <v>0</v>
      </c>
      <c r="BS254" s="17" t="n">
        <v>0</v>
      </c>
      <c r="BT254" s="18" t="n">
        <v>0</v>
      </c>
      <c r="BU254" s="17" t="inlineStr">
        <is>
          <t>Unclassified</t>
        </is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0</v>
      </c>
      <c r="J255" s="17" t="n">
        <v>10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10</v>
      </c>
      <c r="P255" s="17" t="n">
        <v>0</v>
      </c>
      <c r="Q255" s="18" t="n">
        <v>0</v>
      </c>
      <c r="R255" s="16" t="n">
        <v>2</v>
      </c>
      <c r="S255" s="17" t="n">
        <v>0</v>
      </c>
      <c r="T255" s="17" t="n">
        <v>0</v>
      </c>
      <c r="U255" s="17" t="n">
        <v>1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1</v>
      </c>
      <c r="AA255" s="17" t="n">
        <v>0</v>
      </c>
      <c r="AB255" s="18" t="n">
        <v>0</v>
      </c>
      <c r="AC255" s="16" t="n">
        <v>-2</v>
      </c>
      <c r="AD255" s="17" t="n">
        <v>0</v>
      </c>
      <c r="AE255" s="17" t="n">
        <v>0</v>
      </c>
      <c r="AF255" s="17" t="n">
        <v>-1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-1</v>
      </c>
      <c r="AL255" s="17" t="n">
        <v>0</v>
      </c>
      <c r="AM255" s="18" t="n">
        <v>0</v>
      </c>
      <c r="AN255" s="16" t="n">
        <v>24</v>
      </c>
      <c r="AO255" s="17" t="n">
        <v>0</v>
      </c>
      <c r="AP255" s="17" t="n">
        <v>0</v>
      </c>
      <c r="AQ255" s="17" t="n">
        <v>5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19</v>
      </c>
      <c r="AW255" s="17" t="n">
        <v>0</v>
      </c>
      <c r="AX255" s="18" t="n">
        <v>0</v>
      </c>
      <c r="AY255" s="16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8" t="n">
        <v>0</v>
      </c>
      <c r="BJ255" s="16" t="n">
        <v>24</v>
      </c>
      <c r="BK255" s="17" t="n">
        <v>0</v>
      </c>
      <c r="BL255" s="17" t="n">
        <v>0</v>
      </c>
      <c r="BM255" s="17" t="n">
        <v>5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19</v>
      </c>
      <c r="BS255" s="17" t="n">
        <v>0</v>
      </c>
      <c r="BT255" s="18" t="n">
        <v>0</v>
      </c>
      <c r="BU255" s="17" t="inlineStr">
        <is>
          <t>Unclassified</t>
        </is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30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8" t="n">
        <v>0</v>
      </c>
      <c r="R256" s="16" t="n">
        <v>3</v>
      </c>
      <c r="S256" s="17" t="n">
        <v>0</v>
      </c>
      <c r="T256" s="17" t="n">
        <v>0</v>
      </c>
      <c r="U256" s="17" t="n">
        <v>3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8" t="n">
        <v>0</v>
      </c>
      <c r="AC256" s="16" t="n">
        <v>-3</v>
      </c>
      <c r="AD256" s="17" t="n">
        <v>0</v>
      </c>
      <c r="AE256" s="17" t="n">
        <v>0</v>
      </c>
      <c r="AF256" s="17" t="n">
        <v>-3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8" t="n">
        <v>0</v>
      </c>
      <c r="AN256" s="16" t="n">
        <v>16</v>
      </c>
      <c r="AO256" s="17" t="n">
        <v>0</v>
      </c>
      <c r="AP256" s="17" t="n">
        <v>0</v>
      </c>
      <c r="AQ256" s="17" t="n">
        <v>15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8" t="n">
        <v>0</v>
      </c>
      <c r="AY256" s="16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8" t="n">
        <v>0</v>
      </c>
      <c r="BJ256" s="16" t="n">
        <v>16</v>
      </c>
      <c r="BK256" s="17" t="n">
        <v>0</v>
      </c>
      <c r="BL256" s="17" t="n">
        <v>0</v>
      </c>
      <c r="BM256" s="17" t="n">
        <v>15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8" t="n">
        <v>0</v>
      </c>
      <c r="BU256" s="17" t="inlineStr">
        <is>
          <t>Unclassified</t>
        </is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0</v>
      </c>
      <c r="J257" s="17" t="n">
        <v>8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8" t="n">
        <v>0</v>
      </c>
      <c r="R257" s="16" t="n">
        <v>1</v>
      </c>
      <c r="S257" s="17" t="n">
        <v>0</v>
      </c>
      <c r="T257" s="17" t="n">
        <v>0</v>
      </c>
      <c r="U257" s="17" t="n">
        <v>1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8" t="n">
        <v>0</v>
      </c>
      <c r="AC257" s="16" t="n">
        <v>-1</v>
      </c>
      <c r="AD257" s="17" t="n">
        <v>0</v>
      </c>
      <c r="AE257" s="17" t="n">
        <v>0</v>
      </c>
      <c r="AF257" s="17" t="n">
        <v>-1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8" t="n">
        <v>0</v>
      </c>
      <c r="AN257" s="16" t="n">
        <v>46</v>
      </c>
      <c r="AO257" s="17" t="n">
        <v>0</v>
      </c>
      <c r="AP257" s="17" t="n">
        <v>0</v>
      </c>
      <c r="AQ257" s="17" t="n">
        <v>40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8" t="n">
        <v>0</v>
      </c>
      <c r="AY257" s="16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8" t="n">
        <v>0</v>
      </c>
      <c r="BJ257" s="16" t="n">
        <v>46</v>
      </c>
      <c r="BK257" s="17" t="n">
        <v>0</v>
      </c>
      <c r="BL257" s="17" t="n">
        <v>0</v>
      </c>
      <c r="BM257" s="17" t="n">
        <v>40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8" t="n">
        <v>0</v>
      </c>
      <c r="BU257" s="17" t="inlineStr">
        <is>
          <t>Unclassified</t>
        </is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0</v>
      </c>
      <c r="J258" s="17" t="n">
        <v>30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8" t="n">
        <v>0</v>
      </c>
      <c r="R258" s="16" t="n">
        <v>1</v>
      </c>
      <c r="S258" s="17" t="n">
        <v>0</v>
      </c>
      <c r="T258" s="17" t="n">
        <v>0</v>
      </c>
      <c r="U258" s="17" t="n">
        <v>1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8" t="n">
        <v>0</v>
      </c>
      <c r="AC258" s="16" t="n">
        <v>-1</v>
      </c>
      <c r="AD258" s="17" t="n">
        <v>0</v>
      </c>
      <c r="AE258" s="17" t="n">
        <v>0</v>
      </c>
      <c r="AF258" s="17" t="n">
        <v>-1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8" t="n">
        <v>0</v>
      </c>
      <c r="AN258" s="16" t="n">
        <v>3093</v>
      </c>
      <c r="AO258" s="17" t="n">
        <v>0</v>
      </c>
      <c r="AP258" s="17" t="n">
        <v>0</v>
      </c>
      <c r="AQ258" s="17" t="n">
        <v>3093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8" t="n">
        <v>0</v>
      </c>
      <c r="AY258" s="16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8" t="n">
        <v>0</v>
      </c>
      <c r="BJ258" s="16" t="n">
        <v>3093</v>
      </c>
      <c r="BK258" s="17" t="n">
        <v>0</v>
      </c>
      <c r="BL258" s="17" t="n">
        <v>0</v>
      </c>
      <c r="BM258" s="17" t="n">
        <v>3093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8" t="n">
        <v>0</v>
      </c>
      <c r="BU258" s="17" t="inlineStr">
        <is>
          <t>Unclassified</t>
        </is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0</v>
      </c>
      <c r="J259" s="17" t="n">
        <v>30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8" t="n">
        <v>0</v>
      </c>
      <c r="R259" s="16" t="n">
        <v>0.3</v>
      </c>
      <c r="S259" s="17" t="n">
        <v>0</v>
      </c>
      <c r="T259" s="17" t="n">
        <v>0</v>
      </c>
      <c r="U259" s="17" t="n">
        <v>0.3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8" t="n">
        <v>0</v>
      </c>
      <c r="AC259" s="16" t="n">
        <v>-0.3</v>
      </c>
      <c r="AD259" s="17" t="n">
        <v>0</v>
      </c>
      <c r="AE259" s="17" t="n">
        <v>0</v>
      </c>
      <c r="AF259" s="17" t="n">
        <v>-0.3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8" t="n">
        <v>0</v>
      </c>
      <c r="AN259" s="16" t="n">
        <v>1</v>
      </c>
      <c r="AO259" s="17" t="n">
        <v>0</v>
      </c>
      <c r="AP259" s="17" t="n">
        <v>0</v>
      </c>
      <c r="AQ259" s="17" t="n">
        <v>1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8" t="n">
        <v>0</v>
      </c>
      <c r="AY259" s="16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8" t="n">
        <v>0</v>
      </c>
      <c r="BJ259" s="16" t="n">
        <v>1</v>
      </c>
      <c r="BK259" s="17" t="n">
        <v>0</v>
      </c>
      <c r="BL259" s="17" t="n">
        <v>0</v>
      </c>
      <c r="BM259" s="17" t="n">
        <v>1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8" t="n">
        <v>0</v>
      </c>
      <c r="BU259" s="17" t="inlineStr">
        <is>
          <t>Unclassified</t>
        </is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30</v>
      </c>
      <c r="O260" s="17" t="n">
        <v>0</v>
      </c>
      <c r="P260" s="17" t="n">
        <v>0</v>
      </c>
      <c r="Q260" s="18" t="n">
        <v>0</v>
      </c>
      <c r="R260" s="16" t="n">
        <v>0.3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0.3</v>
      </c>
      <c r="Z260" s="17" t="n">
        <v>0</v>
      </c>
      <c r="AA260" s="17" t="n">
        <v>0</v>
      </c>
      <c r="AB260" s="18" t="n">
        <v>0</v>
      </c>
      <c r="AC260" s="16" t="n">
        <v>-0.3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0</v>
      </c>
      <c r="AM260" s="18" t="n">
        <v>0</v>
      </c>
      <c r="AN260" s="16" t="n">
        <v>13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13</v>
      </c>
      <c r="AV260" s="17" t="n">
        <v>0</v>
      </c>
      <c r="AW260" s="17" t="n">
        <v>0</v>
      </c>
      <c r="AX260" s="18" t="n">
        <v>0</v>
      </c>
      <c r="AY260" s="16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8" t="n">
        <v>0</v>
      </c>
      <c r="BJ260" s="16" t="n">
        <v>13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13</v>
      </c>
      <c r="BR260" s="17" t="n">
        <v>0</v>
      </c>
      <c r="BS260" s="17" t="n">
        <v>0</v>
      </c>
      <c r="BT260" s="18" t="n">
        <v>0</v>
      </c>
      <c r="BU260" s="17" t="inlineStr">
        <is>
          <t>Unclassified</t>
        </is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0</v>
      </c>
      <c r="J261" s="17" t="n">
        <v>45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8" t="n">
        <v>0</v>
      </c>
      <c r="R261" s="16" t="n">
        <v>1</v>
      </c>
      <c r="S261" s="17" t="n">
        <v>0</v>
      </c>
      <c r="T261" s="17" t="n">
        <v>0</v>
      </c>
      <c r="U261" s="17" t="n">
        <v>1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8" t="n">
        <v>0</v>
      </c>
      <c r="AC261" s="16" t="n">
        <v>0</v>
      </c>
      <c r="AD261" s="17" t="n">
        <v>1</v>
      </c>
      <c r="AE261" s="17" t="n">
        <v>1</v>
      </c>
      <c r="AF261" s="17" t="n">
        <v>0</v>
      </c>
      <c r="AG261" s="17" t="n">
        <v>1</v>
      </c>
      <c r="AH261" s="17" t="n">
        <v>1</v>
      </c>
      <c r="AI261" s="17" t="n">
        <v>1</v>
      </c>
      <c r="AJ261" s="17" t="n">
        <v>1</v>
      </c>
      <c r="AK261" s="17" t="n">
        <v>1</v>
      </c>
      <c r="AL261" s="17" t="n">
        <v>1</v>
      </c>
      <c r="AM261" s="18" t="n">
        <v>1</v>
      </c>
      <c r="AN261" s="16" t="n">
        <v>271</v>
      </c>
      <c r="AO261" s="17" t="n">
        <v>0</v>
      </c>
      <c r="AP261" s="17" t="n">
        <v>0</v>
      </c>
      <c r="AQ261" s="17" t="n">
        <v>271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8" t="n">
        <v>0</v>
      </c>
      <c r="AY261" s="16" t="n">
        <v>206</v>
      </c>
      <c r="AZ261" s="17" t="n">
        <v>0</v>
      </c>
      <c r="BA261" s="17" t="n">
        <v>0</v>
      </c>
      <c r="BB261" s="17" t="n">
        <v>206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8" t="n">
        <v>0</v>
      </c>
      <c r="BJ261" s="16" t="n">
        <v>65</v>
      </c>
      <c r="BK261" s="17" t="n">
        <v>0</v>
      </c>
      <c r="BL261" s="17" t="n">
        <v>0</v>
      </c>
      <c r="BM261" s="17" t="n">
        <v>65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8" t="n">
        <v>0</v>
      </c>
      <c r="BU261" s="17" t="inlineStr">
        <is>
          <t>Generic Drug</t>
        </is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0</v>
      </c>
      <c r="J262" s="17" t="n">
        <v>90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8" t="n">
        <v>0</v>
      </c>
      <c r="R262" s="16" t="n">
        <v>0.9</v>
      </c>
      <c r="S262" s="17" t="n">
        <v>0</v>
      </c>
      <c r="T262" s="17" t="n">
        <v>0</v>
      </c>
      <c r="U262" s="17" t="n">
        <v>0.9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8" t="n">
        <v>0</v>
      </c>
      <c r="AC262" s="16" t="n">
        <v>-0.9</v>
      </c>
      <c r="AD262" s="17" t="n">
        <v>0</v>
      </c>
      <c r="AE262" s="17" t="n">
        <v>0</v>
      </c>
      <c r="AF262" s="17" t="n">
        <v>-0.9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8" t="n">
        <v>0</v>
      </c>
      <c r="AN262" s="16" t="n">
        <v>16</v>
      </c>
      <c r="AO262" s="17" t="n">
        <v>0</v>
      </c>
      <c r="AP262" s="17" t="n">
        <v>0</v>
      </c>
      <c r="AQ262" s="17" t="n">
        <v>16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8" t="n">
        <v>0</v>
      </c>
      <c r="AY262" s="16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8" t="n">
        <v>0</v>
      </c>
      <c r="BJ262" s="16" t="n">
        <v>16</v>
      </c>
      <c r="BK262" s="17" t="n">
        <v>0</v>
      </c>
      <c r="BL262" s="17" t="n">
        <v>0</v>
      </c>
      <c r="BM262" s="17" t="n">
        <v>16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8" t="n">
        <v>0</v>
      </c>
      <c r="BU262" s="17" t="inlineStr">
        <is>
          <t>Unclassified</t>
        </is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0</v>
      </c>
      <c r="J263" s="17" t="n">
        <v>74</v>
      </c>
      <c r="K263" s="17" t="n">
        <v>102</v>
      </c>
      <c r="L263" s="17" t="n">
        <v>0</v>
      </c>
      <c r="M263" s="17" t="n">
        <v>0</v>
      </c>
      <c r="N263" s="17" t="n">
        <v>70</v>
      </c>
      <c r="O263" s="17" t="n">
        <v>0</v>
      </c>
      <c r="P263" s="17" t="n">
        <v>0</v>
      </c>
      <c r="Q263" s="18" t="n">
        <v>0</v>
      </c>
      <c r="R263" s="16" t="n">
        <v>0.492</v>
      </c>
      <c r="S263" s="17" t="n">
        <v>0</v>
      </c>
      <c r="T263" s="17" t="n">
        <v>0</v>
      </c>
      <c r="U263" s="17" t="n">
        <v>0.148</v>
      </c>
      <c r="V263" s="17" t="n">
        <v>0.204</v>
      </c>
      <c r="W263" s="17" t="n">
        <v>0</v>
      </c>
      <c r="X263" s="17" t="n">
        <v>0</v>
      </c>
      <c r="Y263" s="17" t="n">
        <v>0.14</v>
      </c>
      <c r="Z263" s="17" t="n">
        <v>0</v>
      </c>
      <c r="AA263" s="17" t="n">
        <v>0</v>
      </c>
      <c r="AB263" s="18" t="n">
        <v>0</v>
      </c>
      <c r="AC263" s="16" t="n">
        <v>-0.492</v>
      </c>
      <c r="AD263" s="17" t="n">
        <v>0</v>
      </c>
      <c r="AE263" s="17" t="n">
        <v>0</v>
      </c>
      <c r="AF263" s="17" t="n">
        <v>-0.148</v>
      </c>
      <c r="AG263" s="17" t="n">
        <v>-0.204</v>
      </c>
      <c r="AH263" s="17" t="n">
        <v>0</v>
      </c>
      <c r="AI263" s="17" t="n">
        <v>0</v>
      </c>
      <c r="AJ263" s="17" t="n">
        <v>-0.14</v>
      </c>
      <c r="AK263" s="17" t="n">
        <v>0</v>
      </c>
      <c r="AL263" s="17" t="n">
        <v>0</v>
      </c>
      <c r="AM263" s="18" t="n">
        <v>0</v>
      </c>
      <c r="AN263" s="16" t="n">
        <v>66</v>
      </c>
      <c r="AO263" s="17" t="n">
        <v>0</v>
      </c>
      <c r="AP263" s="17" t="n">
        <v>0</v>
      </c>
      <c r="AQ263" s="17" t="n">
        <v>0</v>
      </c>
      <c r="AR263" s="17" t="n">
        <v>11</v>
      </c>
      <c r="AS263" s="17" t="n">
        <v>0</v>
      </c>
      <c r="AT263" s="17" t="n">
        <v>0</v>
      </c>
      <c r="AU263" s="17" t="n">
        <v>37</v>
      </c>
      <c r="AV263" s="17" t="n">
        <v>0</v>
      </c>
      <c r="AW263" s="17" t="n">
        <v>0</v>
      </c>
      <c r="AX263" s="18" t="n">
        <v>0</v>
      </c>
      <c r="AY263" s="16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8" t="n">
        <v>0</v>
      </c>
      <c r="BJ263" s="16" t="n">
        <v>66</v>
      </c>
      <c r="BK263" s="17" t="n">
        <v>0</v>
      </c>
      <c r="BL263" s="17" t="n">
        <v>0</v>
      </c>
      <c r="BM263" s="17" t="n">
        <v>0</v>
      </c>
      <c r="BN263" s="17" t="n">
        <v>11</v>
      </c>
      <c r="BO263" s="17" t="n">
        <v>0</v>
      </c>
      <c r="BP263" s="17" t="n">
        <v>0</v>
      </c>
      <c r="BQ263" s="17" t="n">
        <v>37</v>
      </c>
      <c r="BR263" s="17" t="n">
        <v>0</v>
      </c>
      <c r="BS263" s="17" t="n">
        <v>0</v>
      </c>
      <c r="BT263" s="18" t="n">
        <v>0</v>
      </c>
      <c r="BU263" s="17" t="inlineStr">
        <is>
          <t>Unclassified</t>
        </is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0</v>
      </c>
      <c r="K264" s="17" t="n">
        <v>60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8" t="n">
        <v>0</v>
      </c>
      <c r="R264" s="16" t="n">
        <v>0.6</v>
      </c>
      <c r="S264" s="17" t="n">
        <v>0</v>
      </c>
      <c r="T264" s="17" t="n">
        <v>0</v>
      </c>
      <c r="U264" s="17" t="n">
        <v>0</v>
      </c>
      <c r="V264" s="17" t="n">
        <v>0.6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8" t="n">
        <v>0</v>
      </c>
      <c r="AC264" s="16" t="n">
        <v>-0.6</v>
      </c>
      <c r="AD264" s="17" t="n">
        <v>0</v>
      </c>
      <c r="AE264" s="17" t="n">
        <v>0</v>
      </c>
      <c r="AF264" s="17" t="n">
        <v>0</v>
      </c>
      <c r="AG264" s="17" t="n">
        <v>-0.6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8" t="n">
        <v>0</v>
      </c>
      <c r="AN264" s="16" t="n">
        <v>9</v>
      </c>
      <c r="AO264" s="17" t="n">
        <v>0</v>
      </c>
      <c r="AP264" s="17" t="n">
        <v>0</v>
      </c>
      <c r="AQ264" s="17" t="n">
        <v>0</v>
      </c>
      <c r="AR264" s="17" t="n">
        <v>3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8" t="n">
        <v>0</v>
      </c>
      <c r="AY264" s="16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8" t="n">
        <v>0</v>
      </c>
      <c r="BJ264" s="16" t="n">
        <v>9</v>
      </c>
      <c r="BK264" s="17" t="n">
        <v>0</v>
      </c>
      <c r="BL264" s="17" t="n">
        <v>0</v>
      </c>
      <c r="BM264" s="17" t="n">
        <v>0</v>
      </c>
      <c r="BN264" s="17" t="n">
        <v>3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8" t="n">
        <v>0</v>
      </c>
      <c r="BU264" s="17" t="inlineStr">
        <is>
          <t>Unclassified</t>
        </is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30</v>
      </c>
      <c r="O265" s="17" t="n">
        <v>0</v>
      </c>
      <c r="P265" s="17" t="n">
        <v>0</v>
      </c>
      <c r="Q265" s="18" t="n">
        <v>0</v>
      </c>
      <c r="R265" s="16" t="n">
        <v>1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7" t="n">
        <v>0</v>
      </c>
      <c r="Y265" s="17" t="n">
        <v>0.5</v>
      </c>
      <c r="Z265" s="17" t="n">
        <v>0</v>
      </c>
      <c r="AA265" s="17" t="n">
        <v>0</v>
      </c>
      <c r="AB265" s="18" t="n">
        <v>0</v>
      </c>
      <c r="AC265" s="16" t="n">
        <v>-1</v>
      </c>
      <c r="AD265" s="17" t="n">
        <v>0</v>
      </c>
      <c r="AE265" s="17" t="n">
        <v>0</v>
      </c>
      <c r="AF265" s="17" t="n">
        <v>-0.5</v>
      </c>
      <c r="AG265" s="17" t="n">
        <v>0</v>
      </c>
      <c r="AH265" s="17" t="n">
        <v>0</v>
      </c>
      <c r="AI265" s="17" t="n">
        <v>0</v>
      </c>
      <c r="AJ265" s="17" t="n">
        <v>-0.5</v>
      </c>
      <c r="AK265" s="17" t="n">
        <v>0</v>
      </c>
      <c r="AL265" s="17" t="n">
        <v>0</v>
      </c>
      <c r="AM265" s="18" t="n">
        <v>0</v>
      </c>
      <c r="AN265" s="16" t="n">
        <v>15</v>
      </c>
      <c r="AO265" s="17" t="n">
        <v>0</v>
      </c>
      <c r="AP265" s="17" t="n">
        <v>0</v>
      </c>
      <c r="AQ265" s="17" t="n">
        <v>1</v>
      </c>
      <c r="AR265" s="17" t="n">
        <v>0</v>
      </c>
      <c r="AS265" s="17" t="n">
        <v>0</v>
      </c>
      <c r="AT265" s="17" t="n">
        <v>0</v>
      </c>
      <c r="AU265" s="17" t="n">
        <v>13</v>
      </c>
      <c r="AV265" s="17" t="n">
        <v>0</v>
      </c>
      <c r="AW265" s="17" t="n">
        <v>0</v>
      </c>
      <c r="AX265" s="18" t="n">
        <v>0</v>
      </c>
      <c r="AY265" s="16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8" t="n">
        <v>0</v>
      </c>
      <c r="BJ265" s="16" t="n">
        <v>15</v>
      </c>
      <c r="BK265" s="17" t="n">
        <v>0</v>
      </c>
      <c r="BL265" s="17" t="n">
        <v>0</v>
      </c>
      <c r="BM265" s="17" t="n">
        <v>1</v>
      </c>
      <c r="BN265" s="17" t="n">
        <v>0</v>
      </c>
      <c r="BO265" s="17" t="n">
        <v>0</v>
      </c>
      <c r="BP265" s="17" t="n">
        <v>0</v>
      </c>
      <c r="BQ265" s="17" t="n">
        <v>13</v>
      </c>
      <c r="BR265" s="17" t="n">
        <v>0</v>
      </c>
      <c r="BS265" s="17" t="n">
        <v>0</v>
      </c>
      <c r="BT265" s="18" t="n">
        <v>0</v>
      </c>
      <c r="BU265" s="17" t="inlineStr">
        <is>
          <t>Generic Drug</t>
        </is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0</v>
      </c>
      <c r="J266" s="17" t="n">
        <v>180</v>
      </c>
      <c r="K266" s="17" t="n">
        <v>60</v>
      </c>
      <c r="L266" s="17" t="n">
        <v>0</v>
      </c>
      <c r="M266" s="17" t="n">
        <v>0</v>
      </c>
      <c r="N266" s="17" t="n">
        <v>30</v>
      </c>
      <c r="O266" s="17" t="n">
        <v>0</v>
      </c>
      <c r="P266" s="17" t="n">
        <v>0</v>
      </c>
      <c r="Q266" s="18" t="n">
        <v>0</v>
      </c>
      <c r="R266" s="16" t="n">
        <v>0.27</v>
      </c>
      <c r="S266" s="17" t="n">
        <v>0</v>
      </c>
      <c r="T266" s="17" t="n">
        <v>0</v>
      </c>
      <c r="U266" s="17" t="n">
        <v>0.18</v>
      </c>
      <c r="V266" s="17" t="n">
        <v>0.06</v>
      </c>
      <c r="W266" s="17" t="n">
        <v>0</v>
      </c>
      <c r="X266" s="17" t="n">
        <v>0</v>
      </c>
      <c r="Y266" s="17" t="n">
        <v>0.03</v>
      </c>
      <c r="Z266" s="17" t="n">
        <v>0</v>
      </c>
      <c r="AA266" s="17" t="n">
        <v>0</v>
      </c>
      <c r="AB266" s="18" t="n">
        <v>0</v>
      </c>
      <c r="AC266" s="16" t="n">
        <v>-0.27</v>
      </c>
      <c r="AD266" s="17" t="n">
        <v>0</v>
      </c>
      <c r="AE266" s="17" t="n">
        <v>0</v>
      </c>
      <c r="AF266" s="17" t="n">
        <v>-0.18</v>
      </c>
      <c r="AG266" s="17" t="n">
        <v>-0.06</v>
      </c>
      <c r="AH266" s="17" t="n">
        <v>0</v>
      </c>
      <c r="AI266" s="17" t="n">
        <v>0</v>
      </c>
      <c r="AJ266" s="17" t="n">
        <v>-0.03</v>
      </c>
      <c r="AK266" s="17" t="n">
        <v>0</v>
      </c>
      <c r="AL266" s="17" t="n">
        <v>0</v>
      </c>
      <c r="AM266" s="18" t="n">
        <v>0</v>
      </c>
      <c r="AN266" s="16" t="n">
        <v>31</v>
      </c>
      <c r="AO266" s="17" t="n">
        <v>0</v>
      </c>
      <c r="AP266" s="17" t="n">
        <v>0</v>
      </c>
      <c r="AQ266" s="17" t="n">
        <v>2</v>
      </c>
      <c r="AR266" s="17" t="n">
        <v>0</v>
      </c>
      <c r="AS266" s="17" t="n">
        <v>0</v>
      </c>
      <c r="AT266" s="17" t="n">
        <v>0</v>
      </c>
      <c r="AU266" s="17" t="n">
        <v>12</v>
      </c>
      <c r="AV266" s="17" t="n">
        <v>0</v>
      </c>
      <c r="AW266" s="17" t="n">
        <v>0</v>
      </c>
      <c r="AX266" s="18" t="n">
        <v>0</v>
      </c>
      <c r="AY266" s="16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8" t="n">
        <v>0</v>
      </c>
      <c r="BJ266" s="16" t="n">
        <v>31</v>
      </c>
      <c r="BK266" s="17" t="n">
        <v>0</v>
      </c>
      <c r="BL266" s="17" t="n">
        <v>0</v>
      </c>
      <c r="BM266" s="17" t="n">
        <v>2</v>
      </c>
      <c r="BN266" s="17" t="n">
        <v>0</v>
      </c>
      <c r="BO266" s="17" t="n">
        <v>0</v>
      </c>
      <c r="BP266" s="17" t="n">
        <v>0</v>
      </c>
      <c r="BQ266" s="17" t="n">
        <v>12</v>
      </c>
      <c r="BR266" s="17" t="n">
        <v>0</v>
      </c>
      <c r="BS266" s="17" t="n">
        <v>0</v>
      </c>
      <c r="BT266" s="18" t="n">
        <v>0</v>
      </c>
      <c r="BU266" s="17" t="inlineStr">
        <is>
          <t>Unclassified</t>
        </is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0</v>
      </c>
      <c r="J267" s="17" t="n">
        <v>60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8" t="n">
        <v>0</v>
      </c>
      <c r="R267" s="16" t="n">
        <v>0.06</v>
      </c>
      <c r="S267" s="17" t="n">
        <v>0</v>
      </c>
      <c r="T267" s="17" t="n">
        <v>0</v>
      </c>
      <c r="U267" s="17" t="n">
        <v>0.06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8" t="n">
        <v>0</v>
      </c>
      <c r="AC267" s="16" t="n">
        <v>-0.06</v>
      </c>
      <c r="AD267" s="17" t="n">
        <v>0</v>
      </c>
      <c r="AE267" s="17" t="n">
        <v>0</v>
      </c>
      <c r="AF267" s="17" t="n">
        <v>-0.06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8" t="n">
        <v>0</v>
      </c>
      <c r="AN267" s="16" t="n">
        <v>16</v>
      </c>
      <c r="AO267" s="17" t="n">
        <v>0</v>
      </c>
      <c r="AP267" s="17" t="n">
        <v>0</v>
      </c>
      <c r="AQ267" s="17" t="n">
        <v>8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8" t="n">
        <v>0</v>
      </c>
      <c r="AY267" s="16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8" t="n">
        <v>0</v>
      </c>
      <c r="BJ267" s="16" t="n">
        <v>16</v>
      </c>
      <c r="BK267" s="17" t="n">
        <v>0</v>
      </c>
      <c r="BL267" s="17" t="n">
        <v>0</v>
      </c>
      <c r="BM267" s="17" t="n">
        <v>8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8" t="n">
        <v>0</v>
      </c>
      <c r="BU267" s="17" t="inlineStr">
        <is>
          <t>Unclassified</t>
        </is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0</v>
      </c>
      <c r="J268" s="17" t="n">
        <v>90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8" t="n">
        <v>0</v>
      </c>
      <c r="R268" s="16" t="n">
        <v>3</v>
      </c>
      <c r="S268" s="17" t="n">
        <v>0</v>
      </c>
      <c r="T268" s="17" t="n">
        <v>0</v>
      </c>
      <c r="U268" s="17" t="n">
        <v>3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8" t="n">
        <v>0</v>
      </c>
      <c r="AC268" s="16" t="n">
        <v>-3</v>
      </c>
      <c r="AD268" s="17" t="n">
        <v>0</v>
      </c>
      <c r="AE268" s="17" t="n">
        <v>0</v>
      </c>
      <c r="AF268" s="17" t="n">
        <v>-3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8" t="n">
        <v>0</v>
      </c>
      <c r="AN268" s="16" t="n">
        <v>11</v>
      </c>
      <c r="AO268" s="17" t="n">
        <v>0</v>
      </c>
      <c r="AP268" s="17" t="n">
        <v>0</v>
      </c>
      <c r="AQ268" s="17" t="n">
        <v>9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8" t="n">
        <v>0</v>
      </c>
      <c r="AY268" s="16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8" t="n">
        <v>0</v>
      </c>
      <c r="BJ268" s="16" t="n">
        <v>11</v>
      </c>
      <c r="BK268" s="17" t="n">
        <v>0</v>
      </c>
      <c r="BL268" s="17" t="n">
        <v>0</v>
      </c>
      <c r="BM268" s="17" t="n">
        <v>9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8" t="n">
        <v>0</v>
      </c>
      <c r="BU268" s="17" t="inlineStr">
        <is>
          <t>Unclassified</t>
        </is>
      </c>
    </row>
    <row r="269" ht="20" customHeight="1">
      <c r="A269" s="15" t="inlineStr">
        <is>
          <t>68382064006</t>
        </is>
      </c>
      <c r="B269" s="15" t="inlineStr">
        <is>
          <t>DUTASTERIDE-TAMSULOSIN HCL 0.5-0.4 MG ORAL CAPSULE</t>
        </is>
      </c>
      <c r="C269" s="16" t="n">
        <v>30</v>
      </c>
      <c r="D269" s="16" t="n">
        <v>1</v>
      </c>
      <c r="E269" s="16" t="n">
        <v>1</v>
      </c>
      <c r="F269" s="16" t="n">
        <v>66</v>
      </c>
      <c r="G269" s="16" t="n">
        <v>30</v>
      </c>
      <c r="H269" s="17" t="n">
        <v>0</v>
      </c>
      <c r="I269" s="17" t="n">
        <v>0</v>
      </c>
      <c r="J269" s="17" t="n">
        <v>30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8" t="n">
        <v>0</v>
      </c>
      <c r="R269" s="16" t="n">
        <v>1</v>
      </c>
      <c r="S269" s="17" t="n">
        <v>0</v>
      </c>
      <c r="T269" s="17" t="n">
        <v>0</v>
      </c>
      <c r="U269" s="17" t="n">
        <v>1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8" t="n">
        <v>0</v>
      </c>
      <c r="AC269" s="16" t="n">
        <v>0</v>
      </c>
      <c r="AD269" s="17" t="n">
        <v>1</v>
      </c>
      <c r="AE269" s="17" t="n">
        <v>1</v>
      </c>
      <c r="AF269" s="17" t="n">
        <v>0</v>
      </c>
      <c r="AG269" s="17" t="n">
        <v>1</v>
      </c>
      <c r="AH269" s="17" t="n">
        <v>1</v>
      </c>
      <c r="AI269" s="17" t="n">
        <v>1</v>
      </c>
      <c r="AJ269" s="17" t="n">
        <v>1</v>
      </c>
      <c r="AK269" s="17" t="n">
        <v>1</v>
      </c>
      <c r="AL269" s="17" t="n">
        <v>1</v>
      </c>
      <c r="AM269" s="18" t="n">
        <v>1</v>
      </c>
      <c r="AN269" s="16" t="n">
        <v>70</v>
      </c>
      <c r="AO269" s="17" t="n">
        <v>0</v>
      </c>
      <c r="AP269" s="17" t="n">
        <v>0</v>
      </c>
      <c r="AQ269" s="17" t="n">
        <v>70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8" t="n">
        <v>0</v>
      </c>
      <c r="AY269" s="16" t="n">
        <v>66</v>
      </c>
      <c r="AZ269" s="17" t="n">
        <v>0</v>
      </c>
      <c r="BA269" s="17" t="n">
        <v>0</v>
      </c>
      <c r="BB269" s="17" t="n">
        <v>66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8" t="n">
        <v>0</v>
      </c>
      <c r="BJ269" s="16" t="n">
        <v>4</v>
      </c>
      <c r="BK269" s="17" t="n">
        <v>0</v>
      </c>
      <c r="BL269" s="17" t="n">
        <v>0</v>
      </c>
      <c r="BM269" s="17" t="n">
        <v>4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8" t="n">
        <v>0</v>
      </c>
      <c r="BU269" s="17" t="inlineStr">
        <is>
          <t>Generic Drug</t>
        </is>
      </c>
    </row>
    <row r="270" ht="20" customHeight="1">
      <c r="A270" s="15" t="inlineStr">
        <is>
          <t>68382064016</t>
        </is>
      </c>
      <c r="B270" s="15" t="inlineStr">
        <is>
          <t>DUTASTERIDE-TAMSULOSIN HCL 0.5-0.4 MG ORAL CAPSULE</t>
        </is>
      </c>
      <c r="C270" s="16" t="n">
        <v>90</v>
      </c>
      <c r="D270" s="16" t="n">
        <v>2</v>
      </c>
      <c r="E270" s="16" t="n">
        <v>2</v>
      </c>
      <c r="F270" s="16" t="n">
        <v>91</v>
      </c>
      <c r="G270" s="16" t="n">
        <v>90</v>
      </c>
      <c r="H270" s="17" t="n">
        <v>0</v>
      </c>
      <c r="I270" s="17" t="n">
        <v>0</v>
      </c>
      <c r="J270" s="17" t="n">
        <v>90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8" t="n">
        <v>0</v>
      </c>
      <c r="R270" s="16" t="n">
        <v>1</v>
      </c>
      <c r="S270" s="17" t="n">
        <v>0</v>
      </c>
      <c r="T270" s="17" t="n">
        <v>0</v>
      </c>
      <c r="U270" s="17" t="n">
        <v>1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8" t="n">
        <v>0</v>
      </c>
      <c r="AC270" s="16" t="n">
        <v>1</v>
      </c>
      <c r="AD270" s="17" t="n">
        <v>2</v>
      </c>
      <c r="AE270" s="17" t="n">
        <v>2</v>
      </c>
      <c r="AF270" s="17" t="n">
        <v>1</v>
      </c>
      <c r="AG270" s="17" t="n">
        <v>2</v>
      </c>
      <c r="AH270" s="17" t="n">
        <v>2</v>
      </c>
      <c r="AI270" s="17" t="n">
        <v>2</v>
      </c>
      <c r="AJ270" s="17" t="n">
        <v>2</v>
      </c>
      <c r="AK270" s="17" t="n">
        <v>2</v>
      </c>
      <c r="AL270" s="17" t="n">
        <v>2</v>
      </c>
      <c r="AM270" s="18" t="n">
        <v>2</v>
      </c>
      <c r="AN270" s="16" t="n">
        <v>122</v>
      </c>
      <c r="AO270" s="17" t="n">
        <v>0</v>
      </c>
      <c r="AP270" s="17" t="n">
        <v>0</v>
      </c>
      <c r="AQ270" s="17" t="n">
        <v>121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8" t="n">
        <v>0</v>
      </c>
      <c r="AY270" s="16" t="n">
        <v>91</v>
      </c>
      <c r="AZ270" s="17" t="n">
        <v>0</v>
      </c>
      <c r="BA270" s="17" t="n">
        <v>0</v>
      </c>
      <c r="BB270" s="17" t="n">
        <v>91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8" t="n">
        <v>0</v>
      </c>
      <c r="BJ270" s="16" t="n">
        <v>31</v>
      </c>
      <c r="BK270" s="17" t="n">
        <v>0</v>
      </c>
      <c r="BL270" s="17" t="n">
        <v>0</v>
      </c>
      <c r="BM270" s="17" t="n">
        <v>30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8" t="n">
        <v>0</v>
      </c>
      <c r="BU270" s="17" t="inlineStr">
        <is>
          <t>Generic Drug</t>
        </is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0</v>
      </c>
      <c r="J271" s="17" t="n">
        <v>15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8" t="n">
        <v>0</v>
      </c>
      <c r="R271" s="16" t="n">
        <v>0</v>
      </c>
      <c r="S271" s="17" t="n">
        <v>0</v>
      </c>
      <c r="T271" s="17" t="n">
        <v>0</v>
      </c>
      <c r="U271" s="17" t="n">
        <v>1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8" t="n">
        <v>0</v>
      </c>
      <c r="AC271" s="16" t="n">
        <v>0</v>
      </c>
      <c r="AD271" s="17" t="n">
        <v>0</v>
      </c>
      <c r="AE271" s="17" t="n">
        <v>0</v>
      </c>
      <c r="AF271" s="17" t="n">
        <v>-1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8" t="n">
        <v>0</v>
      </c>
      <c r="AN271" s="16" t="n">
        <v>0</v>
      </c>
      <c r="AO271" s="17" t="n">
        <v>0</v>
      </c>
      <c r="AP271" s="17" t="n">
        <v>0</v>
      </c>
      <c r="AQ271" s="17" t="n">
        <v>1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8" t="n">
        <v>0</v>
      </c>
      <c r="AY271" s="16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8" t="n">
        <v>0</v>
      </c>
      <c r="BJ271" s="16" t="n">
        <v>0</v>
      </c>
      <c r="BK271" s="17" t="n">
        <v>0</v>
      </c>
      <c r="BL271" s="17" t="n">
        <v>0</v>
      </c>
      <c r="BM271" s="17" t="n">
        <v>1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8" t="n">
        <v>0</v>
      </c>
      <c r="BU271" s="17" t="inlineStr">
        <is>
          <t>Unclassified</t>
        </is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0</v>
      </c>
      <c r="J272" s="17" t="n">
        <v>85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8" t="n">
        <v>0</v>
      </c>
      <c r="R272" s="16" t="n">
        <v>1</v>
      </c>
      <c r="S272" s="17" t="n">
        <v>0</v>
      </c>
      <c r="T272" s="17" t="n">
        <v>0</v>
      </c>
      <c r="U272" s="17" t="n">
        <v>1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8" t="n">
        <v>0</v>
      </c>
      <c r="AC272" s="16" t="n">
        <v>-1</v>
      </c>
      <c r="AD272" s="17" t="n">
        <v>0</v>
      </c>
      <c r="AE272" s="17" t="n">
        <v>0</v>
      </c>
      <c r="AF272" s="17" t="n">
        <v>-1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8" t="n">
        <v>0</v>
      </c>
      <c r="AN272" s="16" t="n">
        <v>41</v>
      </c>
      <c r="AO272" s="17" t="n">
        <v>0</v>
      </c>
      <c r="AP272" s="17" t="n">
        <v>0</v>
      </c>
      <c r="AQ272" s="17" t="n">
        <v>41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8" t="n">
        <v>0</v>
      </c>
      <c r="AY272" s="16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8" t="n">
        <v>0</v>
      </c>
      <c r="BJ272" s="16" t="n">
        <v>41</v>
      </c>
      <c r="BK272" s="17" t="n">
        <v>0</v>
      </c>
      <c r="BL272" s="17" t="n">
        <v>0</v>
      </c>
      <c r="BM272" s="17" t="n">
        <v>41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8" t="n">
        <v>0</v>
      </c>
      <c r="BU272" s="17" t="inlineStr">
        <is>
          <t>Unclassified</t>
        </is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0</v>
      </c>
      <c r="J273" s="17" t="n">
        <v>420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8" t="n">
        <v>0</v>
      </c>
      <c r="R273" s="16" t="n">
        <v>7</v>
      </c>
      <c r="S273" s="17" t="n">
        <v>0</v>
      </c>
      <c r="T273" s="17" t="n">
        <v>0</v>
      </c>
      <c r="U273" s="17" t="n">
        <v>7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8" t="n">
        <v>0</v>
      </c>
      <c r="AC273" s="16" t="n">
        <v>13</v>
      </c>
      <c r="AD273" s="17" t="n">
        <v>20</v>
      </c>
      <c r="AE273" s="17" t="n">
        <v>20</v>
      </c>
      <c r="AF273" s="17" t="n">
        <v>13</v>
      </c>
      <c r="AG273" s="17" t="n">
        <v>20</v>
      </c>
      <c r="AH273" s="17" t="n">
        <v>20</v>
      </c>
      <c r="AI273" s="17" t="n">
        <v>20</v>
      </c>
      <c r="AJ273" s="17" t="n">
        <v>20</v>
      </c>
      <c r="AK273" s="17" t="n">
        <v>20</v>
      </c>
      <c r="AL273" s="17" t="n">
        <v>20</v>
      </c>
      <c r="AM273" s="18" t="n">
        <v>20</v>
      </c>
      <c r="AN273" s="16" t="n">
        <v>1740</v>
      </c>
      <c r="AO273" s="17" t="n">
        <v>0</v>
      </c>
      <c r="AP273" s="17" t="n">
        <v>0</v>
      </c>
      <c r="AQ273" s="17" t="n">
        <v>1730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8" t="n">
        <v>0</v>
      </c>
      <c r="AY273" s="16" t="n">
        <v>2352</v>
      </c>
      <c r="AZ273" s="17" t="n">
        <v>0</v>
      </c>
      <c r="BA273" s="17" t="n">
        <v>0</v>
      </c>
      <c r="BB273" s="17" t="n">
        <v>2352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8" t="n">
        <v>0</v>
      </c>
      <c r="BJ273" s="16" t="n">
        <v>-612</v>
      </c>
      <c r="BK273" s="17" t="n">
        <v>0</v>
      </c>
      <c r="BL273" s="17" t="n">
        <v>0</v>
      </c>
      <c r="BM273" s="17" t="n">
        <v>-622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8" t="n">
        <v>0</v>
      </c>
      <c r="BU273" s="17" t="inlineStr">
        <is>
          <t>Branded Drug</t>
        </is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0</v>
      </c>
      <c r="J274" s="17" t="n">
        <v>1320</v>
      </c>
      <c r="K274" s="17" t="n">
        <v>180</v>
      </c>
      <c r="L274" s="17" t="n">
        <v>0</v>
      </c>
      <c r="M274" s="17" t="n">
        <v>180</v>
      </c>
      <c r="N274" s="17" t="n">
        <v>420</v>
      </c>
      <c r="O274" s="17" t="n">
        <v>0</v>
      </c>
      <c r="P274" s="17" t="n">
        <v>0</v>
      </c>
      <c r="Q274" s="18" t="n">
        <v>0</v>
      </c>
      <c r="R274" s="16" t="n">
        <v>35</v>
      </c>
      <c r="S274" s="17" t="n">
        <v>0</v>
      </c>
      <c r="T274" s="17" t="n">
        <v>0</v>
      </c>
      <c r="U274" s="17" t="n">
        <v>22</v>
      </c>
      <c r="V274" s="17" t="n">
        <v>3</v>
      </c>
      <c r="W274" s="17" t="n">
        <v>0</v>
      </c>
      <c r="X274" s="17" t="n">
        <v>3</v>
      </c>
      <c r="Y274" s="17" t="n">
        <v>7</v>
      </c>
      <c r="Z274" s="17" t="n">
        <v>0</v>
      </c>
      <c r="AA274" s="17" t="n">
        <v>0</v>
      </c>
      <c r="AB274" s="18" t="n">
        <v>0</v>
      </c>
      <c r="AC274" s="16" t="n">
        <v>4</v>
      </c>
      <c r="AD274" s="17" t="n">
        <v>39</v>
      </c>
      <c r="AE274" s="17" t="n">
        <v>39</v>
      </c>
      <c r="AF274" s="17" t="n">
        <v>17</v>
      </c>
      <c r="AG274" s="17" t="n">
        <v>36</v>
      </c>
      <c r="AH274" s="17" t="n">
        <v>39</v>
      </c>
      <c r="AI274" s="17" t="n">
        <v>36</v>
      </c>
      <c r="AJ274" s="17" t="n">
        <v>32</v>
      </c>
      <c r="AK274" s="17" t="n">
        <v>39</v>
      </c>
      <c r="AL274" s="17" t="n">
        <v>39</v>
      </c>
      <c r="AM274" s="18" t="n">
        <v>39</v>
      </c>
      <c r="AN274" s="16" t="n">
        <v>9556</v>
      </c>
      <c r="AO274" s="17" t="n">
        <v>0</v>
      </c>
      <c r="AP274" s="17" t="n">
        <v>0</v>
      </c>
      <c r="AQ274" s="17" t="n">
        <v>4927</v>
      </c>
      <c r="AR274" s="17" t="n">
        <v>734</v>
      </c>
      <c r="AS274" s="17" t="n">
        <v>0</v>
      </c>
      <c r="AT274" s="17" t="n">
        <v>751</v>
      </c>
      <c r="AU274" s="17" t="n">
        <v>2351</v>
      </c>
      <c r="AV274" s="17" t="n">
        <v>0</v>
      </c>
      <c r="AW274" s="17" t="n">
        <v>0</v>
      </c>
      <c r="AX274" s="18" t="n">
        <v>0</v>
      </c>
      <c r="AY274" s="16" t="n">
        <v>11760</v>
      </c>
      <c r="AZ274" s="17" t="n">
        <v>0</v>
      </c>
      <c r="BA274" s="17" t="n">
        <v>0</v>
      </c>
      <c r="BB274" s="17" t="n">
        <v>7392</v>
      </c>
      <c r="BC274" s="17" t="n">
        <v>1008</v>
      </c>
      <c r="BD274" s="17" t="n">
        <v>0</v>
      </c>
      <c r="BE274" s="17" t="n">
        <v>1008</v>
      </c>
      <c r="BF274" s="17" t="n">
        <v>2352</v>
      </c>
      <c r="BG274" s="17" t="n">
        <v>0</v>
      </c>
      <c r="BH274" s="17" t="n">
        <v>0</v>
      </c>
      <c r="BI274" s="18" t="n">
        <v>0</v>
      </c>
      <c r="BJ274" s="16" t="n">
        <v>-2204</v>
      </c>
      <c r="BK274" s="17" t="n">
        <v>0</v>
      </c>
      <c r="BL274" s="17" t="n">
        <v>0</v>
      </c>
      <c r="BM274" s="17" t="n">
        <v>-2465</v>
      </c>
      <c r="BN274" s="17" t="n">
        <v>-274</v>
      </c>
      <c r="BO274" s="17" t="n">
        <v>0</v>
      </c>
      <c r="BP274" s="17" t="n">
        <v>-257</v>
      </c>
      <c r="BQ274" s="17" t="n">
        <v>-1</v>
      </c>
      <c r="BR274" s="17" t="n">
        <v>0</v>
      </c>
      <c r="BS274" s="17" t="n">
        <v>0</v>
      </c>
      <c r="BT274" s="18" t="n">
        <v>0</v>
      </c>
      <c r="BU274" s="17" t="inlineStr">
        <is>
          <t>Branded Drug</t>
        </is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0</v>
      </c>
      <c r="J275" s="17" t="n">
        <v>30</v>
      </c>
      <c r="K275" s="17" t="n">
        <v>90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8" t="n">
        <v>0</v>
      </c>
      <c r="R275" s="16" t="n">
        <v>4</v>
      </c>
      <c r="S275" s="17" t="n">
        <v>0</v>
      </c>
      <c r="T275" s="17" t="n">
        <v>0</v>
      </c>
      <c r="U275" s="17" t="n">
        <v>1</v>
      </c>
      <c r="V275" s="17" t="n">
        <v>3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8" t="n">
        <v>0</v>
      </c>
      <c r="AC275" s="16" t="n">
        <v>-1</v>
      </c>
      <c r="AD275" s="17" t="n">
        <v>3</v>
      </c>
      <c r="AE275" s="17" t="n">
        <v>3</v>
      </c>
      <c r="AF275" s="17" t="n">
        <v>2</v>
      </c>
      <c r="AG275" s="17" t="n">
        <v>0</v>
      </c>
      <c r="AH275" s="17" t="n">
        <v>3</v>
      </c>
      <c r="AI275" s="17" t="n">
        <v>3</v>
      </c>
      <c r="AJ275" s="17" t="n">
        <v>3</v>
      </c>
      <c r="AK275" s="17" t="n">
        <v>3</v>
      </c>
      <c r="AL275" s="17" t="n">
        <v>3</v>
      </c>
      <c r="AM275" s="18" t="n">
        <v>3</v>
      </c>
      <c r="AN275" s="16" t="n">
        <v>87</v>
      </c>
      <c r="AO275" s="17" t="n">
        <v>0</v>
      </c>
      <c r="AP275" s="17" t="n">
        <v>0</v>
      </c>
      <c r="AQ275" s="17" t="n">
        <v>21</v>
      </c>
      <c r="AR275" s="17" t="n">
        <v>66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8" t="n">
        <v>0</v>
      </c>
      <c r="AY275" s="16" t="n">
        <v>32</v>
      </c>
      <c r="AZ275" s="17" t="n">
        <v>0</v>
      </c>
      <c r="BA275" s="17" t="n">
        <v>0</v>
      </c>
      <c r="BB275" s="17" t="n">
        <v>8</v>
      </c>
      <c r="BC275" s="17" t="n">
        <v>24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8" t="n">
        <v>0</v>
      </c>
      <c r="BJ275" s="16" t="n">
        <v>55</v>
      </c>
      <c r="BK275" s="17" t="n">
        <v>0</v>
      </c>
      <c r="BL275" s="17" t="n">
        <v>0</v>
      </c>
      <c r="BM275" s="17" t="n">
        <v>13</v>
      </c>
      <c r="BN275" s="17" t="n">
        <v>42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8" t="n">
        <v>0</v>
      </c>
      <c r="BU275" s="17" t="inlineStr">
        <is>
          <t>Generic Drug</t>
        </is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0</v>
      </c>
      <c r="J276" s="17" t="n">
        <v>90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8" t="n">
        <v>0</v>
      </c>
      <c r="R276" s="16" t="n">
        <v>0.09</v>
      </c>
      <c r="S276" s="17" t="n">
        <v>0</v>
      </c>
      <c r="T276" s="17" t="n">
        <v>0</v>
      </c>
      <c r="U276" s="17" t="n">
        <v>0.09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8" t="n">
        <v>0</v>
      </c>
      <c r="AC276" s="16" t="n">
        <v>-0.09</v>
      </c>
      <c r="AD276" s="17" t="n">
        <v>0</v>
      </c>
      <c r="AE276" s="17" t="n">
        <v>0</v>
      </c>
      <c r="AF276" s="17" t="n">
        <v>-0.09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8" t="n">
        <v>0</v>
      </c>
      <c r="AN276" s="16" t="n">
        <v>8</v>
      </c>
      <c r="AO276" s="17" t="n">
        <v>0</v>
      </c>
      <c r="AP276" s="17" t="n">
        <v>0</v>
      </c>
      <c r="AQ276" s="17" t="n">
        <v>8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8" t="n">
        <v>0</v>
      </c>
      <c r="AY276" s="16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8" t="n">
        <v>0</v>
      </c>
      <c r="BJ276" s="16" t="n">
        <v>8</v>
      </c>
      <c r="BK276" s="17" t="n">
        <v>0</v>
      </c>
      <c r="BL276" s="17" t="n">
        <v>0</v>
      </c>
      <c r="BM276" s="17" t="n">
        <v>8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8" t="n">
        <v>0</v>
      </c>
      <c r="BU276" s="17" t="inlineStr">
        <is>
          <t>Unclassified</t>
        </is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0</v>
      </c>
      <c r="J277" s="17" t="n">
        <v>180</v>
      </c>
      <c r="K277" s="17" t="n">
        <v>0</v>
      </c>
      <c r="L277" s="17" t="n">
        <v>0</v>
      </c>
      <c r="M277" s="17" t="n">
        <v>0</v>
      </c>
      <c r="N277" s="17" t="n">
        <v>90</v>
      </c>
      <c r="O277" s="17" t="n">
        <v>0</v>
      </c>
      <c r="P277" s="17" t="n">
        <v>0</v>
      </c>
      <c r="Q277" s="18" t="n">
        <v>0</v>
      </c>
      <c r="R277" s="16" t="n">
        <v>0.27</v>
      </c>
      <c r="S277" s="17" t="n">
        <v>0</v>
      </c>
      <c r="T277" s="17" t="n">
        <v>0</v>
      </c>
      <c r="U277" s="17" t="n">
        <v>0.18</v>
      </c>
      <c r="V277" s="17" t="n">
        <v>0</v>
      </c>
      <c r="W277" s="17" t="n">
        <v>0</v>
      </c>
      <c r="X277" s="17" t="n">
        <v>0</v>
      </c>
      <c r="Y277" s="17" t="n">
        <v>0.09</v>
      </c>
      <c r="Z277" s="17" t="n">
        <v>0</v>
      </c>
      <c r="AA277" s="17" t="n">
        <v>0</v>
      </c>
      <c r="AB277" s="18" t="n">
        <v>0</v>
      </c>
      <c r="AC277" s="16" t="n">
        <v>-0.27</v>
      </c>
      <c r="AD277" s="17" t="n">
        <v>0</v>
      </c>
      <c r="AE277" s="17" t="n">
        <v>0</v>
      </c>
      <c r="AF277" s="17" t="n">
        <v>-0.18</v>
      </c>
      <c r="AG277" s="17" t="n">
        <v>0</v>
      </c>
      <c r="AH277" s="17" t="n">
        <v>0</v>
      </c>
      <c r="AI277" s="17" t="n">
        <v>0</v>
      </c>
      <c r="AJ277" s="17" t="n">
        <v>-0.09</v>
      </c>
      <c r="AK277" s="17" t="n">
        <v>0</v>
      </c>
      <c r="AL277" s="17" t="n">
        <v>0</v>
      </c>
      <c r="AM277" s="18" t="n">
        <v>0</v>
      </c>
      <c r="AN277" s="16" t="n">
        <v>38</v>
      </c>
      <c r="AO277" s="17" t="n">
        <v>0</v>
      </c>
      <c r="AP277" s="17" t="n">
        <v>0</v>
      </c>
      <c r="AQ277" s="17" t="n">
        <v>20</v>
      </c>
      <c r="AR277" s="17" t="n">
        <v>0</v>
      </c>
      <c r="AS277" s="17" t="n">
        <v>0</v>
      </c>
      <c r="AT277" s="17" t="n">
        <v>0</v>
      </c>
      <c r="AU277" s="17" t="n">
        <v>17</v>
      </c>
      <c r="AV277" s="17" t="n">
        <v>0</v>
      </c>
      <c r="AW277" s="17" t="n">
        <v>0</v>
      </c>
      <c r="AX277" s="18" t="n">
        <v>0</v>
      </c>
      <c r="AY277" s="16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8" t="n">
        <v>0</v>
      </c>
      <c r="BJ277" s="16" t="n">
        <v>38</v>
      </c>
      <c r="BK277" s="17" t="n">
        <v>0</v>
      </c>
      <c r="BL277" s="17" t="n">
        <v>0</v>
      </c>
      <c r="BM277" s="17" t="n">
        <v>20</v>
      </c>
      <c r="BN277" s="17" t="n">
        <v>0</v>
      </c>
      <c r="BO277" s="17" t="n">
        <v>0</v>
      </c>
      <c r="BP277" s="17" t="n">
        <v>0</v>
      </c>
      <c r="BQ277" s="17" t="n">
        <v>17</v>
      </c>
      <c r="BR277" s="17" t="n">
        <v>0</v>
      </c>
      <c r="BS277" s="17" t="n">
        <v>0</v>
      </c>
      <c r="BT277" s="18" t="n">
        <v>0</v>
      </c>
      <c r="BU277" s="17" t="inlineStr">
        <is>
          <t>Unclassified</t>
        </is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60</v>
      </c>
      <c r="O278" s="17" t="n">
        <v>0</v>
      </c>
      <c r="P278" s="17" t="n">
        <v>0</v>
      </c>
      <c r="Q278" s="18" t="n">
        <v>0</v>
      </c>
      <c r="R278" s="16" t="n">
        <v>0.06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0.06</v>
      </c>
      <c r="Z278" s="17" t="n">
        <v>0</v>
      </c>
      <c r="AA278" s="17" t="n">
        <v>0</v>
      </c>
      <c r="AB278" s="18" t="n">
        <v>0</v>
      </c>
      <c r="AC278" s="16" t="n">
        <v>-0.06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-0.06</v>
      </c>
      <c r="AK278" s="17" t="n">
        <v>0</v>
      </c>
      <c r="AL278" s="17" t="n">
        <v>0</v>
      </c>
      <c r="AM278" s="18" t="n">
        <v>0</v>
      </c>
      <c r="AN278" s="16" t="n">
        <v>13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13</v>
      </c>
      <c r="AV278" s="17" t="n">
        <v>0</v>
      </c>
      <c r="AW278" s="17" t="n">
        <v>0</v>
      </c>
      <c r="AX278" s="18" t="n">
        <v>0</v>
      </c>
      <c r="AY278" s="16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8" t="n">
        <v>0</v>
      </c>
      <c r="BJ278" s="16" t="n">
        <v>13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13</v>
      </c>
      <c r="BR278" s="17" t="n">
        <v>0</v>
      </c>
      <c r="BS278" s="17" t="n">
        <v>0</v>
      </c>
      <c r="BT278" s="18" t="n">
        <v>0</v>
      </c>
      <c r="BU278" s="17" t="inlineStr">
        <is>
          <t>Unclassified</t>
        </is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0</v>
      </c>
      <c r="J279" s="17" t="n">
        <v>30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8" t="n">
        <v>0</v>
      </c>
      <c r="R279" s="16" t="n">
        <v>0.3</v>
      </c>
      <c r="S279" s="17" t="n">
        <v>0</v>
      </c>
      <c r="T279" s="17" t="n">
        <v>0</v>
      </c>
      <c r="U279" s="17" t="n">
        <v>0.3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8" t="n">
        <v>0</v>
      </c>
      <c r="AC279" s="16" t="n">
        <v>1.7</v>
      </c>
      <c r="AD279" s="17" t="n">
        <v>2</v>
      </c>
      <c r="AE279" s="17" t="n">
        <v>2</v>
      </c>
      <c r="AF279" s="17" t="n">
        <v>1.7</v>
      </c>
      <c r="AG279" s="17" t="n">
        <v>2</v>
      </c>
      <c r="AH279" s="17" t="n">
        <v>2</v>
      </c>
      <c r="AI279" s="17" t="n">
        <v>2</v>
      </c>
      <c r="AJ279" s="17" t="n">
        <v>2</v>
      </c>
      <c r="AK279" s="17" t="n">
        <v>2</v>
      </c>
      <c r="AL279" s="17" t="n">
        <v>2</v>
      </c>
      <c r="AM279" s="18" t="n">
        <v>2</v>
      </c>
      <c r="AN279" s="16" t="n">
        <v>3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8" t="n">
        <v>0</v>
      </c>
      <c r="AY279" s="16" t="n">
        <v>1</v>
      </c>
      <c r="AZ279" s="17" t="n">
        <v>0</v>
      </c>
      <c r="BA279" s="17" t="n">
        <v>0</v>
      </c>
      <c r="BB279" s="17" t="n">
        <v>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8" t="n">
        <v>0</v>
      </c>
      <c r="BJ279" s="16" t="n">
        <v>2</v>
      </c>
      <c r="BK279" s="17" t="n">
        <v>0</v>
      </c>
      <c r="BL279" s="17" t="n">
        <v>0</v>
      </c>
      <c r="BM279" s="17" t="n">
        <v>-1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8" t="n">
        <v>0</v>
      </c>
      <c r="BU279" s="17" t="inlineStr">
        <is>
          <t>Generic Drug</t>
        </is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0</v>
      </c>
      <c r="J280" s="17" t="n">
        <v>2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8" t="n">
        <v>0</v>
      </c>
      <c r="R280" s="16" t="n">
        <v>1</v>
      </c>
      <c r="S280" s="17" t="n">
        <v>0</v>
      </c>
      <c r="T280" s="17" t="n">
        <v>0</v>
      </c>
      <c r="U280" s="17" t="n">
        <v>1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8" t="n">
        <v>0</v>
      </c>
      <c r="AC280" s="16" t="n">
        <v>-1</v>
      </c>
      <c r="AD280" s="17" t="n">
        <v>0</v>
      </c>
      <c r="AE280" s="17" t="n">
        <v>0</v>
      </c>
      <c r="AF280" s="17" t="n">
        <v>-1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8" t="n">
        <v>0</v>
      </c>
      <c r="AN280" s="16" t="n">
        <v>144</v>
      </c>
      <c r="AO280" s="17" t="n">
        <v>0</v>
      </c>
      <c r="AP280" s="17" t="n">
        <v>0</v>
      </c>
      <c r="AQ280" s="17" t="n">
        <v>144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8" t="n">
        <v>0</v>
      </c>
      <c r="AY280" s="16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8" t="n">
        <v>0</v>
      </c>
      <c r="BJ280" s="16" t="n">
        <v>144</v>
      </c>
      <c r="BK280" s="17" t="n">
        <v>0</v>
      </c>
      <c r="BL280" s="17" t="n">
        <v>0</v>
      </c>
      <c r="BM280" s="17" t="n">
        <v>144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8" t="n">
        <v>0</v>
      </c>
      <c r="BU280" s="17" t="inlineStr">
        <is>
          <t>Unclassified</t>
        </is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0</v>
      </c>
      <c r="J281" s="17" t="n">
        <v>2</v>
      </c>
      <c r="K281" s="17" t="n">
        <v>4</v>
      </c>
      <c r="L281" s="17" t="n">
        <v>0</v>
      </c>
      <c r="M281" s="17" t="n">
        <v>0</v>
      </c>
      <c r="N281" s="17" t="n">
        <v>2</v>
      </c>
      <c r="O281" s="17" t="n">
        <v>0</v>
      </c>
      <c r="P281" s="17" t="n">
        <v>0</v>
      </c>
      <c r="Q281" s="18" t="n">
        <v>0</v>
      </c>
      <c r="R281" s="16" t="n">
        <v>4</v>
      </c>
      <c r="S281" s="17" t="n">
        <v>0</v>
      </c>
      <c r="T281" s="17" t="n">
        <v>0</v>
      </c>
      <c r="U281" s="17" t="n">
        <v>1</v>
      </c>
      <c r="V281" s="17" t="n">
        <v>2</v>
      </c>
      <c r="W281" s="17" t="n">
        <v>0</v>
      </c>
      <c r="X281" s="17" t="n">
        <v>0</v>
      </c>
      <c r="Y281" s="17" t="n">
        <v>1</v>
      </c>
      <c r="Z281" s="17" t="n">
        <v>0</v>
      </c>
      <c r="AA281" s="17" t="n">
        <v>0</v>
      </c>
      <c r="AB281" s="18" t="n">
        <v>0</v>
      </c>
      <c r="AC281" s="16" t="n">
        <v>-4</v>
      </c>
      <c r="AD281" s="17" t="n">
        <v>0</v>
      </c>
      <c r="AE281" s="17" t="n">
        <v>0</v>
      </c>
      <c r="AF281" s="17" t="n">
        <v>-1</v>
      </c>
      <c r="AG281" s="17" t="n">
        <v>-2</v>
      </c>
      <c r="AH281" s="17" t="n">
        <v>0</v>
      </c>
      <c r="AI281" s="17" t="n">
        <v>0</v>
      </c>
      <c r="AJ281" s="17" t="n">
        <v>-1</v>
      </c>
      <c r="AK281" s="17" t="n">
        <v>0</v>
      </c>
      <c r="AL281" s="17" t="n">
        <v>0</v>
      </c>
      <c r="AM281" s="18" t="n">
        <v>0</v>
      </c>
      <c r="AN281" s="16" t="n">
        <v>1272</v>
      </c>
      <c r="AO281" s="17" t="n">
        <v>0</v>
      </c>
      <c r="AP281" s="17" t="n">
        <v>0</v>
      </c>
      <c r="AQ281" s="17" t="n">
        <v>390</v>
      </c>
      <c r="AR281" s="17" t="n">
        <v>583</v>
      </c>
      <c r="AS281" s="17" t="n">
        <v>0</v>
      </c>
      <c r="AT281" s="17" t="n">
        <v>0</v>
      </c>
      <c r="AU281" s="17" t="n">
        <v>278</v>
      </c>
      <c r="AV281" s="17" t="n">
        <v>0</v>
      </c>
      <c r="AW281" s="17" t="n">
        <v>0</v>
      </c>
      <c r="AX281" s="18" t="n">
        <v>0</v>
      </c>
      <c r="AY281" s="16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8" t="n">
        <v>0</v>
      </c>
      <c r="BJ281" s="16" t="n">
        <v>1272</v>
      </c>
      <c r="BK281" s="17" t="n">
        <v>0</v>
      </c>
      <c r="BL281" s="17" t="n">
        <v>0</v>
      </c>
      <c r="BM281" s="17" t="n">
        <v>390</v>
      </c>
      <c r="BN281" s="17" t="n">
        <v>583</v>
      </c>
      <c r="BO281" s="17" t="n">
        <v>0</v>
      </c>
      <c r="BP281" s="17" t="n">
        <v>0</v>
      </c>
      <c r="BQ281" s="17" t="n">
        <v>278</v>
      </c>
      <c r="BR281" s="17" t="n">
        <v>0</v>
      </c>
      <c r="BS281" s="17" t="n">
        <v>0</v>
      </c>
      <c r="BT281" s="18" t="n">
        <v>0</v>
      </c>
      <c r="BU281" s="17" t="inlineStr">
        <is>
          <t>Unclassified</t>
        </is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6</v>
      </c>
      <c r="O282" s="17" t="n">
        <v>0</v>
      </c>
      <c r="P282" s="17" t="n">
        <v>0</v>
      </c>
      <c r="Q282" s="18" t="n">
        <v>0</v>
      </c>
      <c r="R282" s="16" t="n">
        <v>3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3</v>
      </c>
      <c r="Z282" s="17" t="n">
        <v>0</v>
      </c>
      <c r="AA282" s="17" t="n">
        <v>0</v>
      </c>
      <c r="AB282" s="18" t="n">
        <v>0</v>
      </c>
      <c r="AC282" s="16" t="n">
        <v>-3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-3</v>
      </c>
      <c r="AK282" s="17" t="n">
        <v>0</v>
      </c>
      <c r="AL282" s="17" t="n">
        <v>0</v>
      </c>
      <c r="AM282" s="18" t="n">
        <v>0</v>
      </c>
      <c r="AN282" s="16" t="n">
        <v>689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688</v>
      </c>
      <c r="AV282" s="17" t="n">
        <v>0</v>
      </c>
      <c r="AW282" s="17" t="n">
        <v>0</v>
      </c>
      <c r="AX282" s="18" t="n">
        <v>0</v>
      </c>
      <c r="AY282" s="16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8" t="n">
        <v>0</v>
      </c>
      <c r="BJ282" s="16" t="n">
        <v>689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688</v>
      </c>
      <c r="BR282" s="17" t="n">
        <v>0</v>
      </c>
      <c r="BS282" s="17" t="n">
        <v>0</v>
      </c>
      <c r="BT282" s="18" t="n">
        <v>0</v>
      </c>
      <c r="BU282" s="17" t="inlineStr">
        <is>
          <t>Unclassified</t>
        </is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8" t="n">
        <v>0</v>
      </c>
      <c r="R283" s="16" t="n">
        <v>1</v>
      </c>
      <c r="S283" s="17" t="n">
        <v>0</v>
      </c>
      <c r="T283" s="17" t="n">
        <v>0</v>
      </c>
      <c r="U283" s="17" t="n">
        <v>1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8" t="n">
        <v>0</v>
      </c>
      <c r="AC283" s="16" t="n">
        <v>-1</v>
      </c>
      <c r="AD283" s="17" t="n">
        <v>0</v>
      </c>
      <c r="AE283" s="17" t="n">
        <v>0</v>
      </c>
      <c r="AF283" s="17" t="n">
        <v>-1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8" t="n">
        <v>0</v>
      </c>
      <c r="AN283" s="16" t="n">
        <v>23</v>
      </c>
      <c r="AO283" s="17" t="n">
        <v>0</v>
      </c>
      <c r="AP283" s="17" t="n">
        <v>0</v>
      </c>
      <c r="AQ283" s="17" t="n">
        <v>23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8" t="n">
        <v>0</v>
      </c>
      <c r="AY283" s="16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8" t="n">
        <v>0</v>
      </c>
      <c r="BJ283" s="16" t="n">
        <v>23</v>
      </c>
      <c r="BK283" s="17" t="n">
        <v>0</v>
      </c>
      <c r="BL283" s="17" t="n">
        <v>0</v>
      </c>
      <c r="BM283" s="17" t="n">
        <v>23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8" t="n">
        <v>0</v>
      </c>
      <c r="BU283" s="17" t="inlineStr">
        <is>
          <t>Unclassified</t>
        </is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0</v>
      </c>
      <c r="J284" s="17" t="n">
        <v>3.5</v>
      </c>
      <c r="K284" s="17" t="n">
        <v>0</v>
      </c>
      <c r="L284" s="17" t="n">
        <v>0</v>
      </c>
      <c r="M284" s="17" t="n">
        <v>0</v>
      </c>
      <c r="N284" s="17" t="n">
        <v>3.5</v>
      </c>
      <c r="O284" s="17" t="n">
        <v>0</v>
      </c>
      <c r="P284" s="17" t="n">
        <v>0</v>
      </c>
      <c r="Q284" s="18" t="n">
        <v>0</v>
      </c>
      <c r="R284" s="16" t="n">
        <v>2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7" t="n">
        <v>0</v>
      </c>
      <c r="Y284" s="17" t="n">
        <v>1</v>
      </c>
      <c r="Z284" s="17" t="n">
        <v>0</v>
      </c>
      <c r="AA284" s="17" t="n">
        <v>0</v>
      </c>
      <c r="AB284" s="18" t="n">
        <v>0</v>
      </c>
      <c r="AC284" s="16" t="n">
        <v>-2</v>
      </c>
      <c r="AD284" s="17" t="n">
        <v>0</v>
      </c>
      <c r="AE284" s="17" t="n">
        <v>0</v>
      </c>
      <c r="AF284" s="17" t="n">
        <v>-1</v>
      </c>
      <c r="AG284" s="17" t="n">
        <v>0</v>
      </c>
      <c r="AH284" s="17" t="n">
        <v>0</v>
      </c>
      <c r="AI284" s="17" t="n">
        <v>0</v>
      </c>
      <c r="AJ284" s="17" t="n">
        <v>-1</v>
      </c>
      <c r="AK284" s="17" t="n">
        <v>0</v>
      </c>
      <c r="AL284" s="17" t="n">
        <v>0</v>
      </c>
      <c r="AM284" s="18" t="n">
        <v>0</v>
      </c>
      <c r="AN284" s="16" t="n">
        <v>29</v>
      </c>
      <c r="AO284" s="17" t="n">
        <v>0</v>
      </c>
      <c r="AP284" s="17" t="n">
        <v>0</v>
      </c>
      <c r="AQ284" s="17" t="n">
        <v>8</v>
      </c>
      <c r="AR284" s="17" t="n">
        <v>0</v>
      </c>
      <c r="AS284" s="17" t="n">
        <v>0</v>
      </c>
      <c r="AT284" s="17" t="n">
        <v>0</v>
      </c>
      <c r="AU284" s="17" t="n">
        <v>21</v>
      </c>
      <c r="AV284" s="17" t="n">
        <v>0</v>
      </c>
      <c r="AW284" s="17" t="n">
        <v>0</v>
      </c>
      <c r="AX284" s="18" t="n">
        <v>0</v>
      </c>
      <c r="AY284" s="16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8" t="n">
        <v>0</v>
      </c>
      <c r="BJ284" s="16" t="n">
        <v>29</v>
      </c>
      <c r="BK284" s="17" t="n">
        <v>0</v>
      </c>
      <c r="BL284" s="17" t="n">
        <v>0</v>
      </c>
      <c r="BM284" s="17" t="n">
        <v>8</v>
      </c>
      <c r="BN284" s="17" t="n">
        <v>0</v>
      </c>
      <c r="BO284" s="17" t="n">
        <v>0</v>
      </c>
      <c r="BP284" s="17" t="n">
        <v>0</v>
      </c>
      <c r="BQ284" s="17" t="n">
        <v>21</v>
      </c>
      <c r="BR284" s="17" t="n">
        <v>0</v>
      </c>
      <c r="BS284" s="17" t="n">
        <v>0</v>
      </c>
      <c r="BT284" s="18" t="n">
        <v>0</v>
      </c>
      <c r="BU284" s="17" t="inlineStr">
        <is>
          <t>Unclassified</t>
        </is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0</v>
      </c>
      <c r="J285" s="17" t="n">
        <v>240</v>
      </c>
      <c r="K285" s="17" t="n">
        <v>60</v>
      </c>
      <c r="L285" s="17" t="n">
        <v>0</v>
      </c>
      <c r="M285" s="17" t="n">
        <v>0</v>
      </c>
      <c r="N285" s="17" t="n">
        <v>135</v>
      </c>
      <c r="O285" s="17" t="n">
        <v>0</v>
      </c>
      <c r="P285" s="17" t="n">
        <v>0</v>
      </c>
      <c r="Q285" s="18" t="n">
        <v>0</v>
      </c>
      <c r="R285" s="16" t="n">
        <v>0.435</v>
      </c>
      <c r="S285" s="17" t="n">
        <v>0</v>
      </c>
      <c r="T285" s="17" t="n">
        <v>0</v>
      </c>
      <c r="U285" s="17" t="n">
        <v>0.24</v>
      </c>
      <c r="V285" s="17" t="n">
        <v>0.06</v>
      </c>
      <c r="W285" s="17" t="n">
        <v>0</v>
      </c>
      <c r="X285" s="17" t="n">
        <v>0</v>
      </c>
      <c r="Y285" s="17" t="n">
        <v>0.135</v>
      </c>
      <c r="Z285" s="17" t="n">
        <v>0</v>
      </c>
      <c r="AA285" s="17" t="n">
        <v>0</v>
      </c>
      <c r="AB285" s="18" t="n">
        <v>0</v>
      </c>
      <c r="AC285" s="16" t="n">
        <v>-0.435</v>
      </c>
      <c r="AD285" s="17" t="n">
        <v>0</v>
      </c>
      <c r="AE285" s="17" t="n">
        <v>0</v>
      </c>
      <c r="AF285" s="17" t="n">
        <v>-0.24</v>
      </c>
      <c r="AG285" s="17" t="n">
        <v>-0.06</v>
      </c>
      <c r="AH285" s="17" t="n">
        <v>0</v>
      </c>
      <c r="AI285" s="17" t="n">
        <v>0</v>
      </c>
      <c r="AJ285" s="17" t="n">
        <v>-0.135</v>
      </c>
      <c r="AK285" s="17" t="n">
        <v>0</v>
      </c>
      <c r="AL285" s="17" t="n">
        <v>0</v>
      </c>
      <c r="AM285" s="18" t="n">
        <v>0</v>
      </c>
      <c r="AN285" s="16" t="n">
        <v>55</v>
      </c>
      <c r="AO285" s="17" t="n">
        <v>0</v>
      </c>
      <c r="AP285" s="17" t="n">
        <v>0</v>
      </c>
      <c r="AQ285" s="17" t="n">
        <v>3</v>
      </c>
      <c r="AR285" s="17" t="n">
        <v>2</v>
      </c>
      <c r="AS285" s="17" t="n">
        <v>0</v>
      </c>
      <c r="AT285" s="17" t="n">
        <v>0</v>
      </c>
      <c r="AU285" s="17" t="n">
        <v>45</v>
      </c>
      <c r="AV285" s="17" t="n">
        <v>0</v>
      </c>
      <c r="AW285" s="17" t="n">
        <v>0</v>
      </c>
      <c r="AX285" s="18" t="n">
        <v>0</v>
      </c>
      <c r="AY285" s="16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8" t="n">
        <v>0</v>
      </c>
      <c r="BJ285" s="16" t="n">
        <v>55</v>
      </c>
      <c r="BK285" s="17" t="n">
        <v>0</v>
      </c>
      <c r="BL285" s="17" t="n">
        <v>0</v>
      </c>
      <c r="BM285" s="17" t="n">
        <v>3</v>
      </c>
      <c r="BN285" s="17" t="n">
        <v>2</v>
      </c>
      <c r="BO285" s="17" t="n">
        <v>0</v>
      </c>
      <c r="BP285" s="17" t="n">
        <v>0</v>
      </c>
      <c r="BQ285" s="17" t="n">
        <v>45</v>
      </c>
      <c r="BR285" s="17" t="n">
        <v>0</v>
      </c>
      <c r="BS285" s="17" t="n">
        <v>0</v>
      </c>
      <c r="BT285" s="18" t="n">
        <v>0</v>
      </c>
      <c r="BU285" s="17" t="inlineStr">
        <is>
          <t>Unclassified</t>
        </is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0</v>
      </c>
      <c r="J286" s="17" t="n">
        <v>90</v>
      </c>
      <c r="K286" s="17" t="n">
        <v>0</v>
      </c>
      <c r="L286" s="17" t="n">
        <v>0</v>
      </c>
      <c r="M286" s="17" t="n">
        <v>0</v>
      </c>
      <c r="N286" s="17" t="n">
        <v>135</v>
      </c>
      <c r="O286" s="17" t="n">
        <v>30</v>
      </c>
      <c r="P286" s="17" t="n">
        <v>0</v>
      </c>
      <c r="Q286" s="18" t="n">
        <v>0</v>
      </c>
      <c r="R286" s="16" t="n">
        <v>0.255</v>
      </c>
      <c r="S286" s="17" t="n">
        <v>0</v>
      </c>
      <c r="T286" s="17" t="n">
        <v>0</v>
      </c>
      <c r="U286" s="17" t="n">
        <v>0.09</v>
      </c>
      <c r="V286" s="17" t="n">
        <v>0</v>
      </c>
      <c r="W286" s="17" t="n">
        <v>0</v>
      </c>
      <c r="X286" s="17" t="n">
        <v>0</v>
      </c>
      <c r="Y286" s="17" t="n">
        <v>0.135</v>
      </c>
      <c r="Z286" s="17" t="n">
        <v>0.03</v>
      </c>
      <c r="AA286" s="17" t="n">
        <v>0</v>
      </c>
      <c r="AB286" s="18" t="n">
        <v>0</v>
      </c>
      <c r="AC286" s="16" t="n">
        <v>-0.255</v>
      </c>
      <c r="AD286" s="17" t="n">
        <v>0</v>
      </c>
      <c r="AE286" s="17" t="n">
        <v>0</v>
      </c>
      <c r="AF286" s="17" t="n">
        <v>-0.09</v>
      </c>
      <c r="AG286" s="17" t="n">
        <v>0</v>
      </c>
      <c r="AH286" s="17" t="n">
        <v>0</v>
      </c>
      <c r="AI286" s="17" t="n">
        <v>0</v>
      </c>
      <c r="AJ286" s="17" t="n">
        <v>-0.135</v>
      </c>
      <c r="AK286" s="17" t="n">
        <v>-0.03</v>
      </c>
      <c r="AL286" s="17" t="n">
        <v>0</v>
      </c>
      <c r="AM286" s="18" t="n">
        <v>0</v>
      </c>
      <c r="AN286" s="16" t="n">
        <v>67</v>
      </c>
      <c r="AO286" s="17" t="n">
        <v>0</v>
      </c>
      <c r="AP286" s="17" t="n">
        <v>0</v>
      </c>
      <c r="AQ286" s="17" t="n">
        <v>5</v>
      </c>
      <c r="AR286" s="17" t="n">
        <v>0</v>
      </c>
      <c r="AS286" s="17" t="n">
        <v>0</v>
      </c>
      <c r="AT286" s="17" t="n">
        <v>0</v>
      </c>
      <c r="AU286" s="17" t="n">
        <v>59</v>
      </c>
      <c r="AV286" s="17" t="n">
        <v>0</v>
      </c>
      <c r="AW286" s="17" t="n">
        <v>0</v>
      </c>
      <c r="AX286" s="18" t="n">
        <v>0</v>
      </c>
      <c r="AY286" s="16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8" t="n">
        <v>0</v>
      </c>
      <c r="BJ286" s="16" t="n">
        <v>67</v>
      </c>
      <c r="BK286" s="17" t="n">
        <v>0</v>
      </c>
      <c r="BL286" s="17" t="n">
        <v>0</v>
      </c>
      <c r="BM286" s="17" t="n">
        <v>5</v>
      </c>
      <c r="BN286" s="17" t="n">
        <v>0</v>
      </c>
      <c r="BO286" s="17" t="n">
        <v>0</v>
      </c>
      <c r="BP286" s="17" t="n">
        <v>0</v>
      </c>
      <c r="BQ286" s="17" t="n">
        <v>59</v>
      </c>
      <c r="BR286" s="17" t="n">
        <v>0</v>
      </c>
      <c r="BS286" s="17" t="n">
        <v>0</v>
      </c>
      <c r="BT286" s="18" t="n">
        <v>0</v>
      </c>
      <c r="BU286" s="17" t="inlineStr">
        <is>
          <t>Unclassified</t>
        </is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0</v>
      </c>
      <c r="J287" s="17" t="n">
        <v>14</v>
      </c>
      <c r="K287" s="17" t="n">
        <v>30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8" t="n">
        <v>0</v>
      </c>
      <c r="R287" s="16" t="n">
        <v>0.044</v>
      </c>
      <c r="S287" s="17" t="n">
        <v>0</v>
      </c>
      <c r="T287" s="17" t="n">
        <v>0</v>
      </c>
      <c r="U287" s="17" t="n">
        <v>0.014</v>
      </c>
      <c r="V287" s="17" t="n">
        <v>0.03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8" t="n">
        <v>0</v>
      </c>
      <c r="AC287" s="16" t="n">
        <v>-0.044</v>
      </c>
      <c r="AD287" s="17" t="n">
        <v>0</v>
      </c>
      <c r="AE287" s="17" t="n">
        <v>0</v>
      </c>
      <c r="AF287" s="17" t="n">
        <v>-0.014</v>
      </c>
      <c r="AG287" s="17" t="n">
        <v>-0.03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8" t="n">
        <v>0</v>
      </c>
      <c r="AN287" s="16" t="n">
        <v>3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8" t="n">
        <v>0</v>
      </c>
      <c r="AY287" s="16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8" t="n">
        <v>0</v>
      </c>
      <c r="BJ287" s="16" t="n">
        <v>3</v>
      </c>
      <c r="BK287" s="17" t="n">
        <v>0</v>
      </c>
      <c r="BL287" s="17" t="n">
        <v>0</v>
      </c>
      <c r="BM287" s="17" t="n">
        <v>0</v>
      </c>
      <c r="BN287" s="17" t="n">
        <v>2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8" t="n">
        <v>0</v>
      </c>
      <c r="BU287" s="17" t="inlineStr">
        <is>
          <t>Unclassified</t>
        </is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0</v>
      </c>
      <c r="J288" s="17" t="n">
        <v>30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8" t="n">
        <v>0</v>
      </c>
      <c r="R288" s="16" t="n">
        <v>0.333</v>
      </c>
      <c r="S288" s="17" t="n">
        <v>0</v>
      </c>
      <c r="T288" s="17" t="n">
        <v>0</v>
      </c>
      <c r="U288" s="17" t="n">
        <v>0.333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8" t="n">
        <v>0</v>
      </c>
      <c r="AC288" s="16" t="n">
        <v>-0.333</v>
      </c>
      <c r="AD288" s="17" t="n">
        <v>0</v>
      </c>
      <c r="AE288" s="17" t="n">
        <v>0</v>
      </c>
      <c r="AF288" s="17" t="n">
        <v>-0.333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8" t="n">
        <v>0</v>
      </c>
      <c r="AN288" s="16" t="n">
        <v>6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8" t="n">
        <v>0</v>
      </c>
      <c r="AY288" s="16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8" t="n">
        <v>0</v>
      </c>
      <c r="BJ288" s="16" t="n">
        <v>6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8" t="n">
        <v>0</v>
      </c>
      <c r="BU288" s="17" t="inlineStr">
        <is>
          <t>Unclassified</t>
        </is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0</v>
      </c>
      <c r="J289" s="17" t="n">
        <v>60</v>
      </c>
      <c r="K289" s="17" t="n">
        <v>0</v>
      </c>
      <c r="L289" s="17" t="n">
        <v>0</v>
      </c>
      <c r="M289" s="17" t="n">
        <v>0</v>
      </c>
      <c r="N289" s="17" t="n">
        <v>150</v>
      </c>
      <c r="O289" s="17" t="n">
        <v>0</v>
      </c>
      <c r="P289" s="17" t="n">
        <v>0</v>
      </c>
      <c r="Q289" s="18" t="n">
        <v>0</v>
      </c>
      <c r="R289" s="16" t="n">
        <v>2.333</v>
      </c>
      <c r="S289" s="17" t="n">
        <v>0</v>
      </c>
      <c r="T289" s="17" t="n">
        <v>0</v>
      </c>
      <c r="U289" s="17" t="n">
        <v>0.667</v>
      </c>
      <c r="V289" s="17" t="n">
        <v>0</v>
      </c>
      <c r="W289" s="17" t="n">
        <v>0</v>
      </c>
      <c r="X289" s="17" t="n">
        <v>0</v>
      </c>
      <c r="Y289" s="17" t="n">
        <v>1.667</v>
      </c>
      <c r="Z289" s="17" t="n">
        <v>0</v>
      </c>
      <c r="AA289" s="17" t="n">
        <v>0</v>
      </c>
      <c r="AB289" s="18" t="n">
        <v>0</v>
      </c>
      <c r="AC289" s="16" t="n">
        <v>-2.333</v>
      </c>
      <c r="AD289" s="17" t="n">
        <v>0</v>
      </c>
      <c r="AE289" s="17" t="n">
        <v>0</v>
      </c>
      <c r="AF289" s="17" t="n">
        <v>-0.667</v>
      </c>
      <c r="AG289" s="17" t="n">
        <v>0</v>
      </c>
      <c r="AH289" s="17" t="n">
        <v>0</v>
      </c>
      <c r="AI289" s="17" t="n">
        <v>0</v>
      </c>
      <c r="AJ289" s="17" t="n">
        <v>-1.667</v>
      </c>
      <c r="AK289" s="17" t="n">
        <v>0</v>
      </c>
      <c r="AL289" s="17" t="n">
        <v>0</v>
      </c>
      <c r="AM289" s="18" t="n">
        <v>0</v>
      </c>
      <c r="AN289" s="16" t="n">
        <v>47</v>
      </c>
      <c r="AO289" s="17" t="n">
        <v>0</v>
      </c>
      <c r="AP289" s="17" t="n">
        <v>0</v>
      </c>
      <c r="AQ289" s="17" t="n">
        <v>4</v>
      </c>
      <c r="AR289" s="17" t="n">
        <v>0</v>
      </c>
      <c r="AS289" s="17" t="n">
        <v>0</v>
      </c>
      <c r="AT289" s="17" t="n">
        <v>0</v>
      </c>
      <c r="AU289" s="17" t="n">
        <v>42</v>
      </c>
      <c r="AV289" s="17" t="n">
        <v>0</v>
      </c>
      <c r="AW289" s="17" t="n">
        <v>0</v>
      </c>
      <c r="AX289" s="18" t="n">
        <v>0</v>
      </c>
      <c r="AY289" s="16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8" t="n">
        <v>0</v>
      </c>
      <c r="BJ289" s="16" t="n">
        <v>47</v>
      </c>
      <c r="BK289" s="17" t="n">
        <v>0</v>
      </c>
      <c r="BL289" s="17" t="n">
        <v>0</v>
      </c>
      <c r="BM289" s="17" t="n">
        <v>4</v>
      </c>
      <c r="BN289" s="17" t="n">
        <v>0</v>
      </c>
      <c r="BO289" s="17" t="n">
        <v>0</v>
      </c>
      <c r="BP289" s="17" t="n">
        <v>0</v>
      </c>
      <c r="BQ289" s="17" t="n">
        <v>42</v>
      </c>
      <c r="BR289" s="17" t="n">
        <v>0</v>
      </c>
      <c r="BS289" s="17" t="n">
        <v>0</v>
      </c>
      <c r="BT289" s="18" t="n">
        <v>0</v>
      </c>
      <c r="BU289" s="17" t="inlineStr">
        <is>
          <t>Unclassified</t>
        </is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0</v>
      </c>
      <c r="J290" s="17" t="n">
        <v>4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8" t="n">
        <v>0</v>
      </c>
      <c r="R290" s="16" t="n">
        <v>1</v>
      </c>
      <c r="S290" s="17" t="n">
        <v>0</v>
      </c>
      <c r="T290" s="17" t="n">
        <v>0</v>
      </c>
      <c r="U290" s="17" t="n">
        <v>1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8" t="n">
        <v>0</v>
      </c>
      <c r="AC290" s="16" t="n">
        <v>-1</v>
      </c>
      <c r="AD290" s="17" t="n">
        <v>0</v>
      </c>
      <c r="AE290" s="17" t="n">
        <v>0</v>
      </c>
      <c r="AF290" s="17" t="n">
        <v>-1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8" t="n">
        <v>0</v>
      </c>
      <c r="AN290" s="16" t="n">
        <v>27</v>
      </c>
      <c r="AO290" s="17" t="n">
        <v>0</v>
      </c>
      <c r="AP290" s="17" t="n">
        <v>0</v>
      </c>
      <c r="AQ290" s="17" t="n">
        <v>27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8" t="n">
        <v>0</v>
      </c>
      <c r="AY290" s="16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8" t="n">
        <v>0</v>
      </c>
      <c r="BJ290" s="16" t="n">
        <v>27</v>
      </c>
      <c r="BK290" s="17" t="n">
        <v>0</v>
      </c>
      <c r="BL290" s="17" t="n">
        <v>0</v>
      </c>
      <c r="BM290" s="17" t="n">
        <v>27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8" t="n">
        <v>0</v>
      </c>
      <c r="BU290" s="17" t="inlineStr">
        <is>
          <t>Unclassified</t>
        </is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0</v>
      </c>
      <c r="J291" s="17" t="n">
        <v>4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8" t="n">
        <v>0</v>
      </c>
      <c r="R291" s="16" t="n">
        <v>1</v>
      </c>
      <c r="S291" s="17" t="n">
        <v>0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8" t="n">
        <v>0</v>
      </c>
      <c r="AC291" s="16" t="n">
        <v>1</v>
      </c>
      <c r="AD291" s="17" t="n">
        <v>2</v>
      </c>
      <c r="AE291" s="17" t="n">
        <v>2</v>
      </c>
      <c r="AF291" s="17" t="n">
        <v>1</v>
      </c>
      <c r="AG291" s="17" t="n">
        <v>2</v>
      </c>
      <c r="AH291" s="17" t="n">
        <v>2</v>
      </c>
      <c r="AI291" s="17" t="n">
        <v>2</v>
      </c>
      <c r="AJ291" s="17" t="n">
        <v>2</v>
      </c>
      <c r="AK291" s="17" t="n">
        <v>2</v>
      </c>
      <c r="AL291" s="17" t="n">
        <v>2</v>
      </c>
      <c r="AM291" s="18" t="n">
        <v>2</v>
      </c>
      <c r="AN291" s="16" t="n">
        <v>37</v>
      </c>
      <c r="AO291" s="17" t="n">
        <v>0</v>
      </c>
      <c r="AP291" s="17" t="n">
        <v>0</v>
      </c>
      <c r="AQ291" s="17" t="n">
        <v>36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8" t="n">
        <v>0</v>
      </c>
      <c r="AY291" s="16" t="n">
        <v>64</v>
      </c>
      <c r="AZ291" s="17" t="n">
        <v>0</v>
      </c>
      <c r="BA291" s="17" t="n">
        <v>0</v>
      </c>
      <c r="BB291" s="17" t="n">
        <v>64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8" t="n">
        <v>0</v>
      </c>
      <c r="BJ291" s="16" t="n">
        <v>-27</v>
      </c>
      <c r="BK291" s="17" t="n">
        <v>0</v>
      </c>
      <c r="BL291" s="17" t="n">
        <v>0</v>
      </c>
      <c r="BM291" s="17" t="n">
        <v>-28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8" t="n">
        <v>0</v>
      </c>
      <c r="BU291" s="17" t="inlineStr">
        <is>
          <t>Generic Drug</t>
        </is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0</v>
      </c>
      <c r="J292" s="17" t="n">
        <v>212.5</v>
      </c>
      <c r="K292" s="17" t="n">
        <v>42.5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8" t="n">
        <v>0</v>
      </c>
      <c r="R292" s="16" t="n">
        <v>6</v>
      </c>
      <c r="S292" s="17" t="n">
        <v>0</v>
      </c>
      <c r="T292" s="17" t="n">
        <v>0</v>
      </c>
      <c r="U292" s="17" t="n">
        <v>5</v>
      </c>
      <c r="V292" s="17" t="n">
        <v>1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8" t="n">
        <v>0</v>
      </c>
      <c r="AC292" s="16" t="n">
        <v>-1</v>
      </c>
      <c r="AD292" s="17" t="n">
        <v>5</v>
      </c>
      <c r="AE292" s="17" t="n">
        <v>5</v>
      </c>
      <c r="AF292" s="17" t="n">
        <v>0</v>
      </c>
      <c r="AG292" s="17" t="n">
        <v>4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5</v>
      </c>
      <c r="AM292" s="18" t="n">
        <v>5</v>
      </c>
      <c r="AN292" s="16" t="n">
        <v>157</v>
      </c>
      <c r="AO292" s="17" t="n">
        <v>0</v>
      </c>
      <c r="AP292" s="17" t="n">
        <v>0</v>
      </c>
      <c r="AQ292" s="17" t="n">
        <v>141</v>
      </c>
      <c r="AR292" s="17" t="n">
        <v>8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8" t="n">
        <v>0</v>
      </c>
      <c r="AY292" s="16" t="n">
        <v>102</v>
      </c>
      <c r="AZ292" s="17" t="n">
        <v>0</v>
      </c>
      <c r="BA292" s="17" t="n">
        <v>0</v>
      </c>
      <c r="BB292" s="17" t="n">
        <v>85</v>
      </c>
      <c r="BC292" s="17" t="n">
        <v>17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8" t="n">
        <v>0</v>
      </c>
      <c r="BJ292" s="16" t="n">
        <v>55</v>
      </c>
      <c r="BK292" s="17" t="n">
        <v>0</v>
      </c>
      <c r="BL292" s="17" t="n">
        <v>0</v>
      </c>
      <c r="BM292" s="17" t="n">
        <v>56</v>
      </c>
      <c r="BN292" s="17" t="n">
        <v>-9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8" t="n">
        <v>0</v>
      </c>
      <c r="BU292" s="17" t="inlineStr">
        <is>
          <t>Generic Drug</t>
        </is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42.5</v>
      </c>
      <c r="O293" s="17" t="n">
        <v>0</v>
      </c>
      <c r="P293" s="17" t="n">
        <v>0</v>
      </c>
      <c r="Q293" s="18" t="n">
        <v>0</v>
      </c>
      <c r="R293" s="16" t="n">
        <v>1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1</v>
      </c>
      <c r="Z293" s="17" t="n">
        <v>0</v>
      </c>
      <c r="AA293" s="17" t="n">
        <v>0</v>
      </c>
      <c r="AB293" s="18" t="n">
        <v>0</v>
      </c>
      <c r="AC293" s="16" t="n">
        <v>-1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-1</v>
      </c>
      <c r="AK293" s="17" t="n">
        <v>0</v>
      </c>
      <c r="AL293" s="17" t="n">
        <v>0</v>
      </c>
      <c r="AM293" s="18" t="n">
        <v>0</v>
      </c>
      <c r="AN293" s="16" t="n">
        <v>28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28</v>
      </c>
      <c r="AV293" s="17" t="n">
        <v>0</v>
      </c>
      <c r="AW293" s="17" t="n">
        <v>0</v>
      </c>
      <c r="AX293" s="18" t="n">
        <v>0</v>
      </c>
      <c r="AY293" s="16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8" t="n">
        <v>0</v>
      </c>
      <c r="BJ293" s="16" t="n">
        <v>28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28</v>
      </c>
      <c r="BR293" s="17" t="n">
        <v>0</v>
      </c>
      <c r="BS293" s="17" t="n">
        <v>0</v>
      </c>
      <c r="BT293" s="18" t="n">
        <v>0</v>
      </c>
      <c r="BU293" s="17" t="inlineStr">
        <is>
          <t>Unclassified</t>
        </is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0</v>
      </c>
      <c r="K294" s="17" t="n">
        <v>8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8" t="n">
        <v>0</v>
      </c>
      <c r="R294" s="16" t="n">
        <v>1</v>
      </c>
      <c r="S294" s="17" t="n">
        <v>0</v>
      </c>
      <c r="T294" s="17" t="n">
        <v>0</v>
      </c>
      <c r="U294" s="17" t="n">
        <v>0</v>
      </c>
      <c r="V294" s="17" t="n">
        <v>1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8" t="n">
        <v>0</v>
      </c>
      <c r="AC294" s="16" t="n">
        <v>-1</v>
      </c>
      <c r="AD294" s="17" t="n">
        <v>0</v>
      </c>
      <c r="AE294" s="17" t="n">
        <v>0</v>
      </c>
      <c r="AF294" s="17" t="n">
        <v>0</v>
      </c>
      <c r="AG294" s="17" t="n">
        <v>-1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8" t="n">
        <v>0</v>
      </c>
      <c r="AN294" s="16" t="n">
        <v>28</v>
      </c>
      <c r="AO294" s="17" t="n">
        <v>0</v>
      </c>
      <c r="AP294" s="17" t="n">
        <v>0</v>
      </c>
      <c r="AQ294" s="17" t="n">
        <v>0</v>
      </c>
      <c r="AR294" s="17" t="n">
        <v>23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8" t="n">
        <v>0</v>
      </c>
      <c r="AY294" s="16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8" t="n">
        <v>0</v>
      </c>
      <c r="BJ294" s="16" t="n">
        <v>28</v>
      </c>
      <c r="BK294" s="17" t="n">
        <v>0</v>
      </c>
      <c r="BL294" s="17" t="n">
        <v>0</v>
      </c>
      <c r="BM294" s="17" t="n">
        <v>0</v>
      </c>
      <c r="BN294" s="17" t="n">
        <v>23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8" t="n">
        <v>0</v>
      </c>
      <c r="BU294" s="17" t="inlineStr">
        <is>
          <t>Unclassified</t>
        </is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60</v>
      </c>
      <c r="O295" s="17" t="n">
        <v>0</v>
      </c>
      <c r="P295" s="17" t="n">
        <v>0</v>
      </c>
      <c r="Q295" s="18" t="n">
        <v>0</v>
      </c>
      <c r="R295" s="16" t="n">
        <v>1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8" t="n">
        <v>0</v>
      </c>
      <c r="AC295" s="16" t="n">
        <v>-1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8" t="n">
        <v>0</v>
      </c>
      <c r="AN295" s="16" t="n">
        <v>769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768</v>
      </c>
      <c r="AV295" s="17" t="n">
        <v>0</v>
      </c>
      <c r="AW295" s="17" t="n">
        <v>0</v>
      </c>
      <c r="AX295" s="18" t="n">
        <v>0</v>
      </c>
      <c r="AY295" s="16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8" t="n">
        <v>0</v>
      </c>
      <c r="BJ295" s="16" t="n">
        <v>769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768</v>
      </c>
      <c r="BR295" s="17" t="n">
        <v>0</v>
      </c>
      <c r="BS295" s="17" t="n">
        <v>0</v>
      </c>
      <c r="BT295" s="18" t="n">
        <v>0</v>
      </c>
      <c r="BU295" s="17" t="inlineStr">
        <is>
          <t>Unclassified</t>
        </is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0</v>
      </c>
      <c r="J296" s="17" t="n">
        <v>150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8" t="n">
        <v>0</v>
      </c>
      <c r="R296" s="16" t="n">
        <v>5</v>
      </c>
      <c r="S296" s="17" t="n">
        <v>0</v>
      </c>
      <c r="T296" s="17" t="n">
        <v>0</v>
      </c>
      <c r="U296" s="17" t="n">
        <v>5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8" t="n">
        <v>0</v>
      </c>
      <c r="AC296" s="16" t="n">
        <v>-2</v>
      </c>
      <c r="AD296" s="17" t="n">
        <v>3</v>
      </c>
      <c r="AE296" s="17" t="n">
        <v>3</v>
      </c>
      <c r="AF296" s="17" t="n">
        <v>-2</v>
      </c>
      <c r="AG296" s="17" t="n">
        <v>3</v>
      </c>
      <c r="AH296" s="17" t="n">
        <v>3</v>
      </c>
      <c r="AI296" s="17" t="n">
        <v>3</v>
      </c>
      <c r="AJ296" s="17" t="n">
        <v>3</v>
      </c>
      <c r="AK296" s="17" t="n">
        <v>3</v>
      </c>
      <c r="AL296" s="17" t="n">
        <v>3</v>
      </c>
      <c r="AM296" s="18" t="n">
        <v>3</v>
      </c>
      <c r="AN296" s="16" t="n">
        <v>117</v>
      </c>
      <c r="AO296" s="17" t="n">
        <v>0</v>
      </c>
      <c r="AP296" s="17" t="n">
        <v>0</v>
      </c>
      <c r="AQ296" s="17" t="n">
        <v>115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8" t="n">
        <v>0</v>
      </c>
      <c r="AY296" s="16" t="n">
        <v>55</v>
      </c>
      <c r="AZ296" s="17" t="n">
        <v>0</v>
      </c>
      <c r="BA296" s="17" t="n">
        <v>0</v>
      </c>
      <c r="BB296" s="17" t="n">
        <v>55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8" t="n">
        <v>0</v>
      </c>
      <c r="BJ296" s="16" t="n">
        <v>62</v>
      </c>
      <c r="BK296" s="17" t="n">
        <v>0</v>
      </c>
      <c r="BL296" s="17" t="n">
        <v>0</v>
      </c>
      <c r="BM296" s="17" t="n">
        <v>60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8" t="n">
        <v>0</v>
      </c>
      <c r="BU296" s="17" t="inlineStr">
        <is>
          <t>Generic Drug</t>
        </is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15</v>
      </c>
      <c r="O297" s="17" t="n">
        <v>0</v>
      </c>
      <c r="P297" s="17" t="n">
        <v>0</v>
      </c>
      <c r="Q297" s="18" t="n">
        <v>0</v>
      </c>
      <c r="R297" s="16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3</v>
      </c>
      <c r="Z297" s="17" t="n">
        <v>0</v>
      </c>
      <c r="AA297" s="17" t="n">
        <v>0</v>
      </c>
      <c r="AB297" s="18" t="n">
        <v>0</v>
      </c>
      <c r="AC297" s="16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8" t="n">
        <v>0</v>
      </c>
      <c r="AN297" s="16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73</v>
      </c>
      <c r="AV297" s="17" t="n">
        <v>0</v>
      </c>
      <c r="AW297" s="17" t="n">
        <v>0</v>
      </c>
      <c r="AX297" s="18" t="n">
        <v>0</v>
      </c>
      <c r="AY297" s="16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8" t="n">
        <v>0</v>
      </c>
      <c r="BJ297" s="16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73</v>
      </c>
      <c r="BR297" s="17" t="n">
        <v>0</v>
      </c>
      <c r="BS297" s="17" t="n">
        <v>0</v>
      </c>
      <c r="BT297" s="18" t="n">
        <v>0</v>
      </c>
      <c r="BU297" s="17" t="inlineStr">
        <is>
          <t>Unclassified</t>
        </is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5</v>
      </c>
      <c r="O298" s="17" t="n">
        <v>0</v>
      </c>
      <c r="P298" s="17" t="n">
        <v>0</v>
      </c>
      <c r="Q298" s="18" t="n">
        <v>0</v>
      </c>
      <c r="R298" s="16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1</v>
      </c>
      <c r="Z298" s="17" t="n">
        <v>0</v>
      </c>
      <c r="AA298" s="17" t="n">
        <v>0</v>
      </c>
      <c r="AB298" s="18" t="n">
        <v>0</v>
      </c>
      <c r="AC298" s="16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-1</v>
      </c>
      <c r="AK298" s="17" t="n">
        <v>0</v>
      </c>
      <c r="AL298" s="17" t="n">
        <v>0</v>
      </c>
      <c r="AM298" s="18" t="n">
        <v>0</v>
      </c>
      <c r="AN298" s="16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21</v>
      </c>
      <c r="AV298" s="17" t="n">
        <v>0</v>
      </c>
      <c r="AW298" s="17" t="n">
        <v>0</v>
      </c>
      <c r="AX298" s="18" t="n">
        <v>0</v>
      </c>
      <c r="AY298" s="16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8" t="n">
        <v>0</v>
      </c>
      <c r="BJ298" s="16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21</v>
      </c>
      <c r="BR298" s="17" t="n">
        <v>0</v>
      </c>
      <c r="BS298" s="17" t="n">
        <v>0</v>
      </c>
      <c r="BT298" s="18" t="n">
        <v>0</v>
      </c>
      <c r="BU298" s="17" t="inlineStr">
        <is>
          <t>Unclassified</t>
        </is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0</v>
      </c>
      <c r="J299" s="17" t="n">
        <v>8.300000000000001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8" t="n">
        <v>0</v>
      </c>
      <c r="R299" s="16" t="n">
        <v>1</v>
      </c>
      <c r="S299" s="17" t="n">
        <v>0</v>
      </c>
      <c r="T299" s="17" t="n">
        <v>0</v>
      </c>
      <c r="U299" s="17" t="n">
        <v>1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8" t="n">
        <v>0</v>
      </c>
      <c r="AC299" s="16" t="n">
        <v>-1</v>
      </c>
      <c r="AD299" s="17" t="n">
        <v>0</v>
      </c>
      <c r="AE299" s="17" t="n">
        <v>0</v>
      </c>
      <c r="AF299" s="17" t="n">
        <v>-1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8" t="n">
        <v>0</v>
      </c>
      <c r="AN299" s="16" t="n">
        <v>508</v>
      </c>
      <c r="AO299" s="17" t="n">
        <v>0</v>
      </c>
      <c r="AP299" s="17" t="n">
        <v>0</v>
      </c>
      <c r="AQ299" s="17" t="n">
        <v>508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8" t="n">
        <v>0</v>
      </c>
      <c r="AY299" s="16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8" t="n">
        <v>0</v>
      </c>
      <c r="BJ299" s="16" t="n">
        <v>508</v>
      </c>
      <c r="BK299" s="17" t="n">
        <v>0</v>
      </c>
      <c r="BL299" s="17" t="n">
        <v>0</v>
      </c>
      <c r="BM299" s="17" t="n">
        <v>508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8" t="n">
        <v>0</v>
      </c>
      <c r="BU299" s="17" t="inlineStr">
        <is>
          <t>Unclassified</t>
        </is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0</v>
      </c>
      <c r="J300" s="17" t="n">
        <v>750</v>
      </c>
      <c r="K300" s="17" t="n">
        <v>0</v>
      </c>
      <c r="L300" s="17" t="n">
        <v>0</v>
      </c>
      <c r="M300" s="17" t="n">
        <v>90</v>
      </c>
      <c r="N300" s="17" t="n">
        <v>270</v>
      </c>
      <c r="O300" s="17" t="n">
        <v>0</v>
      </c>
      <c r="P300" s="17" t="n">
        <v>0</v>
      </c>
      <c r="Q300" s="18" t="n">
        <v>0</v>
      </c>
      <c r="R300" s="16" t="n">
        <v>2.22</v>
      </c>
      <c r="S300" s="17" t="n">
        <v>0</v>
      </c>
      <c r="T300" s="17" t="n">
        <v>0</v>
      </c>
      <c r="U300" s="17" t="n">
        <v>1.5</v>
      </c>
      <c r="V300" s="17" t="n">
        <v>0</v>
      </c>
      <c r="W300" s="17" t="n">
        <v>0</v>
      </c>
      <c r="X300" s="17" t="n">
        <v>0.18</v>
      </c>
      <c r="Y300" s="17" t="n">
        <v>0.54</v>
      </c>
      <c r="Z300" s="17" t="n">
        <v>0</v>
      </c>
      <c r="AA300" s="17" t="n">
        <v>0</v>
      </c>
      <c r="AB300" s="18" t="n">
        <v>0</v>
      </c>
      <c r="AC300" s="16" t="n">
        <v>0.78</v>
      </c>
      <c r="AD300" s="17" t="n">
        <v>3</v>
      </c>
      <c r="AE300" s="17" t="n">
        <v>3</v>
      </c>
      <c r="AF300" s="17" t="n">
        <v>1.5</v>
      </c>
      <c r="AG300" s="17" t="n">
        <v>3</v>
      </c>
      <c r="AH300" s="17" t="n">
        <v>3</v>
      </c>
      <c r="AI300" s="17" t="n">
        <v>2.82</v>
      </c>
      <c r="AJ300" s="17" t="n">
        <v>2.46</v>
      </c>
      <c r="AK300" s="17" t="n">
        <v>3</v>
      </c>
      <c r="AL300" s="17" t="n">
        <v>3</v>
      </c>
      <c r="AM300" s="18" t="n">
        <v>3</v>
      </c>
      <c r="AN300" s="16" t="n">
        <v>184</v>
      </c>
      <c r="AO300" s="17" t="n">
        <v>0</v>
      </c>
      <c r="AP300" s="17" t="n">
        <v>0</v>
      </c>
      <c r="AQ300" s="17" t="n">
        <v>114</v>
      </c>
      <c r="AR300" s="17" t="n">
        <v>0</v>
      </c>
      <c r="AS300" s="17" t="n">
        <v>0</v>
      </c>
      <c r="AT300" s="17" t="n">
        <v>10</v>
      </c>
      <c r="AU300" s="17" t="n">
        <v>43</v>
      </c>
      <c r="AV300" s="17" t="n">
        <v>0</v>
      </c>
      <c r="AW300" s="17" t="n">
        <v>0</v>
      </c>
      <c r="AX300" s="18" t="n">
        <v>0</v>
      </c>
      <c r="AY300" s="16" t="n">
        <v>104</v>
      </c>
      <c r="AZ300" s="17" t="n">
        <v>0</v>
      </c>
      <c r="BA300" s="17" t="n">
        <v>0</v>
      </c>
      <c r="BB300" s="17" t="n">
        <v>70</v>
      </c>
      <c r="BC300" s="17" t="n">
        <v>0</v>
      </c>
      <c r="BD300" s="17" t="n">
        <v>0</v>
      </c>
      <c r="BE300" s="17" t="n">
        <v>8</v>
      </c>
      <c r="BF300" s="17" t="n">
        <v>25</v>
      </c>
      <c r="BG300" s="17" t="n">
        <v>0</v>
      </c>
      <c r="BH300" s="17" t="n">
        <v>0</v>
      </c>
      <c r="BI300" s="18" t="n">
        <v>0</v>
      </c>
      <c r="BJ300" s="16" t="n">
        <v>80</v>
      </c>
      <c r="BK300" s="17" t="n">
        <v>0</v>
      </c>
      <c r="BL300" s="17" t="n">
        <v>0</v>
      </c>
      <c r="BM300" s="17" t="n">
        <v>43</v>
      </c>
      <c r="BN300" s="17" t="n">
        <v>0</v>
      </c>
      <c r="BO300" s="17" t="n">
        <v>0</v>
      </c>
      <c r="BP300" s="17" t="n">
        <v>2</v>
      </c>
      <c r="BQ300" s="17" t="n">
        <v>18</v>
      </c>
      <c r="BR300" s="17" t="n">
        <v>0</v>
      </c>
      <c r="BS300" s="17" t="n">
        <v>0</v>
      </c>
      <c r="BT300" s="18" t="n">
        <v>0</v>
      </c>
      <c r="BU300" s="17" t="inlineStr">
        <is>
          <t>Generic Drug</t>
        </is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0</v>
      </c>
      <c r="J301" s="17" t="n">
        <v>1138</v>
      </c>
      <c r="K301" s="17" t="n">
        <v>90</v>
      </c>
      <c r="L301" s="17" t="n">
        <v>0</v>
      </c>
      <c r="M301" s="17" t="n">
        <v>0</v>
      </c>
      <c r="N301" s="17" t="n">
        <v>380</v>
      </c>
      <c r="O301" s="17" t="n">
        <v>30</v>
      </c>
      <c r="P301" s="17" t="n">
        <v>0</v>
      </c>
      <c r="Q301" s="18" t="n">
        <v>0</v>
      </c>
      <c r="R301" s="16" t="n">
        <v>1.638</v>
      </c>
      <c r="S301" s="17" t="n">
        <v>0</v>
      </c>
      <c r="T301" s="17" t="n">
        <v>0</v>
      </c>
      <c r="U301" s="17" t="n">
        <v>1.138</v>
      </c>
      <c r="V301" s="17" t="n">
        <v>0.09</v>
      </c>
      <c r="W301" s="17" t="n">
        <v>0</v>
      </c>
      <c r="X301" s="17" t="n">
        <v>0</v>
      </c>
      <c r="Y301" s="17" t="n">
        <v>0.38</v>
      </c>
      <c r="Z301" s="17" t="n">
        <v>0.03</v>
      </c>
      <c r="AA301" s="17" t="n">
        <v>0</v>
      </c>
      <c r="AB301" s="18" t="n">
        <v>0</v>
      </c>
      <c r="AC301" s="16" t="n">
        <v>-1.638</v>
      </c>
      <c r="AD301" s="17" t="n">
        <v>0</v>
      </c>
      <c r="AE301" s="17" t="n">
        <v>0</v>
      </c>
      <c r="AF301" s="17" t="n">
        <v>-1.138</v>
      </c>
      <c r="AG301" s="17" t="n">
        <v>-0.09</v>
      </c>
      <c r="AH301" s="17" t="n">
        <v>0</v>
      </c>
      <c r="AI301" s="17" t="n">
        <v>0</v>
      </c>
      <c r="AJ301" s="17" t="n">
        <v>-0.38</v>
      </c>
      <c r="AK301" s="17" t="n">
        <v>-0.03</v>
      </c>
      <c r="AL301" s="17" t="n">
        <v>0</v>
      </c>
      <c r="AM301" s="18" t="n">
        <v>0</v>
      </c>
      <c r="AN301" s="16" t="n">
        <v>92</v>
      </c>
      <c r="AO301" s="17" t="n">
        <v>0</v>
      </c>
      <c r="AP301" s="17" t="n">
        <v>0</v>
      </c>
      <c r="AQ301" s="17" t="n">
        <v>13</v>
      </c>
      <c r="AR301" s="17" t="n">
        <v>5</v>
      </c>
      <c r="AS301" s="17" t="n">
        <v>0</v>
      </c>
      <c r="AT301" s="17" t="n">
        <v>0</v>
      </c>
      <c r="AU301" s="17" t="n">
        <v>57</v>
      </c>
      <c r="AV301" s="17" t="n">
        <v>0</v>
      </c>
      <c r="AW301" s="17" t="n">
        <v>0</v>
      </c>
      <c r="AX301" s="18" t="n">
        <v>0</v>
      </c>
      <c r="AY301" s="16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8" t="n">
        <v>0</v>
      </c>
      <c r="BJ301" s="16" t="n">
        <v>92</v>
      </c>
      <c r="BK301" s="17" t="n">
        <v>0</v>
      </c>
      <c r="BL301" s="17" t="n">
        <v>0</v>
      </c>
      <c r="BM301" s="17" t="n">
        <v>13</v>
      </c>
      <c r="BN301" s="17" t="n">
        <v>5</v>
      </c>
      <c r="BO301" s="17" t="n">
        <v>0</v>
      </c>
      <c r="BP301" s="17" t="n">
        <v>0</v>
      </c>
      <c r="BQ301" s="17" t="n">
        <v>57</v>
      </c>
      <c r="BR301" s="17" t="n">
        <v>0</v>
      </c>
      <c r="BS301" s="17" t="n">
        <v>0</v>
      </c>
      <c r="BT301" s="18" t="n">
        <v>0</v>
      </c>
      <c r="BU301" s="17" t="inlineStr">
        <is>
          <t>Unclassified</t>
        </is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0</v>
      </c>
      <c r="J302" s="17" t="n">
        <v>900</v>
      </c>
      <c r="K302" s="17" t="n">
        <v>0</v>
      </c>
      <c r="L302" s="17" t="n">
        <v>0</v>
      </c>
      <c r="M302" s="17" t="n">
        <v>30</v>
      </c>
      <c r="N302" s="17" t="n">
        <v>240</v>
      </c>
      <c r="O302" s="17" t="n">
        <v>0</v>
      </c>
      <c r="P302" s="17" t="n">
        <v>0</v>
      </c>
      <c r="Q302" s="18" t="n">
        <v>0</v>
      </c>
      <c r="R302" s="16" t="n">
        <v>1.17</v>
      </c>
      <c r="S302" s="17" t="n">
        <v>0</v>
      </c>
      <c r="T302" s="17" t="n">
        <v>0</v>
      </c>
      <c r="U302" s="17" t="n">
        <v>0.9</v>
      </c>
      <c r="V302" s="17" t="n">
        <v>0</v>
      </c>
      <c r="W302" s="17" t="n">
        <v>0</v>
      </c>
      <c r="X302" s="17" t="n">
        <v>0.03</v>
      </c>
      <c r="Y302" s="17" t="n">
        <v>0.24</v>
      </c>
      <c r="Z302" s="17" t="n">
        <v>0</v>
      </c>
      <c r="AA302" s="17" t="n">
        <v>0</v>
      </c>
      <c r="AB302" s="18" t="n">
        <v>0</v>
      </c>
      <c r="AC302" s="16" t="n">
        <v>-1.17</v>
      </c>
      <c r="AD302" s="17" t="n">
        <v>0</v>
      </c>
      <c r="AE302" s="17" t="n">
        <v>0</v>
      </c>
      <c r="AF302" s="17" t="n">
        <v>-0.9</v>
      </c>
      <c r="AG302" s="17" t="n">
        <v>0</v>
      </c>
      <c r="AH302" s="17" t="n">
        <v>0</v>
      </c>
      <c r="AI302" s="17" t="n">
        <v>-0.03</v>
      </c>
      <c r="AJ302" s="17" t="n">
        <v>-0.24</v>
      </c>
      <c r="AK302" s="17" t="n">
        <v>0</v>
      </c>
      <c r="AL302" s="17" t="n">
        <v>0</v>
      </c>
      <c r="AM302" s="18" t="n">
        <v>0</v>
      </c>
      <c r="AN302" s="16" t="n">
        <v>80</v>
      </c>
      <c r="AO302" s="17" t="n">
        <v>0</v>
      </c>
      <c r="AP302" s="17" t="n">
        <v>0</v>
      </c>
      <c r="AQ302" s="17" t="n">
        <v>23</v>
      </c>
      <c r="AR302" s="17" t="n">
        <v>0</v>
      </c>
      <c r="AS302" s="17" t="n">
        <v>0</v>
      </c>
      <c r="AT302" s="17" t="n">
        <v>2</v>
      </c>
      <c r="AU302" s="17" t="n">
        <v>52</v>
      </c>
      <c r="AV302" s="17" t="n">
        <v>0</v>
      </c>
      <c r="AW302" s="17" t="n">
        <v>0</v>
      </c>
      <c r="AX302" s="18" t="n">
        <v>0</v>
      </c>
      <c r="AY302" s="16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8" t="n">
        <v>0</v>
      </c>
      <c r="BJ302" s="16" t="n">
        <v>80</v>
      </c>
      <c r="BK302" s="17" t="n">
        <v>0</v>
      </c>
      <c r="BL302" s="17" t="n">
        <v>0</v>
      </c>
      <c r="BM302" s="17" t="n">
        <v>23</v>
      </c>
      <c r="BN302" s="17" t="n">
        <v>0</v>
      </c>
      <c r="BO302" s="17" t="n">
        <v>0</v>
      </c>
      <c r="BP302" s="17" t="n">
        <v>2</v>
      </c>
      <c r="BQ302" s="17" t="n">
        <v>52</v>
      </c>
      <c r="BR302" s="17" t="n">
        <v>0</v>
      </c>
      <c r="BS302" s="17" t="n">
        <v>0</v>
      </c>
      <c r="BT302" s="18" t="n">
        <v>0</v>
      </c>
      <c r="BU302" s="17" t="inlineStr">
        <is>
          <t>Unclassified</t>
        </is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30</v>
      </c>
      <c r="N303" s="17" t="n">
        <v>30</v>
      </c>
      <c r="O303" s="17" t="n">
        <v>30</v>
      </c>
      <c r="P303" s="17" t="n">
        <v>0</v>
      </c>
      <c r="Q303" s="18" t="n">
        <v>0</v>
      </c>
      <c r="R303" s="16" t="n">
        <v>3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1</v>
      </c>
      <c r="Y303" s="17" t="n">
        <v>1</v>
      </c>
      <c r="Z303" s="17" t="n">
        <v>1</v>
      </c>
      <c r="AA303" s="17" t="n">
        <v>0</v>
      </c>
      <c r="AB303" s="18" t="n">
        <v>0</v>
      </c>
      <c r="AC303" s="16" t="n">
        <v>10</v>
      </c>
      <c r="AD303" s="17" t="n">
        <v>13</v>
      </c>
      <c r="AE303" s="17" t="n">
        <v>13</v>
      </c>
      <c r="AF303" s="17" t="n">
        <v>13</v>
      </c>
      <c r="AG303" s="17" t="n">
        <v>13</v>
      </c>
      <c r="AH303" s="17" t="n">
        <v>13</v>
      </c>
      <c r="AI303" s="17" t="n">
        <v>12</v>
      </c>
      <c r="AJ303" s="17" t="n">
        <v>12</v>
      </c>
      <c r="AK303" s="17" t="n">
        <v>12</v>
      </c>
      <c r="AL303" s="17" t="n">
        <v>13</v>
      </c>
      <c r="AM303" s="18" t="n">
        <v>13</v>
      </c>
      <c r="AN303" s="16" t="n">
        <v>920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181</v>
      </c>
      <c r="AU303" s="17" t="n">
        <v>373</v>
      </c>
      <c r="AV303" s="17" t="n">
        <v>331</v>
      </c>
      <c r="AW303" s="17" t="n">
        <v>0</v>
      </c>
      <c r="AX303" s="18" t="n">
        <v>0</v>
      </c>
      <c r="AY303" s="16" t="n">
        <v>1101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367</v>
      </c>
      <c r="BF303" s="17" t="n">
        <v>367</v>
      </c>
      <c r="BG303" s="17" t="n">
        <v>367</v>
      </c>
      <c r="BH303" s="17" t="n">
        <v>0</v>
      </c>
      <c r="BI303" s="18" t="n">
        <v>0</v>
      </c>
      <c r="BJ303" s="16" t="n">
        <v>-181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-186</v>
      </c>
      <c r="BQ303" s="17" t="n">
        <v>6</v>
      </c>
      <c r="BR303" s="17" t="n">
        <v>-36</v>
      </c>
      <c r="BS303" s="17" t="n">
        <v>0</v>
      </c>
      <c r="BT303" s="18" t="n">
        <v>0</v>
      </c>
      <c r="BU303" s="17" t="inlineStr">
        <is>
          <t>Branded Drug</t>
        </is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90</v>
      </c>
      <c r="O304" s="17" t="n">
        <v>0</v>
      </c>
      <c r="P304" s="17" t="n">
        <v>0</v>
      </c>
      <c r="Q304" s="18" t="n">
        <v>0</v>
      </c>
      <c r="R304" s="16" t="n">
        <v>1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1</v>
      </c>
      <c r="Z304" s="17" t="n">
        <v>0</v>
      </c>
      <c r="AA304" s="17" t="n">
        <v>0</v>
      </c>
      <c r="AB304" s="18" t="n">
        <v>0</v>
      </c>
      <c r="AC304" s="16" t="n">
        <v>-1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-1</v>
      </c>
      <c r="AK304" s="17" t="n">
        <v>0</v>
      </c>
      <c r="AL304" s="17" t="n">
        <v>0</v>
      </c>
      <c r="AM304" s="18" t="n">
        <v>0</v>
      </c>
      <c r="AN304" s="16" t="n">
        <v>21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21</v>
      </c>
      <c r="AV304" s="17" t="n">
        <v>0</v>
      </c>
      <c r="AW304" s="17" t="n">
        <v>0</v>
      </c>
      <c r="AX304" s="18" t="n">
        <v>0</v>
      </c>
      <c r="AY304" s="16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8" t="n">
        <v>0</v>
      </c>
      <c r="BJ304" s="16" t="n">
        <v>21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21</v>
      </c>
      <c r="BR304" s="17" t="n">
        <v>0</v>
      </c>
      <c r="BS304" s="17" t="n">
        <v>0</v>
      </c>
      <c r="BT304" s="18" t="n">
        <v>0</v>
      </c>
      <c r="BU304" s="17" t="inlineStr">
        <is>
          <t>Unclassified</t>
        </is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0</v>
      </c>
      <c r="J305" s="17" t="n">
        <v>90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8" t="n">
        <v>0</v>
      </c>
      <c r="R305" s="16" t="n">
        <v>0.9</v>
      </c>
      <c r="S305" s="17" t="n">
        <v>0</v>
      </c>
      <c r="T305" s="17" t="n">
        <v>0</v>
      </c>
      <c r="U305" s="17" t="n">
        <v>0.9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8" t="n">
        <v>0</v>
      </c>
      <c r="AC305" s="16" t="n">
        <v>2.1</v>
      </c>
      <c r="AD305" s="17" t="n">
        <v>3</v>
      </c>
      <c r="AE305" s="17" t="n">
        <v>3</v>
      </c>
      <c r="AF305" s="17" t="n">
        <v>2.1</v>
      </c>
      <c r="AG305" s="17" t="n">
        <v>3</v>
      </c>
      <c r="AH305" s="17" t="n">
        <v>3</v>
      </c>
      <c r="AI305" s="17" t="n">
        <v>3</v>
      </c>
      <c r="AJ305" s="17" t="n">
        <v>3</v>
      </c>
      <c r="AK305" s="17" t="n">
        <v>3</v>
      </c>
      <c r="AL305" s="17" t="n">
        <v>3</v>
      </c>
      <c r="AM305" s="18" t="n">
        <v>3</v>
      </c>
      <c r="AN305" s="16" t="n">
        <v>9</v>
      </c>
      <c r="AO305" s="17" t="n">
        <v>0</v>
      </c>
      <c r="AP305" s="17" t="n">
        <v>0</v>
      </c>
      <c r="AQ305" s="17" t="n">
        <v>9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8" t="n">
        <v>0</v>
      </c>
      <c r="AY305" s="16" t="n">
        <v>6</v>
      </c>
      <c r="AZ305" s="17" t="n">
        <v>0</v>
      </c>
      <c r="BA305" s="17" t="n">
        <v>0</v>
      </c>
      <c r="BB305" s="17" t="n">
        <v>6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8" t="n">
        <v>0</v>
      </c>
      <c r="BJ305" s="16" t="n">
        <v>3</v>
      </c>
      <c r="BK305" s="17" t="n">
        <v>0</v>
      </c>
      <c r="BL305" s="17" t="n">
        <v>0</v>
      </c>
      <c r="BM305" s="17" t="n">
        <v>3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8" t="n">
        <v>0</v>
      </c>
      <c r="BU305" s="17" t="inlineStr">
        <is>
          <t>Generic Drug</t>
        </is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0</v>
      </c>
      <c r="J306" s="17" t="n">
        <v>90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8" t="n">
        <v>0</v>
      </c>
      <c r="R306" s="16" t="n">
        <v>0.9</v>
      </c>
      <c r="S306" s="17" t="n">
        <v>0</v>
      </c>
      <c r="T306" s="17" t="n">
        <v>0</v>
      </c>
      <c r="U306" s="17" t="n">
        <v>0.9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8" t="n">
        <v>0</v>
      </c>
      <c r="AC306" s="16" t="n">
        <v>-0.9</v>
      </c>
      <c r="AD306" s="17" t="n">
        <v>0</v>
      </c>
      <c r="AE306" s="17" t="n">
        <v>0</v>
      </c>
      <c r="AF306" s="17" t="n">
        <v>-0.9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8" t="n">
        <v>0</v>
      </c>
      <c r="AN306" s="16" t="n">
        <v>15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8" t="n">
        <v>0</v>
      </c>
      <c r="AY306" s="16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8" t="n">
        <v>0</v>
      </c>
      <c r="BJ306" s="16" t="n">
        <v>15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8" t="n">
        <v>0</v>
      </c>
      <c r="BU306" s="17" t="inlineStr">
        <is>
          <t>Unclassified</t>
        </is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0</v>
      </c>
      <c r="K307" s="17" t="n">
        <v>30</v>
      </c>
      <c r="L307" s="17" t="n">
        <v>0</v>
      </c>
      <c r="M307" s="17" t="n">
        <v>0</v>
      </c>
      <c r="N307" s="17" t="n">
        <v>90</v>
      </c>
      <c r="O307" s="17" t="n">
        <v>0</v>
      </c>
      <c r="P307" s="17" t="n">
        <v>0</v>
      </c>
      <c r="Q307" s="18" t="n">
        <v>0</v>
      </c>
      <c r="R307" s="16" t="n">
        <v>0</v>
      </c>
      <c r="S307" s="17" t="n">
        <v>0</v>
      </c>
      <c r="T307" s="17" t="n">
        <v>0</v>
      </c>
      <c r="U307" s="17" t="n">
        <v>0</v>
      </c>
      <c r="V307" s="17" t="n">
        <v>0.3</v>
      </c>
      <c r="W307" s="17" t="n">
        <v>0</v>
      </c>
      <c r="X307" s="17" t="n">
        <v>0</v>
      </c>
      <c r="Y307" s="17" t="n">
        <v>0.9</v>
      </c>
      <c r="Z307" s="17" t="n">
        <v>0</v>
      </c>
      <c r="AA307" s="17" t="n">
        <v>0</v>
      </c>
      <c r="AB307" s="18" t="n">
        <v>0</v>
      </c>
      <c r="AC307" s="16" t="n">
        <v>2</v>
      </c>
      <c r="AD307" s="17" t="n">
        <v>2</v>
      </c>
      <c r="AE307" s="17" t="n">
        <v>2</v>
      </c>
      <c r="AF307" s="17" t="n">
        <v>2</v>
      </c>
      <c r="AG307" s="17" t="n">
        <v>1.7</v>
      </c>
      <c r="AH307" s="17" t="n">
        <v>2</v>
      </c>
      <c r="AI307" s="17" t="n">
        <v>2</v>
      </c>
      <c r="AJ307" s="17" t="n">
        <v>1.1</v>
      </c>
      <c r="AK307" s="17" t="n">
        <v>2</v>
      </c>
      <c r="AL307" s="17" t="n">
        <v>2</v>
      </c>
      <c r="AM307" s="18" t="n">
        <v>2</v>
      </c>
      <c r="AN307" s="16" t="n">
        <v>0</v>
      </c>
      <c r="AO307" s="17" t="n">
        <v>0</v>
      </c>
      <c r="AP307" s="17" t="n">
        <v>0</v>
      </c>
      <c r="AQ307" s="17" t="n">
        <v>0</v>
      </c>
      <c r="AR307" s="17" t="n">
        <v>2</v>
      </c>
      <c r="AS307" s="17" t="n">
        <v>0</v>
      </c>
      <c r="AT307" s="17" t="n">
        <v>0</v>
      </c>
      <c r="AU307" s="17" t="n">
        <v>10</v>
      </c>
      <c r="AV307" s="17" t="n">
        <v>0</v>
      </c>
      <c r="AW307" s="17" t="n">
        <v>0</v>
      </c>
      <c r="AX307" s="18" t="n">
        <v>0</v>
      </c>
      <c r="AY307" s="16" t="n">
        <v>0</v>
      </c>
      <c r="AZ307" s="17" t="n">
        <v>0</v>
      </c>
      <c r="BA307" s="17" t="n">
        <v>0</v>
      </c>
      <c r="BB307" s="17" t="n">
        <v>0</v>
      </c>
      <c r="BC307" s="17" t="n">
        <v>3</v>
      </c>
      <c r="BD307" s="17" t="n">
        <v>0</v>
      </c>
      <c r="BE307" s="17" t="n">
        <v>0</v>
      </c>
      <c r="BF307" s="17" t="n">
        <v>10</v>
      </c>
      <c r="BG307" s="17" t="n">
        <v>0</v>
      </c>
      <c r="BH307" s="17" t="n">
        <v>0</v>
      </c>
      <c r="BI307" s="18" t="n">
        <v>0</v>
      </c>
      <c r="BJ307" s="16" t="n">
        <v>0</v>
      </c>
      <c r="BK307" s="17" t="n">
        <v>0</v>
      </c>
      <c r="BL307" s="17" t="n">
        <v>0</v>
      </c>
      <c r="BM307" s="17" t="n">
        <v>0</v>
      </c>
      <c r="BN307" s="17" t="n">
        <v>-1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8" t="n">
        <v>0</v>
      </c>
      <c r="BU307" s="17" t="inlineStr">
        <is>
          <t>OTC Drug</t>
        </is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1269</v>
      </c>
      <c r="O308" s="17" t="n">
        <v>0</v>
      </c>
      <c r="P308" s="17" t="n">
        <v>0</v>
      </c>
      <c r="Q308" s="18" t="n">
        <v>0</v>
      </c>
      <c r="R308" s="16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12.69</v>
      </c>
      <c r="Z308" s="17" t="n">
        <v>0</v>
      </c>
      <c r="AA308" s="17" t="n">
        <v>0</v>
      </c>
      <c r="AB308" s="18" t="n">
        <v>0</v>
      </c>
      <c r="AC308" s="16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-12.69</v>
      </c>
      <c r="AK308" s="17" t="n">
        <v>0</v>
      </c>
      <c r="AL308" s="17" t="n">
        <v>0</v>
      </c>
      <c r="AM308" s="18" t="n">
        <v>0</v>
      </c>
      <c r="AN308" s="16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40</v>
      </c>
      <c r="AV308" s="17" t="n">
        <v>0</v>
      </c>
      <c r="AW308" s="17" t="n">
        <v>0</v>
      </c>
      <c r="AX308" s="18" t="n">
        <v>0</v>
      </c>
      <c r="AY308" s="16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8" t="n">
        <v>0</v>
      </c>
      <c r="BJ308" s="16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0</v>
      </c>
      <c r="BP308" s="17" t="n">
        <v>0</v>
      </c>
      <c r="BQ308" s="17" t="n">
        <v>40</v>
      </c>
      <c r="BR308" s="17" t="n">
        <v>0</v>
      </c>
      <c r="BS308" s="17" t="n">
        <v>0</v>
      </c>
      <c r="BT308" s="18" t="n">
        <v>0</v>
      </c>
      <c r="BU308" s="17" t="inlineStr">
        <is>
          <t>Unclassified</t>
        </is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240</v>
      </c>
      <c r="O309" s="17" t="n">
        <v>0</v>
      </c>
      <c r="P309" s="17" t="n">
        <v>0</v>
      </c>
      <c r="Q309" s="18" t="n">
        <v>0</v>
      </c>
      <c r="R309" s="16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2.4</v>
      </c>
      <c r="Z309" s="17" t="n">
        <v>0</v>
      </c>
      <c r="AA309" s="17" t="n">
        <v>0</v>
      </c>
      <c r="AB309" s="18" t="n">
        <v>0</v>
      </c>
      <c r="AC309" s="16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-2.4</v>
      </c>
      <c r="AK309" s="17" t="n">
        <v>0</v>
      </c>
      <c r="AL309" s="17" t="n">
        <v>0</v>
      </c>
      <c r="AM309" s="18" t="n">
        <v>0</v>
      </c>
      <c r="AN309" s="16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88</v>
      </c>
      <c r="AV309" s="17" t="n">
        <v>0</v>
      </c>
      <c r="AW309" s="17" t="n">
        <v>0</v>
      </c>
      <c r="AX309" s="18" t="n">
        <v>0</v>
      </c>
      <c r="AY309" s="16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8" t="n">
        <v>0</v>
      </c>
      <c r="BJ309" s="16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88</v>
      </c>
      <c r="BR309" s="17" t="n">
        <v>0</v>
      </c>
      <c r="BS309" s="17" t="n">
        <v>0</v>
      </c>
      <c r="BT309" s="18" t="n">
        <v>0</v>
      </c>
      <c r="BU309" s="17" t="inlineStr">
        <is>
          <t>Unclassified</t>
        </is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0</v>
      </c>
      <c r="K310" s="17" t="n">
        <v>60</v>
      </c>
      <c r="L310" s="17" t="n">
        <v>0</v>
      </c>
      <c r="M310" s="17" t="n">
        <v>0</v>
      </c>
      <c r="N310" s="17" t="n">
        <v>200</v>
      </c>
      <c r="O310" s="17" t="n">
        <v>0</v>
      </c>
      <c r="P310" s="17" t="n">
        <v>0</v>
      </c>
      <c r="Q310" s="18" t="n">
        <v>0</v>
      </c>
      <c r="R310" s="16" t="n">
        <v>0</v>
      </c>
      <c r="S310" s="17" t="n">
        <v>0</v>
      </c>
      <c r="T310" s="17" t="n">
        <v>0</v>
      </c>
      <c r="U310" s="17" t="n">
        <v>0</v>
      </c>
      <c r="V310" s="17" t="n">
        <v>0.6</v>
      </c>
      <c r="W310" s="17" t="n">
        <v>0</v>
      </c>
      <c r="X310" s="17" t="n">
        <v>0</v>
      </c>
      <c r="Y310" s="17" t="n">
        <v>2</v>
      </c>
      <c r="Z310" s="17" t="n">
        <v>0</v>
      </c>
      <c r="AA310" s="17" t="n">
        <v>0</v>
      </c>
      <c r="AB310" s="18" t="n">
        <v>0</v>
      </c>
      <c r="AC310" s="16" t="n">
        <v>2</v>
      </c>
      <c r="AD310" s="17" t="n">
        <v>2</v>
      </c>
      <c r="AE310" s="17" t="n">
        <v>2</v>
      </c>
      <c r="AF310" s="17" t="n">
        <v>2</v>
      </c>
      <c r="AG310" s="17" t="n">
        <v>1.4</v>
      </c>
      <c r="AH310" s="17" t="n">
        <v>2</v>
      </c>
      <c r="AI310" s="17" t="n">
        <v>2</v>
      </c>
      <c r="AJ310" s="17" t="n">
        <v>0</v>
      </c>
      <c r="AK310" s="17" t="n">
        <v>2</v>
      </c>
      <c r="AL310" s="17" t="n">
        <v>2</v>
      </c>
      <c r="AM310" s="18" t="n">
        <v>2</v>
      </c>
      <c r="AN310" s="16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51</v>
      </c>
      <c r="AV310" s="17" t="n">
        <v>0</v>
      </c>
      <c r="AW310" s="17" t="n">
        <v>0</v>
      </c>
      <c r="AX310" s="18" t="n">
        <v>0</v>
      </c>
      <c r="AY310" s="16" t="n">
        <v>0</v>
      </c>
      <c r="AZ310" s="17" t="n">
        <v>0</v>
      </c>
      <c r="BA310" s="17" t="n">
        <v>0</v>
      </c>
      <c r="BB310" s="17" t="n">
        <v>0</v>
      </c>
      <c r="BC310" s="17" t="n">
        <v>11</v>
      </c>
      <c r="BD310" s="17" t="n">
        <v>0</v>
      </c>
      <c r="BE310" s="17" t="n">
        <v>0</v>
      </c>
      <c r="BF310" s="17" t="n">
        <v>38</v>
      </c>
      <c r="BG310" s="17" t="n">
        <v>0</v>
      </c>
      <c r="BH310" s="17" t="n">
        <v>0</v>
      </c>
      <c r="BI310" s="18" t="n">
        <v>0</v>
      </c>
      <c r="BJ310" s="16" t="n">
        <v>0</v>
      </c>
      <c r="BK310" s="17" t="n">
        <v>0</v>
      </c>
      <c r="BL310" s="17" t="n">
        <v>0</v>
      </c>
      <c r="BM310" s="17" t="n">
        <v>0</v>
      </c>
      <c r="BN310" s="17" t="n">
        <v>-11</v>
      </c>
      <c r="BO310" s="17" t="n">
        <v>0</v>
      </c>
      <c r="BP310" s="17" t="n">
        <v>0</v>
      </c>
      <c r="BQ310" s="17" t="n">
        <v>13</v>
      </c>
      <c r="BR310" s="17" t="n">
        <v>0</v>
      </c>
      <c r="BS310" s="17" t="n">
        <v>0</v>
      </c>
      <c r="BT310" s="18" t="n">
        <v>0</v>
      </c>
      <c r="BU310" s="17" t="inlineStr">
        <is>
          <t>OTC Drug</t>
        </is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120</v>
      </c>
      <c r="O311" s="17" t="n">
        <v>0</v>
      </c>
      <c r="P311" s="17" t="n">
        <v>0</v>
      </c>
      <c r="Q311" s="18" t="n">
        <v>0</v>
      </c>
      <c r="R311" s="16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2</v>
      </c>
      <c r="Z311" s="17" t="n">
        <v>0</v>
      </c>
      <c r="AA311" s="17" t="n">
        <v>0</v>
      </c>
      <c r="AB311" s="18" t="n">
        <v>0</v>
      </c>
      <c r="AC311" s="16" t="n">
        <v>3</v>
      </c>
      <c r="AD311" s="17" t="n">
        <v>3</v>
      </c>
      <c r="AE311" s="17" t="n">
        <v>3</v>
      </c>
      <c r="AF311" s="17" t="n">
        <v>3</v>
      </c>
      <c r="AG311" s="17" t="n">
        <v>3</v>
      </c>
      <c r="AH311" s="17" t="n">
        <v>3</v>
      </c>
      <c r="AI311" s="17" t="n">
        <v>3</v>
      </c>
      <c r="AJ311" s="17" t="n">
        <v>1</v>
      </c>
      <c r="AK311" s="17" t="n">
        <v>3</v>
      </c>
      <c r="AL311" s="17" t="n">
        <v>3</v>
      </c>
      <c r="AM311" s="18" t="n">
        <v>3</v>
      </c>
      <c r="AN311" s="16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23</v>
      </c>
      <c r="AV311" s="17" t="n">
        <v>0</v>
      </c>
      <c r="AW311" s="17" t="n">
        <v>0</v>
      </c>
      <c r="AX311" s="18" t="n">
        <v>0</v>
      </c>
      <c r="AY311" s="16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10</v>
      </c>
      <c r="BG311" s="17" t="n">
        <v>0</v>
      </c>
      <c r="BH311" s="17" t="n">
        <v>0</v>
      </c>
      <c r="BI311" s="18" t="n">
        <v>0</v>
      </c>
      <c r="BJ311" s="16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13</v>
      </c>
      <c r="BR311" s="17" t="n">
        <v>0</v>
      </c>
      <c r="BS311" s="17" t="n">
        <v>0</v>
      </c>
      <c r="BT311" s="18" t="n">
        <v>0</v>
      </c>
      <c r="BU311" s="17" t="inlineStr">
        <is>
          <t>OTC Drug</t>
        </is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0</v>
      </c>
      <c r="J312" s="17" t="n">
        <v>330</v>
      </c>
      <c r="K312" s="17" t="n">
        <v>90</v>
      </c>
      <c r="L312" s="17" t="n">
        <v>0</v>
      </c>
      <c r="M312" s="17" t="n">
        <v>0</v>
      </c>
      <c r="N312" s="17" t="n">
        <v>0</v>
      </c>
      <c r="O312" s="17" t="n">
        <v>30</v>
      </c>
      <c r="P312" s="17" t="n">
        <v>0</v>
      </c>
      <c r="Q312" s="18" t="n">
        <v>0</v>
      </c>
      <c r="R312" s="16" t="n">
        <v>0.9</v>
      </c>
      <c r="S312" s="17" t="n">
        <v>0</v>
      </c>
      <c r="T312" s="17" t="n">
        <v>0</v>
      </c>
      <c r="U312" s="17" t="n">
        <v>0.66</v>
      </c>
      <c r="V312" s="17" t="n">
        <v>0.18</v>
      </c>
      <c r="W312" s="17" t="n">
        <v>0</v>
      </c>
      <c r="X312" s="17" t="n">
        <v>0</v>
      </c>
      <c r="Y312" s="17" t="n">
        <v>0</v>
      </c>
      <c r="Z312" s="17" t="n">
        <v>0.06</v>
      </c>
      <c r="AA312" s="17" t="n">
        <v>0</v>
      </c>
      <c r="AB312" s="18" t="n">
        <v>0</v>
      </c>
      <c r="AC312" s="16" t="n">
        <v>-0.9</v>
      </c>
      <c r="AD312" s="17" t="n">
        <v>0</v>
      </c>
      <c r="AE312" s="17" t="n">
        <v>0</v>
      </c>
      <c r="AF312" s="17" t="n">
        <v>-0.66</v>
      </c>
      <c r="AG312" s="17" t="n">
        <v>-0.18</v>
      </c>
      <c r="AH312" s="17" t="n">
        <v>0</v>
      </c>
      <c r="AI312" s="17" t="n">
        <v>0</v>
      </c>
      <c r="AJ312" s="17" t="n">
        <v>0</v>
      </c>
      <c r="AK312" s="17" t="n">
        <v>-0.06</v>
      </c>
      <c r="AL312" s="17" t="n">
        <v>0</v>
      </c>
      <c r="AM312" s="18" t="n">
        <v>0</v>
      </c>
      <c r="AN312" s="16" t="n">
        <v>25</v>
      </c>
      <c r="AO312" s="17" t="n">
        <v>0</v>
      </c>
      <c r="AP312" s="17" t="n">
        <v>0</v>
      </c>
      <c r="AQ312" s="17" t="n">
        <v>10</v>
      </c>
      <c r="AR312" s="17" t="n">
        <v>4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8" t="n">
        <v>0</v>
      </c>
      <c r="AY312" s="16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8" t="n">
        <v>0</v>
      </c>
      <c r="BJ312" s="16" t="n">
        <v>25</v>
      </c>
      <c r="BK312" s="17" t="n">
        <v>0</v>
      </c>
      <c r="BL312" s="17" t="n">
        <v>0</v>
      </c>
      <c r="BM312" s="17" t="n">
        <v>10</v>
      </c>
      <c r="BN312" s="17" t="n">
        <v>4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8" t="n">
        <v>0</v>
      </c>
      <c r="BU312" s="17" t="inlineStr">
        <is>
          <t>Unclassified</t>
        </is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0</v>
      </c>
      <c r="K313" s="17" t="n">
        <v>30</v>
      </c>
      <c r="L313" s="17" t="n">
        <v>0</v>
      </c>
      <c r="M313" s="17" t="n">
        <v>0</v>
      </c>
      <c r="N313" s="17" t="n">
        <v>6</v>
      </c>
      <c r="O313" s="17" t="n">
        <v>0</v>
      </c>
      <c r="P313" s="17" t="n">
        <v>0</v>
      </c>
      <c r="Q313" s="18" t="n">
        <v>0</v>
      </c>
      <c r="R313" s="16" t="n">
        <v>1.2</v>
      </c>
      <c r="S313" s="17" t="n">
        <v>0</v>
      </c>
      <c r="T313" s="17" t="n">
        <v>0</v>
      </c>
      <c r="U313" s="17" t="n">
        <v>0</v>
      </c>
      <c r="V313" s="17" t="n">
        <v>1</v>
      </c>
      <c r="W313" s="17" t="n">
        <v>0</v>
      </c>
      <c r="X313" s="17" t="n">
        <v>0</v>
      </c>
      <c r="Y313" s="17" t="n">
        <v>0.2</v>
      </c>
      <c r="Z313" s="17" t="n">
        <v>0</v>
      </c>
      <c r="AA313" s="17" t="n">
        <v>0</v>
      </c>
      <c r="AB313" s="18" t="n">
        <v>0</v>
      </c>
      <c r="AC313" s="16" t="n">
        <v>-1.2</v>
      </c>
      <c r="AD313" s="17" t="n">
        <v>0</v>
      </c>
      <c r="AE313" s="17" t="n">
        <v>0</v>
      </c>
      <c r="AF313" s="17" t="n">
        <v>0</v>
      </c>
      <c r="AG313" s="17" t="n">
        <v>-1</v>
      </c>
      <c r="AH313" s="17" t="n">
        <v>0</v>
      </c>
      <c r="AI313" s="17" t="n">
        <v>0</v>
      </c>
      <c r="AJ313" s="17" t="n">
        <v>-0.2</v>
      </c>
      <c r="AK313" s="17" t="n">
        <v>0</v>
      </c>
      <c r="AL313" s="17" t="n">
        <v>0</v>
      </c>
      <c r="AM313" s="18" t="n">
        <v>0</v>
      </c>
      <c r="AN313" s="16" t="n">
        <v>41</v>
      </c>
      <c r="AO313" s="17" t="n">
        <v>0</v>
      </c>
      <c r="AP313" s="17" t="n">
        <v>0</v>
      </c>
      <c r="AQ313" s="17" t="n">
        <v>0</v>
      </c>
      <c r="AR313" s="17" t="n">
        <v>24</v>
      </c>
      <c r="AS313" s="17" t="n">
        <v>0</v>
      </c>
      <c r="AT313" s="17" t="n">
        <v>0</v>
      </c>
      <c r="AU313" s="17" t="n">
        <v>11</v>
      </c>
      <c r="AV313" s="17" t="n">
        <v>0</v>
      </c>
      <c r="AW313" s="17" t="n">
        <v>0</v>
      </c>
      <c r="AX313" s="18" t="n">
        <v>0</v>
      </c>
      <c r="AY313" s="16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8" t="n">
        <v>0</v>
      </c>
      <c r="BJ313" s="16" t="n">
        <v>41</v>
      </c>
      <c r="BK313" s="17" t="n">
        <v>0</v>
      </c>
      <c r="BL313" s="17" t="n">
        <v>0</v>
      </c>
      <c r="BM313" s="17" t="n">
        <v>0</v>
      </c>
      <c r="BN313" s="17" t="n">
        <v>24</v>
      </c>
      <c r="BO313" s="17" t="n">
        <v>0</v>
      </c>
      <c r="BP313" s="17" t="n">
        <v>0</v>
      </c>
      <c r="BQ313" s="17" t="n">
        <v>11</v>
      </c>
      <c r="BR313" s="17" t="n">
        <v>0</v>
      </c>
      <c r="BS313" s="17" t="n">
        <v>0</v>
      </c>
      <c r="BT313" s="18" t="n">
        <v>0</v>
      </c>
      <c r="BU313" s="17" t="inlineStr">
        <is>
          <t>Unclassified</t>
        </is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0</v>
      </c>
      <c r="J314" s="17" t="n">
        <v>17</v>
      </c>
      <c r="K314" s="17" t="n">
        <v>1</v>
      </c>
      <c r="L314" s="17" t="n">
        <v>0</v>
      </c>
      <c r="M314" s="17" t="n">
        <v>0</v>
      </c>
      <c r="N314" s="17" t="n">
        <v>9</v>
      </c>
      <c r="O314" s="17" t="n">
        <v>0</v>
      </c>
      <c r="P314" s="17" t="n">
        <v>0</v>
      </c>
      <c r="Q314" s="18" t="n">
        <v>0</v>
      </c>
      <c r="R314" s="16" t="n">
        <v>2.25</v>
      </c>
      <c r="S314" s="17" t="n">
        <v>0</v>
      </c>
      <c r="T314" s="17" t="n">
        <v>0</v>
      </c>
      <c r="U314" s="17" t="n">
        <v>1.417</v>
      </c>
      <c r="V314" s="17" t="n">
        <v>0.083</v>
      </c>
      <c r="W314" s="17" t="n">
        <v>0</v>
      </c>
      <c r="X314" s="17" t="n">
        <v>0</v>
      </c>
      <c r="Y314" s="17" t="n">
        <v>0.75</v>
      </c>
      <c r="Z314" s="17" t="n">
        <v>0</v>
      </c>
      <c r="AA314" s="17" t="n">
        <v>0</v>
      </c>
      <c r="AB314" s="18" t="n">
        <v>0</v>
      </c>
      <c r="AC314" s="16" t="n">
        <v>0.75</v>
      </c>
      <c r="AD314" s="17" t="n">
        <v>3</v>
      </c>
      <c r="AE314" s="17" t="n">
        <v>3</v>
      </c>
      <c r="AF314" s="17" t="n">
        <v>1.583</v>
      </c>
      <c r="AG314" s="17" t="n">
        <v>2.917</v>
      </c>
      <c r="AH314" s="17" t="n">
        <v>3</v>
      </c>
      <c r="AI314" s="17" t="n">
        <v>3</v>
      </c>
      <c r="AJ314" s="17" t="n">
        <v>2.25</v>
      </c>
      <c r="AK314" s="17" t="n">
        <v>3</v>
      </c>
      <c r="AL314" s="17" t="n">
        <v>3</v>
      </c>
      <c r="AM314" s="18" t="n">
        <v>3</v>
      </c>
      <c r="AN314" s="16" t="n">
        <v>60</v>
      </c>
      <c r="AO314" s="17" t="n">
        <v>0</v>
      </c>
      <c r="AP314" s="17" t="n">
        <v>0</v>
      </c>
      <c r="AQ314" s="17" t="n">
        <v>8</v>
      </c>
      <c r="AR314" s="17" t="n">
        <v>0</v>
      </c>
      <c r="AS314" s="17" t="n">
        <v>0</v>
      </c>
      <c r="AT314" s="17" t="n">
        <v>0</v>
      </c>
      <c r="AU314" s="17" t="n">
        <v>44</v>
      </c>
      <c r="AV314" s="17" t="n">
        <v>0</v>
      </c>
      <c r="AW314" s="17" t="n">
        <v>0</v>
      </c>
      <c r="AX314" s="18" t="n">
        <v>0</v>
      </c>
      <c r="AY314" s="16" t="n">
        <v>4</v>
      </c>
      <c r="AZ314" s="17" t="n">
        <v>0</v>
      </c>
      <c r="BA314" s="17" t="n">
        <v>0</v>
      </c>
      <c r="BB314" s="17" t="n">
        <v>3</v>
      </c>
      <c r="BC314" s="17" t="n">
        <v>0</v>
      </c>
      <c r="BD314" s="17" t="n">
        <v>0</v>
      </c>
      <c r="BE314" s="17" t="n">
        <v>0</v>
      </c>
      <c r="BF314" s="17" t="n">
        <v>2</v>
      </c>
      <c r="BG314" s="17" t="n">
        <v>0</v>
      </c>
      <c r="BH314" s="17" t="n">
        <v>0</v>
      </c>
      <c r="BI314" s="18" t="n">
        <v>0</v>
      </c>
      <c r="BJ314" s="16" t="n">
        <v>55</v>
      </c>
      <c r="BK314" s="17" t="n">
        <v>0</v>
      </c>
      <c r="BL314" s="17" t="n">
        <v>0</v>
      </c>
      <c r="BM314" s="17" t="n">
        <v>5</v>
      </c>
      <c r="BN314" s="17" t="n">
        <v>0</v>
      </c>
      <c r="BO314" s="17" t="n">
        <v>0</v>
      </c>
      <c r="BP314" s="17" t="n">
        <v>0</v>
      </c>
      <c r="BQ314" s="17" t="n">
        <v>43</v>
      </c>
      <c r="BR314" s="17" t="n">
        <v>0</v>
      </c>
      <c r="BS314" s="17" t="n">
        <v>0</v>
      </c>
      <c r="BT314" s="18" t="n">
        <v>0</v>
      </c>
      <c r="BU314" s="17" t="inlineStr">
        <is>
          <t>Generic Drug</t>
        </is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0</v>
      </c>
      <c r="J315" s="17" t="n">
        <v>74</v>
      </c>
      <c r="K315" s="17" t="n">
        <v>4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8" t="n">
        <v>0</v>
      </c>
      <c r="R315" s="16" t="n">
        <v>1.56</v>
      </c>
      <c r="S315" s="17" t="n">
        <v>0</v>
      </c>
      <c r="T315" s="17" t="n">
        <v>0</v>
      </c>
      <c r="U315" s="17" t="n">
        <v>1.48</v>
      </c>
      <c r="V315" s="17" t="n">
        <v>0.08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8" t="n">
        <v>0</v>
      </c>
      <c r="AC315" s="16" t="n">
        <v>-1.56</v>
      </c>
      <c r="AD315" s="17" t="n">
        <v>0</v>
      </c>
      <c r="AE315" s="17" t="n">
        <v>0</v>
      </c>
      <c r="AF315" s="17" t="n">
        <v>-1.48</v>
      </c>
      <c r="AG315" s="17" t="n">
        <v>-0.08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8" t="n">
        <v>0</v>
      </c>
      <c r="AN315" s="16" t="n">
        <v>40</v>
      </c>
      <c r="AO315" s="17" t="n">
        <v>0</v>
      </c>
      <c r="AP315" s="17" t="n">
        <v>0</v>
      </c>
      <c r="AQ315" s="17" t="n">
        <v>37</v>
      </c>
      <c r="AR315" s="17" t="n">
        <v>3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8" t="n">
        <v>0</v>
      </c>
      <c r="AY315" s="16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8" t="n">
        <v>0</v>
      </c>
      <c r="BJ315" s="16" t="n">
        <v>40</v>
      </c>
      <c r="BK315" s="17" t="n">
        <v>0</v>
      </c>
      <c r="BL315" s="17" t="n">
        <v>0</v>
      </c>
      <c r="BM315" s="17" t="n">
        <v>37</v>
      </c>
      <c r="BN315" s="17" t="n">
        <v>3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8" t="n">
        <v>0</v>
      </c>
      <c r="BU315" s="17" t="inlineStr">
        <is>
          <t>Unclassified</t>
        </is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30</v>
      </c>
      <c r="O316" s="17" t="n">
        <v>0</v>
      </c>
      <c r="P316" s="17" t="n">
        <v>0</v>
      </c>
      <c r="Q316" s="18" t="n">
        <v>0</v>
      </c>
      <c r="R316" s="16" t="n">
        <v>0.3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0.3</v>
      </c>
      <c r="Z316" s="17" t="n">
        <v>0</v>
      </c>
      <c r="AA316" s="17" t="n">
        <v>0</v>
      </c>
      <c r="AB316" s="18" t="n">
        <v>0</v>
      </c>
      <c r="AC316" s="16" t="n">
        <v>-0.3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-0.3</v>
      </c>
      <c r="AK316" s="17" t="n">
        <v>0</v>
      </c>
      <c r="AL316" s="17" t="n">
        <v>0</v>
      </c>
      <c r="AM316" s="18" t="n">
        <v>0</v>
      </c>
      <c r="AN316" s="16" t="n">
        <v>20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20</v>
      </c>
      <c r="AV316" s="17" t="n">
        <v>0</v>
      </c>
      <c r="AW316" s="17" t="n">
        <v>0</v>
      </c>
      <c r="AX316" s="18" t="n">
        <v>0</v>
      </c>
      <c r="AY316" s="16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8" t="n">
        <v>0</v>
      </c>
      <c r="BJ316" s="16" t="n">
        <v>20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20</v>
      </c>
      <c r="BR316" s="17" t="n">
        <v>0</v>
      </c>
      <c r="BS316" s="17" t="n">
        <v>0</v>
      </c>
      <c r="BT316" s="18" t="n">
        <v>0</v>
      </c>
      <c r="BU316" s="17" t="inlineStr">
        <is>
          <t>Unclassified</t>
        </is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25</v>
      </c>
      <c r="P317" s="17" t="n">
        <v>0</v>
      </c>
      <c r="Q317" s="18" t="n">
        <v>0</v>
      </c>
      <c r="R317" s="16" t="n">
        <v>1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1</v>
      </c>
      <c r="AA317" s="17" t="n">
        <v>0</v>
      </c>
      <c r="AB317" s="18" t="n">
        <v>0</v>
      </c>
      <c r="AC317" s="16" t="n">
        <v>0</v>
      </c>
      <c r="AD317" s="17" t="n">
        <v>1</v>
      </c>
      <c r="AE317" s="17" t="n">
        <v>1</v>
      </c>
      <c r="AF317" s="17" t="n">
        <v>1</v>
      </c>
      <c r="AG317" s="17" t="n">
        <v>1</v>
      </c>
      <c r="AH317" s="17" t="n">
        <v>1</v>
      </c>
      <c r="AI317" s="17" t="n">
        <v>1</v>
      </c>
      <c r="AJ317" s="17" t="n">
        <v>1</v>
      </c>
      <c r="AK317" s="17" t="n">
        <v>0</v>
      </c>
      <c r="AL317" s="17" t="n">
        <v>1</v>
      </c>
      <c r="AM317" s="18" t="n">
        <v>1</v>
      </c>
      <c r="AN317" s="16" t="n">
        <v>51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41</v>
      </c>
      <c r="AW317" s="17" t="n">
        <v>0</v>
      </c>
      <c r="AX317" s="18" t="n">
        <v>0</v>
      </c>
      <c r="AY317" s="16" t="n">
        <v>35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35</v>
      </c>
      <c r="BH317" s="17" t="n">
        <v>0</v>
      </c>
      <c r="BI317" s="18" t="n">
        <v>0</v>
      </c>
      <c r="BJ317" s="16" t="n">
        <v>16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6</v>
      </c>
      <c r="BS317" s="17" t="n">
        <v>0</v>
      </c>
      <c r="BT317" s="18" t="n">
        <v>0</v>
      </c>
      <c r="BU317" s="17" t="inlineStr">
        <is>
          <t>Generic Drug</t>
        </is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0</v>
      </c>
      <c r="J318" s="17" t="n">
        <v>20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8" t="n">
        <v>0</v>
      </c>
      <c r="R318" s="16" t="n">
        <v>1</v>
      </c>
      <c r="S318" s="17" t="n">
        <v>0</v>
      </c>
      <c r="T318" s="17" t="n">
        <v>0</v>
      </c>
      <c r="U318" s="17" t="n">
        <v>1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8" t="n">
        <v>0</v>
      </c>
      <c r="AC318" s="16" t="n">
        <v>1</v>
      </c>
      <c r="AD318" s="17" t="n">
        <v>2</v>
      </c>
      <c r="AE318" s="17" t="n">
        <v>2</v>
      </c>
      <c r="AF318" s="17" t="n">
        <v>1</v>
      </c>
      <c r="AG318" s="17" t="n">
        <v>2</v>
      </c>
      <c r="AH318" s="17" t="n">
        <v>2</v>
      </c>
      <c r="AI318" s="17" t="n">
        <v>2</v>
      </c>
      <c r="AJ318" s="17" t="n">
        <v>2</v>
      </c>
      <c r="AK318" s="17" t="n">
        <v>2</v>
      </c>
      <c r="AL318" s="17" t="n">
        <v>2</v>
      </c>
      <c r="AM318" s="18" t="n">
        <v>2</v>
      </c>
      <c r="AN318" s="16" t="n">
        <v>12</v>
      </c>
      <c r="AO318" s="17" t="n">
        <v>0</v>
      </c>
      <c r="AP318" s="17" t="n">
        <v>0</v>
      </c>
      <c r="AQ318" s="17" t="n">
        <v>6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8" t="n">
        <v>0</v>
      </c>
      <c r="AY318" s="16" t="n">
        <v>15</v>
      </c>
      <c r="AZ318" s="17" t="n">
        <v>0</v>
      </c>
      <c r="BA318" s="17" t="n">
        <v>0</v>
      </c>
      <c r="BB318" s="17" t="n">
        <v>15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8" t="n">
        <v>0</v>
      </c>
      <c r="BJ318" s="16" t="n">
        <v>-3</v>
      </c>
      <c r="BK318" s="17" t="n">
        <v>0</v>
      </c>
      <c r="BL318" s="17" t="n">
        <v>0</v>
      </c>
      <c r="BM318" s="17" t="n">
        <v>-9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8" t="n">
        <v>0</v>
      </c>
      <c r="BU318" s="17" t="inlineStr">
        <is>
          <t>Generic Drug</t>
        </is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0</v>
      </c>
      <c r="J319" s="17" t="n">
        <v>60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8" t="n">
        <v>0</v>
      </c>
      <c r="R319" s="16" t="n">
        <v>1</v>
      </c>
      <c r="S319" s="17" t="n">
        <v>0</v>
      </c>
      <c r="T319" s="17" t="n">
        <v>0</v>
      </c>
      <c r="U319" s="17" t="n">
        <v>1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8" t="n">
        <v>0</v>
      </c>
      <c r="AC319" s="16" t="n">
        <v>-1</v>
      </c>
      <c r="AD319" s="17" t="n">
        <v>0</v>
      </c>
      <c r="AE319" s="17" t="n">
        <v>0</v>
      </c>
      <c r="AF319" s="17" t="n">
        <v>-1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8" t="n">
        <v>0</v>
      </c>
      <c r="AN319" s="16" t="n">
        <v>9</v>
      </c>
      <c r="AO319" s="17" t="n">
        <v>0</v>
      </c>
      <c r="AP319" s="17" t="n">
        <v>0</v>
      </c>
      <c r="AQ319" s="17" t="n">
        <v>9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8" t="n">
        <v>0</v>
      </c>
      <c r="AY319" s="16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8" t="n">
        <v>0</v>
      </c>
      <c r="BJ319" s="16" t="n">
        <v>9</v>
      </c>
      <c r="BK319" s="17" t="n">
        <v>0</v>
      </c>
      <c r="BL319" s="17" t="n">
        <v>0</v>
      </c>
      <c r="BM319" s="17" t="n">
        <v>9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8" t="n">
        <v>0</v>
      </c>
      <c r="BU319" s="17" t="inlineStr">
        <is>
          <t>Unclassified</t>
        </is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0</v>
      </c>
      <c r="J320" s="17" t="n">
        <v>120</v>
      </c>
      <c r="K320" s="17" t="n">
        <v>0</v>
      </c>
      <c r="L320" s="17" t="n">
        <v>0</v>
      </c>
      <c r="M320" s="17" t="n">
        <v>0</v>
      </c>
      <c r="N320" s="17" t="n">
        <v>60</v>
      </c>
      <c r="O320" s="17" t="n">
        <v>0</v>
      </c>
      <c r="P320" s="17" t="n">
        <v>0</v>
      </c>
      <c r="Q320" s="18" t="n">
        <v>0</v>
      </c>
      <c r="R320" s="16" t="n">
        <v>3</v>
      </c>
      <c r="S320" s="17" t="n">
        <v>0</v>
      </c>
      <c r="T320" s="17" t="n">
        <v>0</v>
      </c>
      <c r="U320" s="17" t="n">
        <v>2</v>
      </c>
      <c r="V320" s="17" t="n">
        <v>0</v>
      </c>
      <c r="W320" s="17" t="n">
        <v>0</v>
      </c>
      <c r="X320" s="17" t="n">
        <v>0</v>
      </c>
      <c r="Y320" s="17" t="n">
        <v>1</v>
      </c>
      <c r="Z320" s="17" t="n">
        <v>0</v>
      </c>
      <c r="AA320" s="17" t="n">
        <v>0</v>
      </c>
      <c r="AB320" s="18" t="n">
        <v>0</v>
      </c>
      <c r="AC320" s="16" t="n">
        <v>0</v>
      </c>
      <c r="AD320" s="17" t="n">
        <v>3</v>
      </c>
      <c r="AE320" s="17" t="n">
        <v>3</v>
      </c>
      <c r="AF320" s="17" t="n">
        <v>1</v>
      </c>
      <c r="AG320" s="17" t="n">
        <v>3</v>
      </c>
      <c r="AH320" s="17" t="n">
        <v>3</v>
      </c>
      <c r="AI320" s="17" t="n">
        <v>3</v>
      </c>
      <c r="AJ320" s="17" t="n">
        <v>2</v>
      </c>
      <c r="AK320" s="17" t="n">
        <v>3</v>
      </c>
      <c r="AL320" s="17" t="n">
        <v>3</v>
      </c>
      <c r="AM320" s="18" t="n">
        <v>3</v>
      </c>
      <c r="AN320" s="16" t="n">
        <v>82</v>
      </c>
      <c r="AO320" s="17" t="n">
        <v>0</v>
      </c>
      <c r="AP320" s="17" t="n">
        <v>0</v>
      </c>
      <c r="AQ320" s="17" t="n">
        <v>59</v>
      </c>
      <c r="AR320" s="17" t="n">
        <v>0</v>
      </c>
      <c r="AS320" s="17" t="n">
        <v>0</v>
      </c>
      <c r="AT320" s="17" t="n">
        <v>0</v>
      </c>
      <c r="AU320" s="17" t="n">
        <v>22</v>
      </c>
      <c r="AV320" s="17" t="n">
        <v>0</v>
      </c>
      <c r="AW320" s="17" t="n">
        <v>0</v>
      </c>
      <c r="AX320" s="18" t="n">
        <v>0</v>
      </c>
      <c r="AY320" s="16" t="n">
        <v>33</v>
      </c>
      <c r="AZ320" s="17" t="n">
        <v>0</v>
      </c>
      <c r="BA320" s="17" t="n">
        <v>0</v>
      </c>
      <c r="BB320" s="17" t="n">
        <v>22</v>
      </c>
      <c r="BC320" s="17" t="n">
        <v>0</v>
      </c>
      <c r="BD320" s="17" t="n">
        <v>0</v>
      </c>
      <c r="BE320" s="17" t="n">
        <v>0</v>
      </c>
      <c r="BF320" s="17" t="n">
        <v>11</v>
      </c>
      <c r="BG320" s="17" t="n">
        <v>0</v>
      </c>
      <c r="BH320" s="17" t="n">
        <v>0</v>
      </c>
      <c r="BI320" s="18" t="n">
        <v>0</v>
      </c>
      <c r="BJ320" s="16" t="n">
        <v>48</v>
      </c>
      <c r="BK320" s="17" t="n">
        <v>0</v>
      </c>
      <c r="BL320" s="17" t="n">
        <v>0</v>
      </c>
      <c r="BM320" s="17" t="n">
        <v>37</v>
      </c>
      <c r="BN320" s="17" t="n">
        <v>0</v>
      </c>
      <c r="BO320" s="17" t="n">
        <v>0</v>
      </c>
      <c r="BP320" s="17" t="n">
        <v>0</v>
      </c>
      <c r="BQ320" s="17" t="n">
        <v>11</v>
      </c>
      <c r="BR320" s="17" t="n">
        <v>0</v>
      </c>
      <c r="BS320" s="17" t="n">
        <v>0</v>
      </c>
      <c r="BT320" s="18" t="n">
        <v>0</v>
      </c>
      <c r="BU320" s="17" t="inlineStr">
        <is>
          <t>Generic Drug</t>
        </is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30</v>
      </c>
      <c r="O321" s="17" t="n">
        <v>0</v>
      </c>
      <c r="P321" s="17" t="n">
        <v>0</v>
      </c>
      <c r="Q321" s="18" t="n">
        <v>0</v>
      </c>
      <c r="R321" s="16" t="n">
        <v>0.03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0.03</v>
      </c>
      <c r="Z321" s="17" t="n">
        <v>0</v>
      </c>
      <c r="AA321" s="17" t="n">
        <v>0</v>
      </c>
      <c r="AB321" s="18" t="n">
        <v>0</v>
      </c>
      <c r="AC321" s="16" t="n">
        <v>-0.03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-0.03</v>
      </c>
      <c r="AK321" s="17" t="n">
        <v>0</v>
      </c>
      <c r="AL321" s="17" t="n">
        <v>0</v>
      </c>
      <c r="AM321" s="18" t="n">
        <v>0</v>
      </c>
      <c r="AN321" s="16" t="n">
        <v>11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11</v>
      </c>
      <c r="AV321" s="17" t="n">
        <v>0</v>
      </c>
      <c r="AW321" s="17" t="n">
        <v>0</v>
      </c>
      <c r="AX321" s="18" t="n">
        <v>0</v>
      </c>
      <c r="AY321" s="16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8" t="n">
        <v>0</v>
      </c>
      <c r="BJ321" s="16" t="n">
        <v>11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11</v>
      </c>
      <c r="BR321" s="17" t="n">
        <v>0</v>
      </c>
      <c r="BS321" s="17" t="n">
        <v>0</v>
      </c>
      <c r="BT321" s="18" t="n">
        <v>0</v>
      </c>
      <c r="BU321" s="17" t="inlineStr">
        <is>
          <t>Unclassified</t>
        </is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90</v>
      </c>
      <c r="O322" s="17" t="n">
        <v>0</v>
      </c>
      <c r="P322" s="17" t="n">
        <v>0</v>
      </c>
      <c r="Q322" s="18" t="n">
        <v>0</v>
      </c>
      <c r="R322" s="16" t="n">
        <v>0.18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0.18</v>
      </c>
      <c r="Z322" s="17" t="n">
        <v>0</v>
      </c>
      <c r="AA322" s="17" t="n">
        <v>0</v>
      </c>
      <c r="AB322" s="18" t="n">
        <v>0</v>
      </c>
      <c r="AC322" s="16" t="n">
        <v>-0.18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-0.18</v>
      </c>
      <c r="AK322" s="17" t="n">
        <v>0</v>
      </c>
      <c r="AL322" s="17" t="n">
        <v>0</v>
      </c>
      <c r="AM322" s="18" t="n">
        <v>0</v>
      </c>
      <c r="AN322" s="16" t="n">
        <v>26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26</v>
      </c>
      <c r="AV322" s="17" t="n">
        <v>0</v>
      </c>
      <c r="AW322" s="17" t="n">
        <v>0</v>
      </c>
      <c r="AX322" s="18" t="n">
        <v>0</v>
      </c>
      <c r="AY322" s="16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8" t="n">
        <v>0</v>
      </c>
      <c r="BJ322" s="16" t="n">
        <v>26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26</v>
      </c>
      <c r="BR322" s="17" t="n">
        <v>0</v>
      </c>
      <c r="BS322" s="17" t="n">
        <v>0</v>
      </c>
      <c r="BT322" s="18" t="n">
        <v>0</v>
      </c>
      <c r="BU322" s="17" t="inlineStr">
        <is>
          <t>Unclassified</t>
        </is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90</v>
      </c>
      <c r="O323" s="17" t="n">
        <v>0</v>
      </c>
      <c r="P323" s="17" t="n">
        <v>0</v>
      </c>
      <c r="Q323" s="18" t="n">
        <v>0</v>
      </c>
      <c r="R323" s="16" t="n">
        <v>0.9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0.9</v>
      </c>
      <c r="Z323" s="17" t="n">
        <v>0</v>
      </c>
      <c r="AA323" s="17" t="n">
        <v>0</v>
      </c>
      <c r="AB323" s="18" t="n">
        <v>0</v>
      </c>
      <c r="AC323" s="16" t="n">
        <v>-0.9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-0.9</v>
      </c>
      <c r="AK323" s="17" t="n">
        <v>0</v>
      </c>
      <c r="AL323" s="17" t="n">
        <v>0</v>
      </c>
      <c r="AM323" s="18" t="n">
        <v>0</v>
      </c>
      <c r="AN323" s="16" t="n">
        <v>29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29</v>
      </c>
      <c r="AV323" s="17" t="n">
        <v>0</v>
      </c>
      <c r="AW323" s="17" t="n">
        <v>0</v>
      </c>
      <c r="AX323" s="18" t="n">
        <v>0</v>
      </c>
      <c r="AY323" s="16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8" t="n">
        <v>0</v>
      </c>
      <c r="BJ323" s="16" t="n">
        <v>29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29</v>
      </c>
      <c r="BR323" s="17" t="n">
        <v>0</v>
      </c>
      <c r="BS323" s="17" t="n">
        <v>0</v>
      </c>
      <c r="BT323" s="18" t="n">
        <v>0</v>
      </c>
      <c r="BU323" s="17" t="inlineStr">
        <is>
          <t>Unclassified</t>
        </is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0</v>
      </c>
      <c r="J324" s="17" t="n">
        <v>432</v>
      </c>
      <c r="K324" s="17" t="n">
        <v>112</v>
      </c>
      <c r="L324" s="17" t="n">
        <v>0</v>
      </c>
      <c r="M324" s="17" t="n">
        <v>0</v>
      </c>
      <c r="N324" s="17" t="n">
        <v>496</v>
      </c>
      <c r="O324" s="17" t="n">
        <v>16</v>
      </c>
      <c r="P324" s="17" t="n">
        <v>0</v>
      </c>
      <c r="Q324" s="18" t="n">
        <v>0</v>
      </c>
      <c r="R324" s="16" t="n">
        <v>67</v>
      </c>
      <c r="S324" s="17" t="n">
        <v>0</v>
      </c>
      <c r="T324" s="17" t="n">
        <v>0</v>
      </c>
      <c r="U324" s="17" t="n">
        <v>27</v>
      </c>
      <c r="V324" s="17" t="n">
        <v>7</v>
      </c>
      <c r="W324" s="17" t="n">
        <v>0</v>
      </c>
      <c r="X324" s="17" t="n">
        <v>0</v>
      </c>
      <c r="Y324" s="17" t="n">
        <v>31</v>
      </c>
      <c r="Z324" s="17" t="n">
        <v>1</v>
      </c>
      <c r="AA324" s="17" t="n">
        <v>0</v>
      </c>
      <c r="AB324" s="18" t="n">
        <v>0</v>
      </c>
      <c r="AC324" s="16" t="n">
        <v>-43</v>
      </c>
      <c r="AD324" s="17" t="n">
        <v>24</v>
      </c>
      <c r="AE324" s="17" t="n">
        <v>24</v>
      </c>
      <c r="AF324" s="17" t="n">
        <v>-3</v>
      </c>
      <c r="AG324" s="17" t="n">
        <v>17</v>
      </c>
      <c r="AH324" s="17" t="n">
        <v>24</v>
      </c>
      <c r="AI324" s="17" t="n">
        <v>24</v>
      </c>
      <c r="AJ324" s="17" t="n">
        <v>-7</v>
      </c>
      <c r="AK324" s="17" t="n">
        <v>23</v>
      </c>
      <c r="AL324" s="17" t="n">
        <v>24</v>
      </c>
      <c r="AM324" s="18" t="n">
        <v>24</v>
      </c>
      <c r="AN324" s="16" t="n">
        <v>714</v>
      </c>
      <c r="AO324" s="17" t="n">
        <v>0</v>
      </c>
      <c r="AP324" s="17" t="n">
        <v>0</v>
      </c>
      <c r="AQ324" s="17" t="n">
        <v>132</v>
      </c>
      <c r="AR324" s="17" t="n">
        <v>23</v>
      </c>
      <c r="AS324" s="17" t="n">
        <v>0</v>
      </c>
      <c r="AT324" s="17" t="n">
        <v>0</v>
      </c>
      <c r="AU324" s="17" t="n">
        <v>497</v>
      </c>
      <c r="AV324" s="17" t="n">
        <v>1</v>
      </c>
      <c r="AW324" s="17" t="n">
        <v>0</v>
      </c>
      <c r="AX324" s="18" t="n">
        <v>0</v>
      </c>
      <c r="AY324" s="16" t="n">
        <v>335</v>
      </c>
      <c r="AZ324" s="17" t="n">
        <v>0</v>
      </c>
      <c r="BA324" s="17" t="n">
        <v>0</v>
      </c>
      <c r="BB324" s="17" t="n">
        <v>135</v>
      </c>
      <c r="BC324" s="17" t="n">
        <v>35</v>
      </c>
      <c r="BD324" s="17" t="n">
        <v>0</v>
      </c>
      <c r="BE324" s="17" t="n">
        <v>0</v>
      </c>
      <c r="BF324" s="17" t="n">
        <v>155</v>
      </c>
      <c r="BG324" s="17" t="n">
        <v>5</v>
      </c>
      <c r="BH324" s="17" t="n">
        <v>0</v>
      </c>
      <c r="BI324" s="18" t="n">
        <v>0</v>
      </c>
      <c r="BJ324" s="16" t="n">
        <v>379</v>
      </c>
      <c r="BK324" s="17" t="n">
        <v>0</v>
      </c>
      <c r="BL324" s="17" t="n">
        <v>0</v>
      </c>
      <c r="BM324" s="17" t="n">
        <v>-3</v>
      </c>
      <c r="BN324" s="17" t="n">
        <v>-12</v>
      </c>
      <c r="BO324" s="17" t="n">
        <v>0</v>
      </c>
      <c r="BP324" s="17" t="n">
        <v>0</v>
      </c>
      <c r="BQ324" s="17" t="n">
        <v>342</v>
      </c>
      <c r="BR324" s="17" t="n">
        <v>-4</v>
      </c>
      <c r="BS324" s="17" t="n">
        <v>0</v>
      </c>
      <c r="BT324" s="18" t="n">
        <v>0</v>
      </c>
      <c r="BU324" s="17" t="inlineStr">
        <is>
          <t>Generic Drug</t>
        </is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36</v>
      </c>
      <c r="O325" s="17" t="n">
        <v>0</v>
      </c>
      <c r="P325" s="17" t="n">
        <v>0</v>
      </c>
      <c r="Q325" s="18" t="n">
        <v>0</v>
      </c>
      <c r="R325" s="16" t="n">
        <v>3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3</v>
      </c>
      <c r="Z325" s="17" t="n">
        <v>0</v>
      </c>
      <c r="AA325" s="17" t="n">
        <v>0</v>
      </c>
      <c r="AB325" s="18" t="n">
        <v>0</v>
      </c>
      <c r="AC325" s="16" t="n">
        <v>-3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-3</v>
      </c>
      <c r="AK325" s="17" t="n">
        <v>0</v>
      </c>
      <c r="AL325" s="17" t="n">
        <v>0</v>
      </c>
      <c r="AM325" s="18" t="n">
        <v>0</v>
      </c>
      <c r="AN325" s="16" t="n">
        <v>565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565</v>
      </c>
      <c r="AV325" s="17" t="n">
        <v>0</v>
      </c>
      <c r="AW325" s="17" t="n">
        <v>0</v>
      </c>
      <c r="AX325" s="18" t="n">
        <v>0</v>
      </c>
      <c r="AY325" s="16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8" t="n">
        <v>0</v>
      </c>
      <c r="BJ325" s="16" t="n">
        <v>565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565</v>
      </c>
      <c r="BR325" s="17" t="n">
        <v>0</v>
      </c>
      <c r="BS325" s="17" t="n">
        <v>0</v>
      </c>
      <c r="BT325" s="18" t="n">
        <v>0</v>
      </c>
      <c r="BU325" s="17" t="inlineStr">
        <is>
          <t>Unclassified</t>
        </is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0</v>
      </c>
      <c r="J326" s="17" t="n">
        <v>12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8" t="n">
        <v>0</v>
      </c>
      <c r="R326" s="16" t="n">
        <v>1</v>
      </c>
      <c r="S326" s="17" t="n">
        <v>0</v>
      </c>
      <c r="T326" s="17" t="n">
        <v>0</v>
      </c>
      <c r="U326" s="17" t="n">
        <v>1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8" t="n">
        <v>0</v>
      </c>
      <c r="AC326" s="16" t="n">
        <v>-1</v>
      </c>
      <c r="AD326" s="17" t="n">
        <v>0</v>
      </c>
      <c r="AE326" s="17" t="n">
        <v>0</v>
      </c>
      <c r="AF326" s="17" t="n">
        <v>-1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8" t="n">
        <v>0</v>
      </c>
      <c r="AN326" s="16" t="n">
        <v>218</v>
      </c>
      <c r="AO326" s="17" t="n">
        <v>0</v>
      </c>
      <c r="AP326" s="17" t="n">
        <v>0</v>
      </c>
      <c r="AQ326" s="17" t="n">
        <v>218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8" t="n">
        <v>0</v>
      </c>
      <c r="AY326" s="16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8" t="n">
        <v>0</v>
      </c>
      <c r="BJ326" s="16" t="n">
        <v>218</v>
      </c>
      <c r="BK326" s="17" t="n">
        <v>0</v>
      </c>
      <c r="BL326" s="17" t="n">
        <v>0</v>
      </c>
      <c r="BM326" s="17" t="n">
        <v>218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8" t="n">
        <v>0</v>
      </c>
      <c r="BU326" s="17" t="inlineStr">
        <is>
          <t>Unclassified</t>
        </is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10.6</v>
      </c>
      <c r="K327" s="17" t="n">
        <v>0</v>
      </c>
      <c r="L327" s="17" t="n">
        <v>0</v>
      </c>
      <c r="M327" s="17" t="n">
        <v>0</v>
      </c>
      <c r="N327" s="17" t="n">
        <v>10.6</v>
      </c>
      <c r="O327" s="17" t="n">
        <v>0</v>
      </c>
      <c r="P327" s="17" t="n">
        <v>0</v>
      </c>
      <c r="Q327" s="18" t="n">
        <v>0</v>
      </c>
      <c r="R327" s="16" t="n">
        <v>3</v>
      </c>
      <c r="S327" s="17" t="n">
        <v>0</v>
      </c>
      <c r="T327" s="17" t="n">
        <v>1</v>
      </c>
      <c r="U327" s="17" t="n">
        <v>1</v>
      </c>
      <c r="V327" s="17" t="n">
        <v>0</v>
      </c>
      <c r="W327" s="17" t="n">
        <v>0</v>
      </c>
      <c r="X327" s="17" t="n">
        <v>0</v>
      </c>
      <c r="Y327" s="17" t="n">
        <v>1</v>
      </c>
      <c r="Z327" s="17" t="n">
        <v>0</v>
      </c>
      <c r="AA327" s="17" t="n">
        <v>0</v>
      </c>
      <c r="AB327" s="18" t="n">
        <v>0</v>
      </c>
      <c r="AC327" s="16" t="n">
        <v>1</v>
      </c>
      <c r="AD327" s="17" t="n">
        <v>4</v>
      </c>
      <c r="AE327" s="17" t="n">
        <v>3</v>
      </c>
      <c r="AF327" s="17" t="n">
        <v>3</v>
      </c>
      <c r="AG327" s="17" t="n">
        <v>4</v>
      </c>
      <c r="AH327" s="17" t="n">
        <v>4</v>
      </c>
      <c r="AI327" s="17" t="n">
        <v>4</v>
      </c>
      <c r="AJ327" s="17" t="n">
        <v>3</v>
      </c>
      <c r="AK327" s="17" t="n">
        <v>4</v>
      </c>
      <c r="AL327" s="17" t="n">
        <v>4</v>
      </c>
      <c r="AM327" s="18" t="n">
        <v>4</v>
      </c>
      <c r="AN327" s="16" t="n">
        <v>415</v>
      </c>
      <c r="AO327" s="17" t="n">
        <v>0</v>
      </c>
      <c r="AP327" s="17" t="n">
        <v>118</v>
      </c>
      <c r="AQ327" s="17" t="n">
        <v>152</v>
      </c>
      <c r="AR327" s="17" t="n">
        <v>0</v>
      </c>
      <c r="AS327" s="17" t="n">
        <v>0</v>
      </c>
      <c r="AT327" s="17" t="n">
        <v>0</v>
      </c>
      <c r="AU327" s="17" t="n">
        <v>143</v>
      </c>
      <c r="AV327" s="17" t="n">
        <v>0</v>
      </c>
      <c r="AW327" s="17" t="n">
        <v>0</v>
      </c>
      <c r="AX327" s="18" t="n">
        <v>0</v>
      </c>
      <c r="AY327" s="16" t="n">
        <v>447</v>
      </c>
      <c r="AZ327" s="17" t="n">
        <v>0</v>
      </c>
      <c r="BA327" s="17" t="n">
        <v>149</v>
      </c>
      <c r="BB327" s="17" t="n">
        <v>149</v>
      </c>
      <c r="BC327" s="17" t="n">
        <v>0</v>
      </c>
      <c r="BD327" s="17" t="n">
        <v>0</v>
      </c>
      <c r="BE327" s="17" t="n">
        <v>0</v>
      </c>
      <c r="BF327" s="17" t="n">
        <v>149</v>
      </c>
      <c r="BG327" s="17" t="n">
        <v>0</v>
      </c>
      <c r="BH327" s="17" t="n">
        <v>0</v>
      </c>
      <c r="BI327" s="18" t="n">
        <v>0</v>
      </c>
      <c r="BJ327" s="16" t="n">
        <v>-32</v>
      </c>
      <c r="BK327" s="17" t="n">
        <v>0</v>
      </c>
      <c r="BL327" s="17" t="n">
        <v>-31</v>
      </c>
      <c r="BM327" s="17" t="n">
        <v>3</v>
      </c>
      <c r="BN327" s="17" t="n">
        <v>0</v>
      </c>
      <c r="BO327" s="17" t="n">
        <v>0</v>
      </c>
      <c r="BP327" s="17" t="n">
        <v>0</v>
      </c>
      <c r="BQ327" s="17" t="n">
        <v>-6</v>
      </c>
      <c r="BR327" s="17" t="n">
        <v>0</v>
      </c>
      <c r="BS327" s="17" t="n">
        <v>0</v>
      </c>
      <c r="BT327" s="18" t="n">
        <v>0</v>
      </c>
      <c r="BU327" s="17" t="inlineStr">
        <is>
          <t>Generic Drug</t>
        </is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0</v>
      </c>
      <c r="J328" s="17" t="n">
        <v>120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8" t="n">
        <v>0</v>
      </c>
      <c r="R328" s="16" t="n">
        <v>2</v>
      </c>
      <c r="S328" s="17" t="n">
        <v>0</v>
      </c>
      <c r="T328" s="17" t="n">
        <v>0</v>
      </c>
      <c r="U328" s="17" t="n">
        <v>2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8" t="n">
        <v>0</v>
      </c>
      <c r="AC328" s="16" t="n">
        <v>-2</v>
      </c>
      <c r="AD328" s="17" t="n">
        <v>0</v>
      </c>
      <c r="AE328" s="17" t="n">
        <v>0</v>
      </c>
      <c r="AF328" s="17" t="n">
        <v>-2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8" t="n">
        <v>0</v>
      </c>
      <c r="AN328" s="16" t="n">
        <v>77</v>
      </c>
      <c r="AO328" s="17" t="n">
        <v>0</v>
      </c>
      <c r="AP328" s="17" t="n">
        <v>0</v>
      </c>
      <c r="AQ328" s="17" t="n">
        <v>76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8" t="n">
        <v>0</v>
      </c>
      <c r="AY328" s="16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8" t="n">
        <v>0</v>
      </c>
      <c r="BJ328" s="16" t="n">
        <v>77</v>
      </c>
      <c r="BK328" s="17" t="n">
        <v>0</v>
      </c>
      <c r="BL328" s="17" t="n">
        <v>0</v>
      </c>
      <c r="BM328" s="17" t="n">
        <v>76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8" t="n">
        <v>0</v>
      </c>
      <c r="BU328" s="17" t="inlineStr">
        <is>
          <t>Unclassified</t>
        </is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0</v>
      </c>
      <c r="J329" s="17" t="n">
        <v>240</v>
      </c>
      <c r="K329" s="17" t="n">
        <v>60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8" t="n">
        <v>0</v>
      </c>
      <c r="R329" s="16" t="n">
        <v>5</v>
      </c>
      <c r="S329" s="17" t="n">
        <v>0</v>
      </c>
      <c r="T329" s="17" t="n">
        <v>0</v>
      </c>
      <c r="U329" s="17" t="n">
        <v>4</v>
      </c>
      <c r="V329" s="17" t="n">
        <v>1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8" t="n">
        <v>0</v>
      </c>
      <c r="AC329" s="16" t="n">
        <v>2</v>
      </c>
      <c r="AD329" s="17" t="n">
        <v>7</v>
      </c>
      <c r="AE329" s="17" t="n">
        <v>7</v>
      </c>
      <c r="AF329" s="17" t="n">
        <v>3</v>
      </c>
      <c r="AG329" s="17" t="n">
        <v>6</v>
      </c>
      <c r="AH329" s="17" t="n">
        <v>7</v>
      </c>
      <c r="AI329" s="17" t="n">
        <v>7</v>
      </c>
      <c r="AJ329" s="17" t="n">
        <v>7</v>
      </c>
      <c r="AK329" s="17" t="n">
        <v>7</v>
      </c>
      <c r="AL329" s="17" t="n">
        <v>7</v>
      </c>
      <c r="AM329" s="18" t="n">
        <v>7</v>
      </c>
      <c r="AN329" s="16" t="n">
        <v>293</v>
      </c>
      <c r="AO329" s="17" t="n">
        <v>0</v>
      </c>
      <c r="AP329" s="17" t="n">
        <v>0</v>
      </c>
      <c r="AQ329" s="17" t="n">
        <v>181</v>
      </c>
      <c r="AR329" s="17" t="n">
        <v>104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8" t="n">
        <v>0</v>
      </c>
      <c r="AY329" s="16" t="n">
        <v>345</v>
      </c>
      <c r="AZ329" s="17" t="n">
        <v>0</v>
      </c>
      <c r="BA329" s="17" t="n">
        <v>0</v>
      </c>
      <c r="BB329" s="17" t="n">
        <v>276</v>
      </c>
      <c r="BC329" s="17" t="n">
        <v>69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8" t="n">
        <v>0</v>
      </c>
      <c r="BJ329" s="16" t="n">
        <v>-52</v>
      </c>
      <c r="BK329" s="17" t="n">
        <v>0</v>
      </c>
      <c r="BL329" s="17" t="n">
        <v>0</v>
      </c>
      <c r="BM329" s="17" t="n">
        <v>-95</v>
      </c>
      <c r="BN329" s="17" t="n">
        <v>35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8" t="n">
        <v>0</v>
      </c>
      <c r="BU329" s="17" t="inlineStr">
        <is>
          <t>Generic Drug</t>
        </is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690</v>
      </c>
      <c r="O330" s="17" t="n">
        <v>0</v>
      </c>
      <c r="P330" s="17" t="n">
        <v>0</v>
      </c>
      <c r="Q330" s="18" t="n">
        <v>0</v>
      </c>
      <c r="R330" s="16" t="n">
        <v>0.72</v>
      </c>
      <c r="S330" s="17" t="n">
        <v>0</v>
      </c>
      <c r="T330" s="17" t="n">
        <v>0</v>
      </c>
      <c r="U330" s="17" t="n">
        <v>0.03</v>
      </c>
      <c r="V330" s="17" t="n">
        <v>0</v>
      </c>
      <c r="W330" s="17" t="n">
        <v>0</v>
      </c>
      <c r="X330" s="17" t="n">
        <v>0</v>
      </c>
      <c r="Y330" s="17" t="n">
        <v>0.6899999999999999</v>
      </c>
      <c r="Z330" s="17" t="n">
        <v>0</v>
      </c>
      <c r="AA330" s="17" t="n">
        <v>0</v>
      </c>
      <c r="AB330" s="18" t="n">
        <v>0</v>
      </c>
      <c r="AC330" s="16" t="n">
        <v>-0.72</v>
      </c>
      <c r="AD330" s="17" t="n">
        <v>0</v>
      </c>
      <c r="AE330" s="17" t="n">
        <v>0</v>
      </c>
      <c r="AF330" s="17" t="n">
        <v>-0.03</v>
      </c>
      <c r="AG330" s="17" t="n">
        <v>0</v>
      </c>
      <c r="AH330" s="17" t="n">
        <v>0</v>
      </c>
      <c r="AI330" s="17" t="n">
        <v>0</v>
      </c>
      <c r="AJ330" s="17" t="n">
        <v>-0.6899999999999999</v>
      </c>
      <c r="AK330" s="17" t="n">
        <v>0</v>
      </c>
      <c r="AL330" s="17" t="n">
        <v>0</v>
      </c>
      <c r="AM330" s="18" t="n">
        <v>0</v>
      </c>
      <c r="AN330" s="16" t="n">
        <v>127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126</v>
      </c>
      <c r="AV330" s="17" t="n">
        <v>0</v>
      </c>
      <c r="AW330" s="17" t="n">
        <v>0</v>
      </c>
      <c r="AX330" s="18" t="n">
        <v>0</v>
      </c>
      <c r="AY330" s="16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8" t="n">
        <v>0</v>
      </c>
      <c r="BJ330" s="16" t="n">
        <v>127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126</v>
      </c>
      <c r="BR330" s="17" t="n">
        <v>0</v>
      </c>
      <c r="BS330" s="17" t="n">
        <v>0</v>
      </c>
      <c r="BT330" s="18" t="n">
        <v>0</v>
      </c>
      <c r="BU330" s="17" t="inlineStr">
        <is>
          <t>Unclassified</t>
        </is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90</v>
      </c>
      <c r="O331" s="17" t="n">
        <v>0</v>
      </c>
      <c r="P331" s="17" t="n">
        <v>0</v>
      </c>
      <c r="Q331" s="18" t="n">
        <v>0</v>
      </c>
      <c r="R331" s="16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0.9</v>
      </c>
      <c r="Z331" s="17" t="n">
        <v>0</v>
      </c>
      <c r="AA331" s="17" t="n">
        <v>0</v>
      </c>
      <c r="AB331" s="18" t="n">
        <v>0</v>
      </c>
      <c r="AC331" s="16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-0.9</v>
      </c>
      <c r="AK331" s="17" t="n">
        <v>0</v>
      </c>
      <c r="AL331" s="17" t="n">
        <v>0</v>
      </c>
      <c r="AM331" s="18" t="n">
        <v>0</v>
      </c>
      <c r="AN331" s="16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</v>
      </c>
      <c r="AV331" s="17" t="n">
        <v>0</v>
      </c>
      <c r="AW331" s="17" t="n">
        <v>0</v>
      </c>
      <c r="AX331" s="18" t="n">
        <v>0</v>
      </c>
      <c r="AY331" s="16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8" t="n">
        <v>0</v>
      </c>
      <c r="BJ331" s="16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1</v>
      </c>
      <c r="BR331" s="17" t="n">
        <v>0</v>
      </c>
      <c r="BS331" s="17" t="n">
        <v>0</v>
      </c>
      <c r="BT331" s="18" t="n">
        <v>0</v>
      </c>
      <c r="BU331" s="17" t="inlineStr">
        <is>
          <t>Unclassified</t>
        </is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0</v>
      </c>
      <c r="J332" s="17" t="n">
        <v>9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8" t="n">
        <v>0</v>
      </c>
      <c r="R332" s="16" t="n">
        <v>9</v>
      </c>
      <c r="S332" s="17" t="n">
        <v>0</v>
      </c>
      <c r="T332" s="17" t="n">
        <v>0</v>
      </c>
      <c r="U332" s="17" t="n">
        <v>9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8" t="n">
        <v>0</v>
      </c>
      <c r="AC332" s="16" t="n">
        <v>-6</v>
      </c>
      <c r="AD332" s="17" t="n">
        <v>3</v>
      </c>
      <c r="AE332" s="17" t="n">
        <v>3</v>
      </c>
      <c r="AF332" s="17" t="n">
        <v>-6</v>
      </c>
      <c r="AG332" s="17" t="n">
        <v>3</v>
      </c>
      <c r="AH332" s="17" t="n">
        <v>3</v>
      </c>
      <c r="AI332" s="17" t="n">
        <v>3</v>
      </c>
      <c r="AJ332" s="17" t="n">
        <v>3</v>
      </c>
      <c r="AK332" s="17" t="n">
        <v>3</v>
      </c>
      <c r="AL332" s="17" t="n">
        <v>3</v>
      </c>
      <c r="AM332" s="18" t="n">
        <v>3</v>
      </c>
      <c r="AN332" s="16" t="n">
        <v>183</v>
      </c>
      <c r="AO332" s="17" t="n">
        <v>0</v>
      </c>
      <c r="AP332" s="17" t="n">
        <v>0</v>
      </c>
      <c r="AQ332" s="17" t="n">
        <v>183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8" t="n">
        <v>0</v>
      </c>
      <c r="AY332" s="16" t="n">
        <v>234</v>
      </c>
      <c r="AZ332" s="17" t="n">
        <v>0</v>
      </c>
      <c r="BA332" s="17" t="n">
        <v>0</v>
      </c>
      <c r="BB332" s="17" t="n">
        <v>234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8" t="n">
        <v>0</v>
      </c>
      <c r="BJ332" s="16" t="n">
        <v>-51</v>
      </c>
      <c r="BK332" s="17" t="n">
        <v>0</v>
      </c>
      <c r="BL332" s="17" t="n">
        <v>0</v>
      </c>
      <c r="BM332" s="17" t="n">
        <v>-51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8" t="n">
        <v>0</v>
      </c>
      <c r="BU332" s="17" t="inlineStr">
        <is>
          <t>Generic Drug</t>
        </is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2</v>
      </c>
      <c r="O333" s="17" t="n">
        <v>0</v>
      </c>
      <c r="P333" s="17" t="n">
        <v>0</v>
      </c>
      <c r="Q333" s="18" t="n">
        <v>0</v>
      </c>
      <c r="R333" s="16" t="n">
        <v>2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2</v>
      </c>
      <c r="Z333" s="17" t="n">
        <v>0</v>
      </c>
      <c r="AA333" s="17" t="n">
        <v>0</v>
      </c>
      <c r="AB333" s="18" t="n">
        <v>0</v>
      </c>
      <c r="AC333" s="16" t="n">
        <v>-2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-2</v>
      </c>
      <c r="AK333" s="17" t="n">
        <v>0</v>
      </c>
      <c r="AL333" s="17" t="n">
        <v>0</v>
      </c>
      <c r="AM333" s="18" t="n">
        <v>0</v>
      </c>
      <c r="AN333" s="16" t="n">
        <v>164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164</v>
      </c>
      <c r="AV333" s="17" t="n">
        <v>0</v>
      </c>
      <c r="AW333" s="17" t="n">
        <v>0</v>
      </c>
      <c r="AX333" s="18" t="n">
        <v>0</v>
      </c>
      <c r="AY333" s="16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8" t="n">
        <v>0</v>
      </c>
      <c r="BJ333" s="16" t="n">
        <v>164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164</v>
      </c>
      <c r="BR333" s="17" t="n">
        <v>0</v>
      </c>
      <c r="BS333" s="17" t="n">
        <v>0</v>
      </c>
      <c r="BT333" s="18" t="n">
        <v>0</v>
      </c>
      <c r="BU333" s="17" t="inlineStr">
        <is>
          <t>Unclassified</t>
        </is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0</v>
      </c>
      <c r="N334" s="17" t="n">
        <v>4</v>
      </c>
      <c r="O334" s="17" t="n">
        <v>0</v>
      </c>
      <c r="P334" s="17" t="n">
        <v>0</v>
      </c>
      <c r="Q334" s="18" t="n">
        <v>0</v>
      </c>
      <c r="R334" s="16" t="n">
        <v>10</v>
      </c>
      <c r="S334" s="17" t="n">
        <v>0</v>
      </c>
      <c r="T334" s="17" t="n">
        <v>0</v>
      </c>
      <c r="U334" s="17" t="n">
        <v>0</v>
      </c>
      <c r="V334" s="17" t="n">
        <v>2</v>
      </c>
      <c r="W334" s="17" t="n">
        <v>0</v>
      </c>
      <c r="X334" s="17" t="n">
        <v>0</v>
      </c>
      <c r="Y334" s="17" t="n">
        <v>4</v>
      </c>
      <c r="Z334" s="17" t="n">
        <v>0</v>
      </c>
      <c r="AA334" s="17" t="n">
        <v>0</v>
      </c>
      <c r="AB334" s="18" t="n">
        <v>0</v>
      </c>
      <c r="AC334" s="16" t="n">
        <v>-10</v>
      </c>
      <c r="AD334" s="17" t="n">
        <v>0</v>
      </c>
      <c r="AE334" s="17" t="n">
        <v>0</v>
      </c>
      <c r="AF334" s="17" t="n">
        <v>0</v>
      </c>
      <c r="AG334" s="17" t="n">
        <v>-2</v>
      </c>
      <c r="AH334" s="17" t="n">
        <v>0</v>
      </c>
      <c r="AI334" s="17" t="n">
        <v>0</v>
      </c>
      <c r="AJ334" s="17" t="n">
        <v>-4</v>
      </c>
      <c r="AK334" s="17" t="n">
        <v>0</v>
      </c>
      <c r="AL334" s="17" t="n">
        <v>0</v>
      </c>
      <c r="AM334" s="18" t="n">
        <v>0</v>
      </c>
      <c r="AN334" s="16" t="n">
        <v>987</v>
      </c>
      <c r="AO334" s="17" t="n">
        <v>0</v>
      </c>
      <c r="AP334" s="17" t="n">
        <v>0</v>
      </c>
      <c r="AQ334" s="17" t="n">
        <v>0</v>
      </c>
      <c r="AR334" s="17" t="n">
        <v>127</v>
      </c>
      <c r="AS334" s="17" t="n">
        <v>0</v>
      </c>
      <c r="AT334" s="17" t="n">
        <v>0</v>
      </c>
      <c r="AU334" s="17" t="n">
        <v>306</v>
      </c>
      <c r="AV334" s="17" t="n">
        <v>0</v>
      </c>
      <c r="AW334" s="17" t="n">
        <v>0</v>
      </c>
      <c r="AX334" s="18" t="n">
        <v>0</v>
      </c>
      <c r="AY334" s="16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8" t="n">
        <v>0</v>
      </c>
      <c r="BJ334" s="16" t="n">
        <v>987</v>
      </c>
      <c r="BK334" s="17" t="n">
        <v>0</v>
      </c>
      <c r="BL334" s="17" t="n">
        <v>0</v>
      </c>
      <c r="BM334" s="17" t="n">
        <v>0</v>
      </c>
      <c r="BN334" s="17" t="n">
        <v>127</v>
      </c>
      <c r="BO334" s="17" t="n">
        <v>0</v>
      </c>
      <c r="BP334" s="17" t="n">
        <v>0</v>
      </c>
      <c r="BQ334" s="17" t="n">
        <v>306</v>
      </c>
      <c r="BR334" s="17" t="n">
        <v>0</v>
      </c>
      <c r="BS334" s="17" t="n">
        <v>0</v>
      </c>
      <c r="BT334" s="18" t="n">
        <v>0</v>
      </c>
      <c r="BU334" s="17" t="inlineStr">
        <is>
          <t>Unclassified</t>
        </is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0</v>
      </c>
      <c r="J335" s="17" t="n">
        <v>300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100</v>
      </c>
      <c r="Q335" s="18" t="n">
        <v>0</v>
      </c>
      <c r="R335" s="16" t="n">
        <v>8</v>
      </c>
      <c r="S335" s="17" t="n">
        <v>0</v>
      </c>
      <c r="T335" s="17" t="n">
        <v>0</v>
      </c>
      <c r="U335" s="17" t="n">
        <v>6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2</v>
      </c>
      <c r="AB335" s="18" t="n">
        <v>0</v>
      </c>
      <c r="AC335" s="16" t="n">
        <v>-8</v>
      </c>
      <c r="AD335" s="17" t="n">
        <v>0</v>
      </c>
      <c r="AE335" s="17" t="n">
        <v>0</v>
      </c>
      <c r="AF335" s="17" t="n">
        <v>-6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-2</v>
      </c>
      <c r="AM335" s="18" t="n">
        <v>0</v>
      </c>
      <c r="AN335" s="16" t="n">
        <v>529</v>
      </c>
      <c r="AO335" s="17" t="n">
        <v>0</v>
      </c>
      <c r="AP335" s="17" t="n">
        <v>0</v>
      </c>
      <c r="AQ335" s="17" t="n">
        <v>396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134</v>
      </c>
      <c r="AX335" s="18" t="n">
        <v>0</v>
      </c>
      <c r="AY335" s="16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8" t="n">
        <v>0</v>
      </c>
      <c r="BJ335" s="16" t="n">
        <v>529</v>
      </c>
      <c r="BK335" s="17" t="n">
        <v>0</v>
      </c>
      <c r="BL335" s="17" t="n">
        <v>0</v>
      </c>
      <c r="BM335" s="17" t="n">
        <v>396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134</v>
      </c>
      <c r="BT335" s="18" t="n">
        <v>0</v>
      </c>
      <c r="BU335" s="17" t="inlineStr">
        <is>
          <t>Unclassified</t>
        </is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0</v>
      </c>
      <c r="J336" s="17" t="n">
        <v>210</v>
      </c>
      <c r="K336" s="17" t="n">
        <v>270</v>
      </c>
      <c r="L336" s="17" t="n">
        <v>0</v>
      </c>
      <c r="M336" s="17" t="n">
        <v>0</v>
      </c>
      <c r="N336" s="17" t="n">
        <v>30</v>
      </c>
      <c r="O336" s="17" t="n">
        <v>0</v>
      </c>
      <c r="P336" s="17" t="n">
        <v>0</v>
      </c>
      <c r="Q336" s="18" t="n">
        <v>0</v>
      </c>
      <c r="R336" s="16" t="n">
        <v>0.51</v>
      </c>
      <c r="S336" s="17" t="n">
        <v>0</v>
      </c>
      <c r="T336" s="17" t="n">
        <v>0</v>
      </c>
      <c r="U336" s="17" t="n">
        <v>0.21</v>
      </c>
      <c r="V336" s="17" t="n">
        <v>0.27</v>
      </c>
      <c r="W336" s="17" t="n">
        <v>0</v>
      </c>
      <c r="X336" s="17" t="n">
        <v>0</v>
      </c>
      <c r="Y336" s="17" t="n">
        <v>0.03</v>
      </c>
      <c r="Z336" s="17" t="n">
        <v>0</v>
      </c>
      <c r="AA336" s="17" t="n">
        <v>0</v>
      </c>
      <c r="AB336" s="18" t="n">
        <v>0</v>
      </c>
      <c r="AC336" s="16" t="n">
        <v>-0.51</v>
      </c>
      <c r="AD336" s="17" t="n">
        <v>0</v>
      </c>
      <c r="AE336" s="17" t="n">
        <v>0</v>
      </c>
      <c r="AF336" s="17" t="n">
        <v>-0.21</v>
      </c>
      <c r="AG336" s="17" t="n">
        <v>-0.27</v>
      </c>
      <c r="AH336" s="17" t="n">
        <v>0</v>
      </c>
      <c r="AI336" s="17" t="n">
        <v>0</v>
      </c>
      <c r="AJ336" s="17" t="n">
        <v>-0.03</v>
      </c>
      <c r="AK336" s="17" t="n">
        <v>0</v>
      </c>
      <c r="AL336" s="17" t="n">
        <v>0</v>
      </c>
      <c r="AM336" s="18" t="n">
        <v>0</v>
      </c>
      <c r="AN336" s="16" t="n">
        <v>25</v>
      </c>
      <c r="AO336" s="17" t="n">
        <v>0</v>
      </c>
      <c r="AP336" s="17" t="n">
        <v>0</v>
      </c>
      <c r="AQ336" s="17" t="n">
        <v>3</v>
      </c>
      <c r="AR336" s="17" t="n">
        <v>6</v>
      </c>
      <c r="AS336" s="17" t="n">
        <v>0</v>
      </c>
      <c r="AT336" s="17" t="n">
        <v>0</v>
      </c>
      <c r="AU336" s="17" t="n">
        <v>11</v>
      </c>
      <c r="AV336" s="17" t="n">
        <v>0</v>
      </c>
      <c r="AW336" s="17" t="n">
        <v>0</v>
      </c>
      <c r="AX336" s="18" t="n">
        <v>0</v>
      </c>
      <c r="AY336" s="16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8" t="n">
        <v>0</v>
      </c>
      <c r="BJ336" s="16" t="n">
        <v>25</v>
      </c>
      <c r="BK336" s="17" t="n">
        <v>0</v>
      </c>
      <c r="BL336" s="17" t="n">
        <v>0</v>
      </c>
      <c r="BM336" s="17" t="n">
        <v>3</v>
      </c>
      <c r="BN336" s="17" t="n">
        <v>6</v>
      </c>
      <c r="BO336" s="17" t="n">
        <v>0</v>
      </c>
      <c r="BP336" s="17" t="n">
        <v>0</v>
      </c>
      <c r="BQ336" s="17" t="n">
        <v>11</v>
      </c>
      <c r="BR336" s="17" t="n">
        <v>0</v>
      </c>
      <c r="BS336" s="17" t="n">
        <v>0</v>
      </c>
      <c r="BT336" s="18" t="n">
        <v>0</v>
      </c>
      <c r="BU336" s="17" t="inlineStr">
        <is>
          <t>Unclassified</t>
        </is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0</v>
      </c>
      <c r="K337" s="17" t="n">
        <v>30</v>
      </c>
      <c r="L337" s="17" t="n">
        <v>0</v>
      </c>
      <c r="M337" s="17" t="n">
        <v>180</v>
      </c>
      <c r="N337" s="17" t="n">
        <v>90</v>
      </c>
      <c r="O337" s="17" t="n">
        <v>0</v>
      </c>
      <c r="P337" s="17" t="n">
        <v>0</v>
      </c>
      <c r="Q337" s="18" t="n">
        <v>0</v>
      </c>
      <c r="R337" s="16" t="n">
        <v>0.3</v>
      </c>
      <c r="S337" s="17" t="n">
        <v>0</v>
      </c>
      <c r="T337" s="17" t="n">
        <v>0</v>
      </c>
      <c r="U337" s="17" t="n">
        <v>0</v>
      </c>
      <c r="V337" s="17" t="n">
        <v>0.03</v>
      </c>
      <c r="W337" s="17" t="n">
        <v>0</v>
      </c>
      <c r="X337" s="17" t="n">
        <v>0.18</v>
      </c>
      <c r="Y337" s="17" t="n">
        <v>0.09</v>
      </c>
      <c r="Z337" s="17" t="n">
        <v>0</v>
      </c>
      <c r="AA337" s="17" t="n">
        <v>0</v>
      </c>
      <c r="AB337" s="18" t="n">
        <v>0</v>
      </c>
      <c r="AC337" s="16" t="n">
        <v>-0.3</v>
      </c>
      <c r="AD337" s="17" t="n">
        <v>0</v>
      </c>
      <c r="AE337" s="17" t="n">
        <v>0</v>
      </c>
      <c r="AF337" s="17" t="n">
        <v>0</v>
      </c>
      <c r="AG337" s="17" t="n">
        <v>-0.03</v>
      </c>
      <c r="AH337" s="17" t="n">
        <v>0</v>
      </c>
      <c r="AI337" s="17" t="n">
        <v>-0.18</v>
      </c>
      <c r="AJ337" s="17" t="n">
        <v>-0.09</v>
      </c>
      <c r="AK337" s="17" t="n">
        <v>0</v>
      </c>
      <c r="AL337" s="17" t="n">
        <v>0</v>
      </c>
      <c r="AM337" s="18" t="n">
        <v>0</v>
      </c>
      <c r="AN337" s="16" t="n">
        <v>28</v>
      </c>
      <c r="AO337" s="17" t="n">
        <v>0</v>
      </c>
      <c r="AP337" s="17" t="n">
        <v>0</v>
      </c>
      <c r="AQ337" s="17" t="n">
        <v>0</v>
      </c>
      <c r="AR337" s="17" t="n">
        <v>1</v>
      </c>
      <c r="AS337" s="17" t="n">
        <v>0</v>
      </c>
      <c r="AT337" s="17" t="n">
        <v>14</v>
      </c>
      <c r="AU337" s="17" t="n">
        <v>12</v>
      </c>
      <c r="AV337" s="17" t="n">
        <v>0</v>
      </c>
      <c r="AW337" s="17" t="n">
        <v>0</v>
      </c>
      <c r="AX337" s="18" t="n">
        <v>0</v>
      </c>
      <c r="AY337" s="16" t="n">
        <v>0</v>
      </c>
      <c r="AZ337" s="17" t="n">
        <v>0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8" t="n">
        <v>0</v>
      </c>
      <c r="BJ337" s="16" t="n">
        <v>28</v>
      </c>
      <c r="BK337" s="17" t="n">
        <v>0</v>
      </c>
      <c r="BL337" s="17" t="n">
        <v>0</v>
      </c>
      <c r="BM337" s="17" t="n">
        <v>0</v>
      </c>
      <c r="BN337" s="17" t="n">
        <v>1</v>
      </c>
      <c r="BO337" s="17" t="n">
        <v>0</v>
      </c>
      <c r="BP337" s="17" t="n">
        <v>14</v>
      </c>
      <c r="BQ337" s="17" t="n">
        <v>12</v>
      </c>
      <c r="BR337" s="17" t="n">
        <v>0</v>
      </c>
      <c r="BS337" s="17" t="n">
        <v>0</v>
      </c>
      <c r="BT337" s="18" t="n">
        <v>0</v>
      </c>
      <c r="BU337" s="17" t="inlineStr">
        <is>
          <t>Unclassified</t>
        </is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0</v>
      </c>
      <c r="J338" s="17" t="n">
        <v>630</v>
      </c>
      <c r="K338" s="17" t="n">
        <v>30</v>
      </c>
      <c r="L338" s="17" t="n">
        <v>0</v>
      </c>
      <c r="M338" s="17" t="n">
        <v>90</v>
      </c>
      <c r="N338" s="17" t="n">
        <v>90</v>
      </c>
      <c r="O338" s="17" t="n">
        <v>0</v>
      </c>
      <c r="P338" s="17" t="n">
        <v>0</v>
      </c>
      <c r="Q338" s="18" t="n">
        <v>0</v>
      </c>
      <c r="R338" s="16" t="n">
        <v>0.84</v>
      </c>
      <c r="S338" s="17" t="n">
        <v>0</v>
      </c>
      <c r="T338" s="17" t="n">
        <v>0</v>
      </c>
      <c r="U338" s="17" t="n">
        <v>0.63</v>
      </c>
      <c r="V338" s="17" t="n">
        <v>0.03</v>
      </c>
      <c r="W338" s="17" t="n">
        <v>0</v>
      </c>
      <c r="X338" s="17" t="n">
        <v>0.09</v>
      </c>
      <c r="Y338" s="17" t="n">
        <v>0.09</v>
      </c>
      <c r="Z338" s="17" t="n">
        <v>0</v>
      </c>
      <c r="AA338" s="17" t="n">
        <v>0</v>
      </c>
      <c r="AB338" s="18" t="n">
        <v>0</v>
      </c>
      <c r="AC338" s="16" t="n">
        <v>-0.84</v>
      </c>
      <c r="AD338" s="17" t="n">
        <v>0</v>
      </c>
      <c r="AE338" s="17" t="n">
        <v>0</v>
      </c>
      <c r="AF338" s="17" t="n">
        <v>-0.63</v>
      </c>
      <c r="AG338" s="17" t="n">
        <v>-0.03</v>
      </c>
      <c r="AH338" s="17" t="n">
        <v>0</v>
      </c>
      <c r="AI338" s="17" t="n">
        <v>-0.09</v>
      </c>
      <c r="AJ338" s="17" t="n">
        <v>-0.09</v>
      </c>
      <c r="AK338" s="17" t="n">
        <v>0</v>
      </c>
      <c r="AL338" s="17" t="n">
        <v>0</v>
      </c>
      <c r="AM338" s="18" t="n">
        <v>0</v>
      </c>
      <c r="AN338" s="16" t="n">
        <v>32</v>
      </c>
      <c r="AO338" s="17" t="n">
        <v>0</v>
      </c>
      <c r="AP338" s="17" t="n">
        <v>0</v>
      </c>
      <c r="AQ338" s="17" t="n">
        <v>8</v>
      </c>
      <c r="AR338" s="17" t="n">
        <v>0</v>
      </c>
      <c r="AS338" s="17" t="n">
        <v>0</v>
      </c>
      <c r="AT338" s="17" t="n">
        <v>4</v>
      </c>
      <c r="AU338" s="17" t="n">
        <v>11</v>
      </c>
      <c r="AV338" s="17" t="n">
        <v>0</v>
      </c>
      <c r="AW338" s="17" t="n">
        <v>0</v>
      </c>
      <c r="AX338" s="18" t="n">
        <v>0</v>
      </c>
      <c r="AY338" s="16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7" t="n">
        <v>0</v>
      </c>
      <c r="BG338" s="17" t="n">
        <v>0</v>
      </c>
      <c r="BH338" s="17" t="n">
        <v>0</v>
      </c>
      <c r="BI338" s="18" t="n">
        <v>0</v>
      </c>
      <c r="BJ338" s="16" t="n">
        <v>32</v>
      </c>
      <c r="BK338" s="17" t="n">
        <v>0</v>
      </c>
      <c r="BL338" s="17" t="n">
        <v>0</v>
      </c>
      <c r="BM338" s="17" t="n">
        <v>8</v>
      </c>
      <c r="BN338" s="17" t="n">
        <v>0</v>
      </c>
      <c r="BO338" s="17" t="n">
        <v>0</v>
      </c>
      <c r="BP338" s="17" t="n">
        <v>4</v>
      </c>
      <c r="BQ338" s="17" t="n">
        <v>11</v>
      </c>
      <c r="BR338" s="17" t="n">
        <v>0</v>
      </c>
      <c r="BS338" s="17" t="n">
        <v>0</v>
      </c>
      <c r="BT338" s="18" t="n">
        <v>0</v>
      </c>
      <c r="BU338" s="17" t="inlineStr">
        <is>
          <t>Unclassified</t>
        </is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0</v>
      </c>
      <c r="J339" s="17" t="n">
        <v>1440</v>
      </c>
      <c r="K339" s="17" t="n">
        <v>30</v>
      </c>
      <c r="L339" s="17" t="n">
        <v>0</v>
      </c>
      <c r="M339" s="17" t="n">
        <v>60</v>
      </c>
      <c r="N339" s="17" t="n">
        <v>180</v>
      </c>
      <c r="O339" s="17" t="n">
        <v>0</v>
      </c>
      <c r="P339" s="17" t="n">
        <v>180</v>
      </c>
      <c r="Q339" s="18" t="n">
        <v>0</v>
      </c>
      <c r="R339" s="16" t="n">
        <v>3.78</v>
      </c>
      <c r="S339" s="17" t="n">
        <v>0</v>
      </c>
      <c r="T339" s="17" t="n">
        <v>0</v>
      </c>
      <c r="U339" s="17" t="n">
        <v>2.88</v>
      </c>
      <c r="V339" s="17" t="n">
        <v>0.06</v>
      </c>
      <c r="W339" s="17" t="n">
        <v>0</v>
      </c>
      <c r="X339" s="17" t="n">
        <v>0.12</v>
      </c>
      <c r="Y339" s="17" t="n">
        <v>0.36</v>
      </c>
      <c r="Z339" s="17" t="n">
        <v>0</v>
      </c>
      <c r="AA339" s="17" t="n">
        <v>0.36</v>
      </c>
      <c r="AB339" s="18" t="n">
        <v>0</v>
      </c>
      <c r="AC339" s="16" t="n">
        <v>-3.78</v>
      </c>
      <c r="AD339" s="17" t="n">
        <v>0</v>
      </c>
      <c r="AE339" s="17" t="n">
        <v>0</v>
      </c>
      <c r="AF339" s="17" t="n">
        <v>-2.88</v>
      </c>
      <c r="AG339" s="17" t="n">
        <v>-0.06</v>
      </c>
      <c r="AH339" s="17" t="n">
        <v>0</v>
      </c>
      <c r="AI339" s="17" t="n">
        <v>-0.12</v>
      </c>
      <c r="AJ339" s="17" t="n">
        <v>-0.36</v>
      </c>
      <c r="AK339" s="17" t="n">
        <v>0</v>
      </c>
      <c r="AL339" s="17" t="n">
        <v>-0.36</v>
      </c>
      <c r="AM339" s="18" t="n">
        <v>0</v>
      </c>
      <c r="AN339" s="16" t="n">
        <v>114</v>
      </c>
      <c r="AO339" s="17" t="n">
        <v>0</v>
      </c>
      <c r="AP339" s="17" t="n">
        <v>0</v>
      </c>
      <c r="AQ339" s="17" t="n">
        <v>36</v>
      </c>
      <c r="AR339" s="17" t="n">
        <v>2</v>
      </c>
      <c r="AS339" s="17" t="n">
        <v>0</v>
      </c>
      <c r="AT339" s="17" t="n">
        <v>3</v>
      </c>
      <c r="AU339" s="17" t="n">
        <v>43</v>
      </c>
      <c r="AV339" s="17" t="n">
        <v>0</v>
      </c>
      <c r="AW339" s="17" t="n">
        <v>0</v>
      </c>
      <c r="AX339" s="18" t="n">
        <v>0</v>
      </c>
      <c r="AY339" s="16" t="n">
        <v>0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8" t="n">
        <v>0</v>
      </c>
      <c r="BJ339" s="16" t="n">
        <v>114</v>
      </c>
      <c r="BK339" s="17" t="n">
        <v>0</v>
      </c>
      <c r="BL339" s="17" t="n">
        <v>0</v>
      </c>
      <c r="BM339" s="17" t="n">
        <v>36</v>
      </c>
      <c r="BN339" s="17" t="n">
        <v>2</v>
      </c>
      <c r="BO339" s="17" t="n">
        <v>0</v>
      </c>
      <c r="BP339" s="17" t="n">
        <v>3</v>
      </c>
      <c r="BQ339" s="17" t="n">
        <v>43</v>
      </c>
      <c r="BR339" s="17" t="n">
        <v>0</v>
      </c>
      <c r="BS339" s="17" t="n">
        <v>0</v>
      </c>
      <c r="BT339" s="18" t="n">
        <v>0</v>
      </c>
      <c r="BU339" s="17" t="inlineStr">
        <is>
          <t>Unclassified</t>
        </is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0</v>
      </c>
      <c r="J340" s="17" t="n">
        <v>510</v>
      </c>
      <c r="K340" s="17" t="n">
        <v>0</v>
      </c>
      <c r="L340" s="17" t="n">
        <v>0</v>
      </c>
      <c r="M340" s="17" t="n">
        <v>0</v>
      </c>
      <c r="N340" s="17" t="n">
        <v>180</v>
      </c>
      <c r="O340" s="17" t="n">
        <v>60</v>
      </c>
      <c r="P340" s="17" t="n">
        <v>0</v>
      </c>
      <c r="Q340" s="18" t="n">
        <v>0</v>
      </c>
      <c r="R340" s="16" t="n">
        <v>1.5</v>
      </c>
      <c r="S340" s="17" t="n">
        <v>0</v>
      </c>
      <c r="T340" s="17" t="n">
        <v>0</v>
      </c>
      <c r="U340" s="17" t="n">
        <v>1.02</v>
      </c>
      <c r="V340" s="17" t="n">
        <v>0</v>
      </c>
      <c r="W340" s="17" t="n">
        <v>0</v>
      </c>
      <c r="X340" s="17" t="n">
        <v>0</v>
      </c>
      <c r="Y340" s="17" t="n">
        <v>0.36</v>
      </c>
      <c r="Z340" s="17" t="n">
        <v>0.12</v>
      </c>
      <c r="AA340" s="17" t="n">
        <v>0</v>
      </c>
      <c r="AB340" s="18" t="n">
        <v>0</v>
      </c>
      <c r="AC340" s="16" t="n">
        <v>-1.5</v>
      </c>
      <c r="AD340" s="17" t="n">
        <v>0</v>
      </c>
      <c r="AE340" s="17" t="n">
        <v>0</v>
      </c>
      <c r="AF340" s="17" t="n">
        <v>-1.02</v>
      </c>
      <c r="AG340" s="17" t="n">
        <v>0</v>
      </c>
      <c r="AH340" s="17" t="n">
        <v>0</v>
      </c>
      <c r="AI340" s="17" t="n">
        <v>0</v>
      </c>
      <c r="AJ340" s="17" t="n">
        <v>-0.36</v>
      </c>
      <c r="AK340" s="17" t="n">
        <v>-0.12</v>
      </c>
      <c r="AL340" s="17" t="n">
        <v>0</v>
      </c>
      <c r="AM340" s="18" t="n">
        <v>0</v>
      </c>
      <c r="AN340" s="16" t="n">
        <v>62</v>
      </c>
      <c r="AO340" s="17" t="n">
        <v>0</v>
      </c>
      <c r="AP340" s="17" t="n">
        <v>0</v>
      </c>
      <c r="AQ340" s="17" t="n">
        <v>20</v>
      </c>
      <c r="AR340" s="17" t="n">
        <v>0</v>
      </c>
      <c r="AS340" s="17" t="n">
        <v>0</v>
      </c>
      <c r="AT340" s="17" t="n">
        <v>0</v>
      </c>
      <c r="AU340" s="17" t="n">
        <v>34</v>
      </c>
      <c r="AV340" s="17" t="n">
        <v>7</v>
      </c>
      <c r="AW340" s="17" t="n">
        <v>0</v>
      </c>
      <c r="AX340" s="18" t="n">
        <v>0</v>
      </c>
      <c r="AY340" s="16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7" t="n">
        <v>0</v>
      </c>
      <c r="BG340" s="17" t="n">
        <v>0</v>
      </c>
      <c r="BH340" s="17" t="n">
        <v>0</v>
      </c>
      <c r="BI340" s="18" t="n">
        <v>0</v>
      </c>
      <c r="BJ340" s="16" t="n">
        <v>62</v>
      </c>
      <c r="BK340" s="17" t="n">
        <v>0</v>
      </c>
      <c r="BL340" s="17" t="n">
        <v>0</v>
      </c>
      <c r="BM340" s="17" t="n">
        <v>20</v>
      </c>
      <c r="BN340" s="17" t="n">
        <v>0</v>
      </c>
      <c r="BO340" s="17" t="n">
        <v>0</v>
      </c>
      <c r="BP340" s="17" t="n">
        <v>0</v>
      </c>
      <c r="BQ340" s="17" t="n">
        <v>34</v>
      </c>
      <c r="BR340" s="17" t="n">
        <v>7</v>
      </c>
      <c r="BS340" s="17" t="n">
        <v>0</v>
      </c>
      <c r="BT340" s="18" t="n">
        <v>0</v>
      </c>
      <c r="BU340" s="17" t="inlineStr">
        <is>
          <t>Unclassified</t>
        </is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0</v>
      </c>
      <c r="J341" s="17" t="n">
        <v>60</v>
      </c>
      <c r="K341" s="17" t="n">
        <v>0</v>
      </c>
      <c r="L341" s="17" t="n">
        <v>0</v>
      </c>
      <c r="M341" s="17" t="n">
        <v>0</v>
      </c>
      <c r="N341" s="17" t="n">
        <v>150</v>
      </c>
      <c r="O341" s="17" t="n">
        <v>90</v>
      </c>
      <c r="P341" s="17" t="n">
        <v>30</v>
      </c>
      <c r="Q341" s="18" t="n">
        <v>0</v>
      </c>
      <c r="R341" s="16" t="n">
        <v>0.66</v>
      </c>
      <c r="S341" s="17" t="n">
        <v>0</v>
      </c>
      <c r="T341" s="17" t="n">
        <v>0</v>
      </c>
      <c r="U341" s="17" t="n">
        <v>0.12</v>
      </c>
      <c r="V341" s="17" t="n">
        <v>0</v>
      </c>
      <c r="W341" s="17" t="n">
        <v>0</v>
      </c>
      <c r="X341" s="17" t="n">
        <v>0</v>
      </c>
      <c r="Y341" s="17" t="n">
        <v>0.3</v>
      </c>
      <c r="Z341" s="17" t="n">
        <v>0.18</v>
      </c>
      <c r="AA341" s="17" t="n">
        <v>0.06</v>
      </c>
      <c r="AB341" s="18" t="n">
        <v>0</v>
      </c>
      <c r="AC341" s="16" t="n">
        <v>0.34</v>
      </c>
      <c r="AD341" s="17" t="n">
        <v>1</v>
      </c>
      <c r="AE341" s="17" t="n">
        <v>1</v>
      </c>
      <c r="AF341" s="17" t="n">
        <v>0.88</v>
      </c>
      <c r="AG341" s="17" t="n">
        <v>1</v>
      </c>
      <c r="AH341" s="17" t="n">
        <v>1</v>
      </c>
      <c r="AI341" s="17" t="n">
        <v>1</v>
      </c>
      <c r="AJ341" s="17" t="n">
        <v>0.7</v>
      </c>
      <c r="AK341" s="17" t="n">
        <v>0.82</v>
      </c>
      <c r="AL341" s="17" t="n">
        <v>0.9399999999999999</v>
      </c>
      <c r="AM341" s="18" t="n">
        <v>1</v>
      </c>
      <c r="AN341" s="16" t="n">
        <v>53</v>
      </c>
      <c r="AO341" s="17" t="n">
        <v>0</v>
      </c>
      <c r="AP341" s="17" t="n">
        <v>0</v>
      </c>
      <c r="AQ341" s="17" t="n">
        <v>1</v>
      </c>
      <c r="AR341" s="17" t="n">
        <v>0</v>
      </c>
      <c r="AS341" s="17" t="n">
        <v>0</v>
      </c>
      <c r="AT341" s="17" t="n">
        <v>0</v>
      </c>
      <c r="AU341" s="17" t="n">
        <v>28</v>
      </c>
      <c r="AV341" s="17" t="n">
        <v>9</v>
      </c>
      <c r="AW341" s="17" t="n">
        <v>0</v>
      </c>
      <c r="AX341" s="18" t="n">
        <v>0</v>
      </c>
      <c r="AY341" s="16" t="n">
        <v>18</v>
      </c>
      <c r="AZ341" s="17" t="n">
        <v>0</v>
      </c>
      <c r="BA341" s="17" t="n">
        <v>0</v>
      </c>
      <c r="BB341" s="17" t="n">
        <v>3</v>
      </c>
      <c r="BC341" s="17" t="n">
        <v>0</v>
      </c>
      <c r="BD341" s="17" t="n">
        <v>0</v>
      </c>
      <c r="BE341" s="17" t="n">
        <v>0</v>
      </c>
      <c r="BF341" s="17" t="n">
        <v>8</v>
      </c>
      <c r="BG341" s="17" t="n">
        <v>5</v>
      </c>
      <c r="BH341" s="17" t="n">
        <v>2</v>
      </c>
      <c r="BI341" s="18" t="n">
        <v>0</v>
      </c>
      <c r="BJ341" s="16" t="n">
        <v>35</v>
      </c>
      <c r="BK341" s="17" t="n">
        <v>0</v>
      </c>
      <c r="BL341" s="17" t="n">
        <v>0</v>
      </c>
      <c r="BM341" s="17" t="n">
        <v>-2</v>
      </c>
      <c r="BN341" s="17" t="n">
        <v>0</v>
      </c>
      <c r="BO341" s="17" t="n">
        <v>0</v>
      </c>
      <c r="BP341" s="17" t="n">
        <v>0</v>
      </c>
      <c r="BQ341" s="17" t="n">
        <v>20</v>
      </c>
      <c r="BR341" s="17" t="n">
        <v>5</v>
      </c>
      <c r="BS341" s="17" t="n">
        <v>-2</v>
      </c>
      <c r="BT341" s="18" t="n">
        <v>0</v>
      </c>
      <c r="BU341" s="17" t="inlineStr">
        <is>
          <t>Generic Drug</t>
        </is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0</v>
      </c>
      <c r="J342" s="17" t="n">
        <v>450</v>
      </c>
      <c r="K342" s="17" t="n">
        <v>0</v>
      </c>
      <c r="L342" s="17" t="n">
        <v>0</v>
      </c>
      <c r="M342" s="17" t="n">
        <v>0</v>
      </c>
      <c r="N342" s="17" t="n">
        <v>120</v>
      </c>
      <c r="O342" s="17" t="n">
        <v>0</v>
      </c>
      <c r="P342" s="17" t="n">
        <v>0</v>
      </c>
      <c r="Q342" s="18" t="n">
        <v>0</v>
      </c>
      <c r="R342" s="16" t="n">
        <v>1.14</v>
      </c>
      <c r="S342" s="17" t="n">
        <v>0</v>
      </c>
      <c r="T342" s="17" t="n">
        <v>0</v>
      </c>
      <c r="U342" s="17" t="n">
        <v>0.9</v>
      </c>
      <c r="V342" s="17" t="n">
        <v>0</v>
      </c>
      <c r="W342" s="17" t="n">
        <v>0</v>
      </c>
      <c r="X342" s="17" t="n">
        <v>0</v>
      </c>
      <c r="Y342" s="17" t="n">
        <v>0.24</v>
      </c>
      <c r="Z342" s="17" t="n">
        <v>0</v>
      </c>
      <c r="AA342" s="17" t="n">
        <v>0</v>
      </c>
      <c r="AB342" s="18" t="n">
        <v>0</v>
      </c>
      <c r="AC342" s="16" t="n">
        <v>0.86</v>
      </c>
      <c r="AD342" s="17" t="n">
        <v>2</v>
      </c>
      <c r="AE342" s="17" t="n">
        <v>2</v>
      </c>
      <c r="AF342" s="17" t="n">
        <v>1.1</v>
      </c>
      <c r="AG342" s="17" t="n">
        <v>2</v>
      </c>
      <c r="AH342" s="17" t="n">
        <v>2</v>
      </c>
      <c r="AI342" s="17" t="n">
        <v>2</v>
      </c>
      <c r="AJ342" s="17" t="n">
        <v>1.76</v>
      </c>
      <c r="AK342" s="17" t="n">
        <v>2</v>
      </c>
      <c r="AL342" s="17" t="n">
        <v>2</v>
      </c>
      <c r="AM342" s="18" t="n">
        <v>2</v>
      </c>
      <c r="AN342" s="16" t="n">
        <v>39</v>
      </c>
      <c r="AO342" s="17" t="n">
        <v>0</v>
      </c>
      <c r="AP342" s="17" t="n">
        <v>0</v>
      </c>
      <c r="AQ342" s="17" t="n">
        <v>13</v>
      </c>
      <c r="AR342" s="17" t="n">
        <v>0</v>
      </c>
      <c r="AS342" s="17" t="n">
        <v>0</v>
      </c>
      <c r="AT342" s="17" t="n">
        <v>0</v>
      </c>
      <c r="AU342" s="17" t="n">
        <v>18</v>
      </c>
      <c r="AV342" s="17" t="n">
        <v>0</v>
      </c>
      <c r="AW342" s="17" t="n">
        <v>0</v>
      </c>
      <c r="AX342" s="18" t="n">
        <v>0</v>
      </c>
      <c r="AY342" s="16" t="n">
        <v>36</v>
      </c>
      <c r="AZ342" s="17" t="n">
        <v>0</v>
      </c>
      <c r="BA342" s="17" t="n">
        <v>0</v>
      </c>
      <c r="BB342" s="17" t="n">
        <v>29</v>
      </c>
      <c r="BC342" s="17" t="n">
        <v>0</v>
      </c>
      <c r="BD342" s="17" t="n">
        <v>0</v>
      </c>
      <c r="BE342" s="17" t="n">
        <v>0</v>
      </c>
      <c r="BF342" s="17" t="n">
        <v>8</v>
      </c>
      <c r="BG342" s="17" t="n">
        <v>0</v>
      </c>
      <c r="BH342" s="17" t="n">
        <v>0</v>
      </c>
      <c r="BI342" s="18" t="n">
        <v>0</v>
      </c>
      <c r="BJ342" s="16" t="n">
        <v>2</v>
      </c>
      <c r="BK342" s="17" t="n">
        <v>0</v>
      </c>
      <c r="BL342" s="17" t="n">
        <v>0</v>
      </c>
      <c r="BM342" s="17" t="n">
        <v>-16</v>
      </c>
      <c r="BN342" s="17" t="n">
        <v>0</v>
      </c>
      <c r="BO342" s="17" t="n">
        <v>0</v>
      </c>
      <c r="BP342" s="17" t="n">
        <v>0</v>
      </c>
      <c r="BQ342" s="17" t="n">
        <v>10</v>
      </c>
      <c r="BR342" s="17" t="n">
        <v>0</v>
      </c>
      <c r="BS342" s="17" t="n">
        <v>0</v>
      </c>
      <c r="BT342" s="18" t="n">
        <v>0</v>
      </c>
      <c r="BU342" s="17" t="inlineStr">
        <is>
          <t>Generic Drug</t>
        </is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0</v>
      </c>
      <c r="J343" s="17" t="n">
        <v>1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8" t="n">
        <v>0</v>
      </c>
      <c r="R343" s="16" t="n">
        <v>0.2</v>
      </c>
      <c r="S343" s="17" t="n">
        <v>0</v>
      </c>
      <c r="T343" s="17" t="n">
        <v>0</v>
      </c>
      <c r="U343" s="17" t="n">
        <v>0.2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8" t="n">
        <v>0</v>
      </c>
      <c r="AC343" s="16" t="n">
        <v>-0.2</v>
      </c>
      <c r="AD343" s="17" t="n">
        <v>0</v>
      </c>
      <c r="AE343" s="17" t="n">
        <v>0</v>
      </c>
      <c r="AF343" s="17" t="n">
        <v>-0.2</v>
      </c>
      <c r="AG343" s="17" t="n">
        <v>0</v>
      </c>
      <c r="AH343" s="17" t="n">
        <v>0</v>
      </c>
      <c r="AI343" s="17" t="n">
        <v>0</v>
      </c>
      <c r="AJ343" s="17" t="n">
        <v>0</v>
      </c>
      <c r="AK343" s="17" t="n">
        <v>0</v>
      </c>
      <c r="AL343" s="17" t="n">
        <v>0</v>
      </c>
      <c r="AM343" s="18" t="n">
        <v>0</v>
      </c>
      <c r="AN343" s="16" t="n">
        <v>666</v>
      </c>
      <c r="AO343" s="17" t="n">
        <v>0</v>
      </c>
      <c r="AP343" s="17" t="n">
        <v>0</v>
      </c>
      <c r="AQ343" s="17" t="n">
        <v>666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8" t="n">
        <v>0</v>
      </c>
      <c r="AY343" s="16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8" t="n">
        <v>0</v>
      </c>
      <c r="BJ343" s="16" t="n">
        <v>666</v>
      </c>
      <c r="BK343" s="17" t="n">
        <v>0</v>
      </c>
      <c r="BL343" s="17" t="n">
        <v>0</v>
      </c>
      <c r="BM343" s="17" t="n">
        <v>666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8" t="n">
        <v>0</v>
      </c>
      <c r="BU343" s="17" t="inlineStr">
        <is>
          <t>Unclassified</t>
        </is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0</v>
      </c>
      <c r="J344" s="17" t="n">
        <v>20000</v>
      </c>
      <c r="K344" s="17" t="n">
        <v>0</v>
      </c>
      <c r="L344" s="17" t="n">
        <v>0</v>
      </c>
      <c r="M344" s="17" t="n">
        <v>0</v>
      </c>
      <c r="N344" s="17" t="n">
        <v>8000</v>
      </c>
      <c r="O344" s="17" t="n">
        <v>0</v>
      </c>
      <c r="P344" s="17" t="n">
        <v>4000</v>
      </c>
      <c r="Q344" s="18" t="n">
        <v>0</v>
      </c>
      <c r="R344" s="16" t="n">
        <v>8</v>
      </c>
      <c r="S344" s="17" t="n">
        <v>0</v>
      </c>
      <c r="T344" s="17" t="n">
        <v>0</v>
      </c>
      <c r="U344" s="17" t="n">
        <v>5</v>
      </c>
      <c r="V344" s="17" t="n">
        <v>0</v>
      </c>
      <c r="W344" s="17" t="n">
        <v>0</v>
      </c>
      <c r="X344" s="17" t="n">
        <v>0</v>
      </c>
      <c r="Y344" s="17" t="n">
        <v>2</v>
      </c>
      <c r="Z344" s="17" t="n">
        <v>0</v>
      </c>
      <c r="AA344" s="17" t="n">
        <v>1</v>
      </c>
      <c r="AB344" s="18" t="n">
        <v>0</v>
      </c>
      <c r="AC344" s="16" t="n">
        <v>-2</v>
      </c>
      <c r="AD344" s="17" t="n">
        <v>6</v>
      </c>
      <c r="AE344" s="17" t="n">
        <v>6</v>
      </c>
      <c r="AF344" s="17" t="n">
        <v>1</v>
      </c>
      <c r="AG344" s="17" t="n">
        <v>6</v>
      </c>
      <c r="AH344" s="17" t="n">
        <v>6</v>
      </c>
      <c r="AI344" s="17" t="n">
        <v>6</v>
      </c>
      <c r="AJ344" s="17" t="n">
        <v>4</v>
      </c>
      <c r="AK344" s="17" t="n">
        <v>6</v>
      </c>
      <c r="AL344" s="17" t="n">
        <v>5</v>
      </c>
      <c r="AM344" s="18" t="n">
        <v>6</v>
      </c>
      <c r="AN344" s="16" t="n">
        <v>140</v>
      </c>
      <c r="AO344" s="17" t="n">
        <v>0</v>
      </c>
      <c r="AP344" s="17" t="n">
        <v>0</v>
      </c>
      <c r="AQ344" s="17" t="n">
        <v>49</v>
      </c>
      <c r="AR344" s="17" t="n">
        <v>0</v>
      </c>
      <c r="AS344" s="17" t="n">
        <v>0</v>
      </c>
      <c r="AT344" s="17" t="n">
        <v>0</v>
      </c>
      <c r="AU344" s="17" t="n">
        <v>55</v>
      </c>
      <c r="AV344" s="17" t="n">
        <v>0</v>
      </c>
      <c r="AW344" s="17" t="n">
        <v>21</v>
      </c>
      <c r="AX344" s="18" t="n">
        <v>0</v>
      </c>
      <c r="AY344" s="16" t="n">
        <v>136</v>
      </c>
      <c r="AZ344" s="17" t="n">
        <v>0</v>
      </c>
      <c r="BA344" s="17" t="n">
        <v>0</v>
      </c>
      <c r="BB344" s="17" t="n">
        <v>85</v>
      </c>
      <c r="BC344" s="17" t="n">
        <v>0</v>
      </c>
      <c r="BD344" s="17" t="n">
        <v>0</v>
      </c>
      <c r="BE344" s="17" t="n">
        <v>0</v>
      </c>
      <c r="BF344" s="17" t="n">
        <v>34</v>
      </c>
      <c r="BG344" s="17" t="n">
        <v>0</v>
      </c>
      <c r="BH344" s="17" t="n">
        <v>17</v>
      </c>
      <c r="BI344" s="18" t="n">
        <v>0</v>
      </c>
      <c r="BJ344" s="16" t="n">
        <v>4</v>
      </c>
      <c r="BK344" s="17" t="n">
        <v>0</v>
      </c>
      <c r="BL344" s="17" t="n">
        <v>0</v>
      </c>
      <c r="BM344" s="17" t="n">
        <v>-36</v>
      </c>
      <c r="BN344" s="17" t="n">
        <v>0</v>
      </c>
      <c r="BO344" s="17" t="n">
        <v>0</v>
      </c>
      <c r="BP344" s="17" t="n">
        <v>0</v>
      </c>
      <c r="BQ344" s="17" t="n">
        <v>21</v>
      </c>
      <c r="BR344" s="17" t="n">
        <v>0</v>
      </c>
      <c r="BS344" s="17" t="n">
        <v>4</v>
      </c>
      <c r="BT344" s="18" t="n">
        <v>0</v>
      </c>
      <c r="BU344" s="17" t="inlineStr">
        <is>
          <t>Generic Drug</t>
        </is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180</v>
      </c>
      <c r="O345" s="17" t="n">
        <v>0</v>
      </c>
      <c r="P345" s="17" t="n">
        <v>0</v>
      </c>
      <c r="Q345" s="18" t="n">
        <v>0</v>
      </c>
      <c r="R345" s="16" t="n">
        <v>0.36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0.36</v>
      </c>
      <c r="Z345" s="17" t="n">
        <v>0</v>
      </c>
      <c r="AA345" s="17" t="n">
        <v>0</v>
      </c>
      <c r="AB345" s="18" t="n">
        <v>0</v>
      </c>
      <c r="AC345" s="16" t="n">
        <v>-0.36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-0.36</v>
      </c>
      <c r="AK345" s="17" t="n">
        <v>0</v>
      </c>
      <c r="AL345" s="17" t="n">
        <v>0</v>
      </c>
      <c r="AM345" s="18" t="n">
        <v>0</v>
      </c>
      <c r="AN345" s="16" t="n">
        <v>29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28</v>
      </c>
      <c r="AV345" s="17" t="n">
        <v>0</v>
      </c>
      <c r="AW345" s="17" t="n">
        <v>0</v>
      </c>
      <c r="AX345" s="18" t="n">
        <v>0</v>
      </c>
      <c r="AY345" s="16" t="n">
        <v>0</v>
      </c>
      <c r="AZ345" s="17" t="n">
        <v>0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8" t="n">
        <v>0</v>
      </c>
      <c r="BJ345" s="16" t="n">
        <v>29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28</v>
      </c>
      <c r="BR345" s="17" t="n">
        <v>0</v>
      </c>
      <c r="BS345" s="17" t="n">
        <v>0</v>
      </c>
      <c r="BT345" s="18" t="n">
        <v>0</v>
      </c>
      <c r="BU345" s="17" t="inlineStr">
        <is>
          <t>Unclassified</t>
        </is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0</v>
      </c>
      <c r="J346" s="17" t="n">
        <v>210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8" t="n">
        <v>0</v>
      </c>
      <c r="R346" s="16" t="n">
        <v>7</v>
      </c>
      <c r="S346" s="17" t="n">
        <v>0</v>
      </c>
      <c r="T346" s="17" t="n">
        <v>0</v>
      </c>
      <c r="U346" s="17" t="n">
        <v>7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8" t="n">
        <v>0</v>
      </c>
      <c r="AC346" s="16" t="n">
        <v>3</v>
      </c>
      <c r="AD346" s="17" t="n">
        <v>10</v>
      </c>
      <c r="AE346" s="17" t="n">
        <v>10</v>
      </c>
      <c r="AF346" s="17" t="n">
        <v>3</v>
      </c>
      <c r="AG346" s="17" t="n">
        <v>10</v>
      </c>
      <c r="AH346" s="17" t="n">
        <v>10</v>
      </c>
      <c r="AI346" s="17" t="n">
        <v>10</v>
      </c>
      <c r="AJ346" s="17" t="n">
        <v>10</v>
      </c>
      <c r="AK346" s="17" t="n">
        <v>10</v>
      </c>
      <c r="AL346" s="17" t="n">
        <v>10</v>
      </c>
      <c r="AM346" s="18" t="n">
        <v>10</v>
      </c>
      <c r="AN346" s="16" t="n">
        <v>3378</v>
      </c>
      <c r="AO346" s="17" t="n">
        <v>0</v>
      </c>
      <c r="AP346" s="17" t="n">
        <v>0</v>
      </c>
      <c r="AQ346" s="17" t="n">
        <v>3368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8" t="n">
        <v>0</v>
      </c>
      <c r="AY346" s="16" t="n">
        <v>3514</v>
      </c>
      <c r="AZ346" s="17" t="n">
        <v>0</v>
      </c>
      <c r="BA346" s="17" t="n">
        <v>0</v>
      </c>
      <c r="BB346" s="17" t="n">
        <v>3514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8" t="n">
        <v>0</v>
      </c>
      <c r="BJ346" s="16" t="n">
        <v>-136</v>
      </c>
      <c r="BK346" s="17" t="n">
        <v>0</v>
      </c>
      <c r="BL346" s="17" t="n">
        <v>0</v>
      </c>
      <c r="BM346" s="17" t="n">
        <v>-146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8" t="n">
        <v>0</v>
      </c>
      <c r="BU346" s="17" t="inlineStr">
        <is>
          <t>Branded Drug</t>
        </is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0</v>
      </c>
      <c r="J347" s="17" t="n">
        <v>30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8" t="n">
        <v>0</v>
      </c>
      <c r="R347" s="16" t="n">
        <v>1</v>
      </c>
      <c r="S347" s="17" t="n">
        <v>0</v>
      </c>
      <c r="T347" s="17" t="n">
        <v>0</v>
      </c>
      <c r="U347" s="17" t="n">
        <v>1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8" t="n">
        <v>0</v>
      </c>
      <c r="AC347" s="16" t="n">
        <v>-1</v>
      </c>
      <c r="AD347" s="17" t="n">
        <v>0</v>
      </c>
      <c r="AE347" s="17" t="n">
        <v>0</v>
      </c>
      <c r="AF347" s="17" t="n">
        <v>-1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8" t="n">
        <v>0</v>
      </c>
      <c r="AN347" s="16" t="n">
        <v>17</v>
      </c>
      <c r="AO347" s="17" t="n">
        <v>0</v>
      </c>
      <c r="AP347" s="17" t="n">
        <v>0</v>
      </c>
      <c r="AQ347" s="17" t="n">
        <v>17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8" t="n">
        <v>0</v>
      </c>
      <c r="AY347" s="16" t="n">
        <v>0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8" t="n">
        <v>0</v>
      </c>
      <c r="BJ347" s="16" t="n">
        <v>17</v>
      </c>
      <c r="BK347" s="17" t="n">
        <v>0</v>
      </c>
      <c r="BL347" s="17" t="n">
        <v>0</v>
      </c>
      <c r="BM347" s="17" t="n">
        <v>17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8" t="n">
        <v>0</v>
      </c>
      <c r="BU347" s="17" t="inlineStr">
        <is>
          <t>Unclassified</t>
        </is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10</v>
      </c>
      <c r="O348" s="17" t="n">
        <v>0</v>
      </c>
      <c r="P348" s="17" t="n">
        <v>0</v>
      </c>
      <c r="Q348" s="18" t="n">
        <v>0</v>
      </c>
      <c r="R348" s="16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1</v>
      </c>
      <c r="Z348" s="17" t="n">
        <v>0</v>
      </c>
      <c r="AA348" s="17" t="n">
        <v>0</v>
      </c>
      <c r="AB348" s="18" t="n">
        <v>0</v>
      </c>
      <c r="AC348" s="16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-1</v>
      </c>
      <c r="AK348" s="17" t="n">
        <v>0</v>
      </c>
      <c r="AL348" s="17" t="n">
        <v>0</v>
      </c>
      <c r="AM348" s="18" t="n">
        <v>0</v>
      </c>
      <c r="AN348" s="16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19</v>
      </c>
      <c r="AV348" s="17" t="n">
        <v>0</v>
      </c>
      <c r="AW348" s="17" t="n">
        <v>0</v>
      </c>
      <c r="AX348" s="18" t="n">
        <v>0</v>
      </c>
      <c r="AY348" s="16" t="n">
        <v>0</v>
      </c>
      <c r="AZ348" s="17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0</v>
      </c>
      <c r="BF348" s="17" t="n">
        <v>0</v>
      </c>
      <c r="BG348" s="17" t="n">
        <v>0</v>
      </c>
      <c r="BH348" s="17" t="n">
        <v>0</v>
      </c>
      <c r="BI348" s="18" t="n">
        <v>0</v>
      </c>
      <c r="BJ348" s="16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19</v>
      </c>
      <c r="BR348" s="17" t="n">
        <v>0</v>
      </c>
      <c r="BS348" s="17" t="n">
        <v>0</v>
      </c>
      <c r="BT348" s="18" t="n">
        <v>0</v>
      </c>
      <c r="BU348" s="17" t="inlineStr">
        <is>
          <t>Unclassified</t>
        </is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0</v>
      </c>
      <c r="J349" s="17" t="n">
        <v>30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8" t="n">
        <v>0</v>
      </c>
      <c r="R349" s="16" t="n">
        <v>0.06</v>
      </c>
      <c r="S349" s="17" t="n">
        <v>0</v>
      </c>
      <c r="T349" s="17" t="n">
        <v>0</v>
      </c>
      <c r="U349" s="17" t="n">
        <v>0.06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8" t="n">
        <v>0</v>
      </c>
      <c r="AC349" s="16" t="n">
        <v>-0.06</v>
      </c>
      <c r="AD349" s="17" t="n">
        <v>0</v>
      </c>
      <c r="AE349" s="17" t="n">
        <v>0</v>
      </c>
      <c r="AF349" s="17" t="n">
        <v>-0.06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>
        <v>0</v>
      </c>
      <c r="AM349" s="18" t="n">
        <v>0</v>
      </c>
      <c r="AN349" s="16" t="n">
        <v>1</v>
      </c>
      <c r="AO349" s="17" t="n">
        <v>0</v>
      </c>
      <c r="AP349" s="17" t="n">
        <v>0</v>
      </c>
      <c r="AQ349" s="17" t="n">
        <v>1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8" t="n">
        <v>0</v>
      </c>
      <c r="AY349" s="16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8" t="n">
        <v>0</v>
      </c>
      <c r="BJ349" s="16" t="n">
        <v>1</v>
      </c>
      <c r="BK349" s="17" t="n">
        <v>0</v>
      </c>
      <c r="BL349" s="17" t="n">
        <v>0</v>
      </c>
      <c r="BM349" s="17" t="n">
        <v>1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8" t="n">
        <v>0</v>
      </c>
      <c r="BU349" s="17" t="inlineStr">
        <is>
          <t>Unclassified</t>
        </is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0</v>
      </c>
      <c r="J350" s="17" t="n">
        <v>90</v>
      </c>
      <c r="K350" s="17" t="n">
        <v>0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0</v>
      </c>
      <c r="Q350" s="18" t="n">
        <v>0</v>
      </c>
      <c r="R350" s="16" t="n">
        <v>0.9</v>
      </c>
      <c r="S350" s="17" t="n">
        <v>0</v>
      </c>
      <c r="T350" s="17" t="n">
        <v>0</v>
      </c>
      <c r="U350" s="17" t="n">
        <v>0.9</v>
      </c>
      <c r="V350" s="17" t="n">
        <v>0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8" t="n">
        <v>0</v>
      </c>
      <c r="AC350" s="16" t="n">
        <v>-0.9</v>
      </c>
      <c r="AD350" s="17" t="n">
        <v>0</v>
      </c>
      <c r="AE350" s="17" t="n">
        <v>0</v>
      </c>
      <c r="AF350" s="17" t="n">
        <v>-0.9</v>
      </c>
      <c r="AG350" s="17" t="n">
        <v>0</v>
      </c>
      <c r="AH350" s="17" t="n">
        <v>0</v>
      </c>
      <c r="AI350" s="17" t="n">
        <v>0</v>
      </c>
      <c r="AJ350" s="17" t="n">
        <v>0</v>
      </c>
      <c r="AK350" s="17" t="n">
        <v>0</v>
      </c>
      <c r="AL350" s="17" t="n">
        <v>0</v>
      </c>
      <c r="AM350" s="18" t="n">
        <v>0</v>
      </c>
      <c r="AN350" s="16" t="n">
        <v>6</v>
      </c>
      <c r="AO350" s="17" t="n">
        <v>0</v>
      </c>
      <c r="AP350" s="17" t="n">
        <v>0</v>
      </c>
      <c r="AQ350" s="17" t="n">
        <v>6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8" t="n">
        <v>0</v>
      </c>
      <c r="AY350" s="16" t="n">
        <v>0</v>
      </c>
      <c r="AZ350" s="17" t="n">
        <v>0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7" t="n">
        <v>0</v>
      </c>
      <c r="BI350" s="18" t="n">
        <v>0</v>
      </c>
      <c r="BJ350" s="16" t="n">
        <v>6</v>
      </c>
      <c r="BK350" s="17" t="n">
        <v>0</v>
      </c>
      <c r="BL350" s="17" t="n">
        <v>0</v>
      </c>
      <c r="BM350" s="17" t="n">
        <v>6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7" t="n">
        <v>0</v>
      </c>
      <c r="BT350" s="18" t="n">
        <v>0</v>
      </c>
      <c r="BU350" s="17" t="inlineStr">
        <is>
          <t>Unclassified</t>
        </is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0</v>
      </c>
      <c r="J351" s="17" t="n">
        <v>270</v>
      </c>
      <c r="K351" s="17" t="n">
        <v>90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8" t="n">
        <v>0</v>
      </c>
      <c r="R351" s="16" t="n">
        <v>0.36</v>
      </c>
      <c r="S351" s="17" t="n">
        <v>0</v>
      </c>
      <c r="T351" s="17" t="n">
        <v>0</v>
      </c>
      <c r="U351" s="17" t="n">
        <v>0.27</v>
      </c>
      <c r="V351" s="17" t="n">
        <v>0.09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8" t="n">
        <v>0</v>
      </c>
      <c r="AC351" s="16" t="n">
        <v>-0.36</v>
      </c>
      <c r="AD351" s="17" t="n">
        <v>0</v>
      </c>
      <c r="AE351" s="17" t="n">
        <v>0</v>
      </c>
      <c r="AF351" s="17" t="n">
        <v>-0.27</v>
      </c>
      <c r="AG351" s="17" t="n">
        <v>-0.09</v>
      </c>
      <c r="AH351" s="17" t="n">
        <v>0</v>
      </c>
      <c r="AI351" s="17" t="n">
        <v>0</v>
      </c>
      <c r="AJ351" s="17" t="n">
        <v>0</v>
      </c>
      <c r="AK351" s="17" t="n">
        <v>0</v>
      </c>
      <c r="AL351" s="17" t="n">
        <v>0</v>
      </c>
      <c r="AM351" s="18" t="n">
        <v>0</v>
      </c>
      <c r="AN351" s="16" t="n">
        <v>12</v>
      </c>
      <c r="AO351" s="17" t="n">
        <v>0</v>
      </c>
      <c r="AP351" s="17" t="n">
        <v>0</v>
      </c>
      <c r="AQ351" s="17" t="n">
        <v>6</v>
      </c>
      <c r="AR351" s="17" t="n">
        <v>6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8" t="n">
        <v>0</v>
      </c>
      <c r="AY351" s="16" t="n">
        <v>0</v>
      </c>
      <c r="AZ351" s="17" t="n">
        <v>0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8" t="n">
        <v>0</v>
      </c>
      <c r="BJ351" s="16" t="n">
        <v>12</v>
      </c>
      <c r="BK351" s="17" t="n">
        <v>0</v>
      </c>
      <c r="BL351" s="17" t="n">
        <v>0</v>
      </c>
      <c r="BM351" s="17" t="n">
        <v>6</v>
      </c>
      <c r="BN351" s="17" t="n">
        <v>6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8" t="n">
        <v>0</v>
      </c>
      <c r="BU351" s="17" t="inlineStr">
        <is>
          <t>Unclassified</t>
        </is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0</v>
      </c>
      <c r="J352" s="17" t="n">
        <v>120</v>
      </c>
      <c r="K352" s="17" t="n">
        <v>90</v>
      </c>
      <c r="L352" s="17" t="n">
        <v>0</v>
      </c>
      <c r="M352" s="17" t="n">
        <v>0</v>
      </c>
      <c r="N352" s="17" t="n">
        <v>90</v>
      </c>
      <c r="O352" s="17" t="n">
        <v>0</v>
      </c>
      <c r="P352" s="17" t="n">
        <v>0</v>
      </c>
      <c r="Q352" s="18" t="n">
        <v>0</v>
      </c>
      <c r="R352" s="16" t="n">
        <v>0.3</v>
      </c>
      <c r="S352" s="17" t="n">
        <v>0</v>
      </c>
      <c r="T352" s="17" t="n">
        <v>0</v>
      </c>
      <c r="U352" s="17" t="n">
        <v>0.12</v>
      </c>
      <c r="V352" s="17" t="n">
        <v>0.09</v>
      </c>
      <c r="W352" s="17" t="n">
        <v>0</v>
      </c>
      <c r="X352" s="17" t="n">
        <v>0</v>
      </c>
      <c r="Y352" s="17" t="n">
        <v>0.09</v>
      </c>
      <c r="Z352" s="17" t="n">
        <v>0</v>
      </c>
      <c r="AA352" s="17" t="n">
        <v>0</v>
      </c>
      <c r="AB352" s="18" t="n">
        <v>0</v>
      </c>
      <c r="AC352" s="16" t="n">
        <v>-0.3</v>
      </c>
      <c r="AD352" s="17" t="n">
        <v>0</v>
      </c>
      <c r="AE352" s="17" t="n">
        <v>0</v>
      </c>
      <c r="AF352" s="17" t="n">
        <v>-0.12</v>
      </c>
      <c r="AG352" s="17" t="n">
        <v>-0.09</v>
      </c>
      <c r="AH352" s="17" t="n">
        <v>0</v>
      </c>
      <c r="AI352" s="17" t="n">
        <v>0</v>
      </c>
      <c r="AJ352" s="17" t="n">
        <v>-0.09</v>
      </c>
      <c r="AK352" s="17" t="n">
        <v>0</v>
      </c>
      <c r="AL352" s="17" t="n">
        <v>0</v>
      </c>
      <c r="AM352" s="18" t="n">
        <v>0</v>
      </c>
      <c r="AN352" s="16" t="n">
        <v>19</v>
      </c>
      <c r="AO352" s="17" t="n">
        <v>0</v>
      </c>
      <c r="AP352" s="17" t="n">
        <v>0</v>
      </c>
      <c r="AQ352" s="17" t="n">
        <v>2</v>
      </c>
      <c r="AR352" s="17" t="n">
        <v>4</v>
      </c>
      <c r="AS352" s="17" t="n">
        <v>0</v>
      </c>
      <c r="AT352" s="17" t="n">
        <v>0</v>
      </c>
      <c r="AU352" s="17" t="n">
        <v>12</v>
      </c>
      <c r="AV352" s="17" t="n">
        <v>0</v>
      </c>
      <c r="AW352" s="17" t="n">
        <v>0</v>
      </c>
      <c r="AX352" s="18" t="n">
        <v>0</v>
      </c>
      <c r="AY352" s="16" t="n">
        <v>0</v>
      </c>
      <c r="AZ352" s="17" t="n">
        <v>0</v>
      </c>
      <c r="BA352" s="17" t="n">
        <v>0</v>
      </c>
      <c r="BB352" s="17" t="n">
        <v>0</v>
      </c>
      <c r="BC352" s="17" t="n">
        <v>0</v>
      </c>
      <c r="BD352" s="17" t="n">
        <v>0</v>
      </c>
      <c r="BE352" s="17" t="n">
        <v>0</v>
      </c>
      <c r="BF352" s="17" t="n">
        <v>0</v>
      </c>
      <c r="BG352" s="17" t="n">
        <v>0</v>
      </c>
      <c r="BH352" s="17" t="n">
        <v>0</v>
      </c>
      <c r="BI352" s="18" t="n">
        <v>0</v>
      </c>
      <c r="BJ352" s="16" t="n">
        <v>19</v>
      </c>
      <c r="BK352" s="17" t="n">
        <v>0</v>
      </c>
      <c r="BL352" s="17" t="n">
        <v>0</v>
      </c>
      <c r="BM352" s="17" t="n">
        <v>2</v>
      </c>
      <c r="BN352" s="17" t="n">
        <v>4</v>
      </c>
      <c r="BO352" s="17" t="n">
        <v>0</v>
      </c>
      <c r="BP352" s="17" t="n">
        <v>0</v>
      </c>
      <c r="BQ352" s="17" t="n">
        <v>12</v>
      </c>
      <c r="BR352" s="17" t="n">
        <v>0</v>
      </c>
      <c r="BS352" s="17" t="n">
        <v>0</v>
      </c>
      <c r="BT352" s="18" t="n">
        <v>0</v>
      </c>
      <c r="BU352" s="17" t="inlineStr">
        <is>
          <t>Unclassified</t>
        </is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0</v>
      </c>
      <c r="J353" s="17" t="n">
        <v>540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30</v>
      </c>
      <c r="P353" s="17" t="n">
        <v>0</v>
      </c>
      <c r="Q353" s="18" t="n">
        <v>0</v>
      </c>
      <c r="R353" s="16" t="n">
        <v>1.14</v>
      </c>
      <c r="S353" s="17" t="n">
        <v>0</v>
      </c>
      <c r="T353" s="17" t="n">
        <v>0</v>
      </c>
      <c r="U353" s="17" t="n">
        <v>1.08</v>
      </c>
      <c r="V353" s="17" t="n">
        <v>0</v>
      </c>
      <c r="W353" s="17" t="n">
        <v>0</v>
      </c>
      <c r="X353" s="17" t="n">
        <v>0</v>
      </c>
      <c r="Y353" s="17" t="n">
        <v>0</v>
      </c>
      <c r="Z353" s="17" t="n">
        <v>0.06</v>
      </c>
      <c r="AA353" s="17" t="n">
        <v>0</v>
      </c>
      <c r="AB353" s="18" t="n">
        <v>0</v>
      </c>
      <c r="AC353" s="16" t="n">
        <v>0.86</v>
      </c>
      <c r="AD353" s="17" t="n">
        <v>2</v>
      </c>
      <c r="AE353" s="17" t="n">
        <v>2</v>
      </c>
      <c r="AF353" s="17" t="n">
        <v>0.92</v>
      </c>
      <c r="AG353" s="17" t="n">
        <v>2</v>
      </c>
      <c r="AH353" s="17" t="n">
        <v>2</v>
      </c>
      <c r="AI353" s="17" t="n">
        <v>2</v>
      </c>
      <c r="AJ353" s="17" t="n">
        <v>2</v>
      </c>
      <c r="AK353" s="17" t="n">
        <v>1.94</v>
      </c>
      <c r="AL353" s="17" t="n">
        <v>2</v>
      </c>
      <c r="AM353" s="18" t="n">
        <v>2</v>
      </c>
      <c r="AN353" s="16" t="n">
        <v>66</v>
      </c>
      <c r="AO353" s="17" t="n">
        <v>0</v>
      </c>
      <c r="AP353" s="17" t="n">
        <v>0</v>
      </c>
      <c r="AQ353" s="17" t="n">
        <v>61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5</v>
      </c>
      <c r="AW353" s="17" t="n">
        <v>0</v>
      </c>
      <c r="AX353" s="18" t="n">
        <v>0</v>
      </c>
      <c r="AY353" s="16" t="n">
        <v>59</v>
      </c>
      <c r="AZ353" s="17" t="n">
        <v>0</v>
      </c>
      <c r="BA353" s="17" t="n">
        <v>0</v>
      </c>
      <c r="BB353" s="17" t="n">
        <v>56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3</v>
      </c>
      <c r="BH353" s="17" t="n">
        <v>0</v>
      </c>
      <c r="BI353" s="18" t="n">
        <v>0</v>
      </c>
      <c r="BJ353" s="16" t="n">
        <v>7</v>
      </c>
      <c r="BK353" s="17" t="n">
        <v>0</v>
      </c>
      <c r="BL353" s="17" t="n">
        <v>0</v>
      </c>
      <c r="BM353" s="17" t="n">
        <v>5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2</v>
      </c>
      <c r="BS353" s="17" t="n">
        <v>0</v>
      </c>
      <c r="BT353" s="18" t="n">
        <v>0</v>
      </c>
      <c r="BU353" s="17" t="inlineStr">
        <is>
          <t>Generic Drug</t>
        </is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0</v>
      </c>
      <c r="J354" s="17" t="n">
        <v>300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8" t="n">
        <v>0</v>
      </c>
      <c r="R354" s="16" t="n">
        <v>3</v>
      </c>
      <c r="S354" s="17" t="n">
        <v>0</v>
      </c>
      <c r="T354" s="17" t="n">
        <v>0</v>
      </c>
      <c r="U354" s="17" t="n">
        <v>3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8" t="n">
        <v>0</v>
      </c>
      <c r="AC354" s="16" t="n">
        <v>-3</v>
      </c>
      <c r="AD354" s="17" t="n">
        <v>0</v>
      </c>
      <c r="AE354" s="17" t="n">
        <v>0</v>
      </c>
      <c r="AF354" s="17" t="n">
        <v>-3</v>
      </c>
      <c r="AG354" s="17" t="n">
        <v>0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0</v>
      </c>
      <c r="AM354" s="18" t="n">
        <v>0</v>
      </c>
      <c r="AN354" s="16" t="n">
        <v>22</v>
      </c>
      <c r="AO354" s="17" t="n">
        <v>0</v>
      </c>
      <c r="AP354" s="17" t="n">
        <v>0</v>
      </c>
      <c r="AQ354" s="17" t="n">
        <v>22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8" t="n">
        <v>0</v>
      </c>
      <c r="AY354" s="16" t="n">
        <v>0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7" t="n">
        <v>0</v>
      </c>
      <c r="BI354" s="18" t="n">
        <v>0</v>
      </c>
      <c r="BJ354" s="16" t="n">
        <v>22</v>
      </c>
      <c r="BK354" s="17" t="n">
        <v>0</v>
      </c>
      <c r="BL354" s="17" t="n">
        <v>0</v>
      </c>
      <c r="BM354" s="17" t="n">
        <v>22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7" t="n">
        <v>0</v>
      </c>
      <c r="BT354" s="18" t="n">
        <v>0</v>
      </c>
      <c r="BU354" s="17" t="inlineStr">
        <is>
          <t>Unclassified</t>
        </is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0</v>
      </c>
      <c r="J355" s="17" t="n">
        <v>60</v>
      </c>
      <c r="K355" s="17" t="n">
        <v>0</v>
      </c>
      <c r="L355" s="17" t="n">
        <v>0</v>
      </c>
      <c r="M355" s="17" t="n">
        <v>0</v>
      </c>
      <c r="N355" s="17" t="n">
        <v>60</v>
      </c>
      <c r="O355" s="17" t="n">
        <v>0</v>
      </c>
      <c r="P355" s="17" t="n">
        <v>0</v>
      </c>
      <c r="Q355" s="18" t="n">
        <v>0</v>
      </c>
      <c r="R355" s="16" t="n">
        <v>1.2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7" t="n">
        <v>0</v>
      </c>
      <c r="Y355" s="17" t="n">
        <v>0.6</v>
      </c>
      <c r="Z355" s="17" t="n">
        <v>0</v>
      </c>
      <c r="AA355" s="17" t="n">
        <v>0</v>
      </c>
      <c r="AB355" s="18" t="n">
        <v>0</v>
      </c>
      <c r="AC355" s="16" t="n">
        <v>-1.2</v>
      </c>
      <c r="AD355" s="17" t="n">
        <v>0</v>
      </c>
      <c r="AE355" s="17" t="n">
        <v>0</v>
      </c>
      <c r="AF355" s="17" t="n">
        <v>-0.6</v>
      </c>
      <c r="AG355" s="17" t="n">
        <v>0</v>
      </c>
      <c r="AH355" s="17" t="n">
        <v>0</v>
      </c>
      <c r="AI355" s="17" t="n">
        <v>0</v>
      </c>
      <c r="AJ355" s="17" t="n">
        <v>-0.6</v>
      </c>
      <c r="AK355" s="17" t="n">
        <v>0</v>
      </c>
      <c r="AL355" s="17" t="n">
        <v>0</v>
      </c>
      <c r="AM355" s="18" t="n">
        <v>0</v>
      </c>
      <c r="AN355" s="16" t="n">
        <v>36</v>
      </c>
      <c r="AO355" s="17" t="n">
        <v>0</v>
      </c>
      <c r="AP355" s="17" t="n">
        <v>0</v>
      </c>
      <c r="AQ355" s="17" t="n">
        <v>9</v>
      </c>
      <c r="AR355" s="17" t="n">
        <v>0</v>
      </c>
      <c r="AS355" s="17" t="n">
        <v>0</v>
      </c>
      <c r="AT355" s="17" t="n">
        <v>0</v>
      </c>
      <c r="AU355" s="17" t="n">
        <v>28</v>
      </c>
      <c r="AV355" s="17" t="n">
        <v>0</v>
      </c>
      <c r="AW355" s="17" t="n">
        <v>0</v>
      </c>
      <c r="AX355" s="18" t="n">
        <v>0</v>
      </c>
      <c r="AY355" s="16" t="n">
        <v>0</v>
      </c>
      <c r="AZ355" s="17" t="n">
        <v>0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8" t="n">
        <v>0</v>
      </c>
      <c r="BJ355" s="16" t="n">
        <v>36</v>
      </c>
      <c r="BK355" s="17" t="n">
        <v>0</v>
      </c>
      <c r="BL355" s="17" t="n">
        <v>0</v>
      </c>
      <c r="BM355" s="17" t="n">
        <v>9</v>
      </c>
      <c r="BN355" s="17" t="n">
        <v>0</v>
      </c>
      <c r="BO355" s="17" t="n">
        <v>0</v>
      </c>
      <c r="BP355" s="17" t="n">
        <v>0</v>
      </c>
      <c r="BQ355" s="17" t="n">
        <v>28</v>
      </c>
      <c r="BR355" s="17" t="n">
        <v>0</v>
      </c>
      <c r="BS355" s="17" t="n">
        <v>0</v>
      </c>
      <c r="BT355" s="18" t="n">
        <v>0</v>
      </c>
      <c r="BU355" s="17" t="inlineStr">
        <is>
          <t>Unclassified</t>
        </is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0</v>
      </c>
      <c r="N356" s="17" t="n">
        <v>0</v>
      </c>
      <c r="O356" s="17" t="n">
        <v>60</v>
      </c>
      <c r="P356" s="17" t="n">
        <v>0</v>
      </c>
      <c r="Q356" s="18" t="n">
        <v>0</v>
      </c>
      <c r="R356" s="16" t="n">
        <v>0.6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0.6</v>
      </c>
      <c r="AA356" s="17" t="n">
        <v>0</v>
      </c>
      <c r="AB356" s="18" t="n">
        <v>0</v>
      </c>
      <c r="AC356" s="16" t="n">
        <v>-0.6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-0.6</v>
      </c>
      <c r="AL356" s="17" t="n">
        <v>0</v>
      </c>
      <c r="AM356" s="18" t="n">
        <v>0</v>
      </c>
      <c r="AN356" s="16" t="n">
        <v>10</v>
      </c>
      <c r="AO356" s="17" t="n">
        <v>0</v>
      </c>
      <c r="AP356" s="17" t="n">
        <v>0</v>
      </c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10</v>
      </c>
      <c r="AW356" s="17" t="n">
        <v>0</v>
      </c>
      <c r="AX356" s="18" t="n">
        <v>0</v>
      </c>
      <c r="AY356" s="16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8" t="n">
        <v>0</v>
      </c>
      <c r="BJ356" s="16" t="n">
        <v>10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10</v>
      </c>
      <c r="BS356" s="17" t="n">
        <v>0</v>
      </c>
      <c r="BT356" s="18" t="n">
        <v>0</v>
      </c>
      <c r="BU356" s="17" t="inlineStr">
        <is>
          <t>Unclassified</t>
        </is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30</v>
      </c>
      <c r="O357" s="17" t="n">
        <v>0</v>
      </c>
      <c r="P357" s="17" t="n">
        <v>0</v>
      </c>
      <c r="Q357" s="18" t="n">
        <v>0</v>
      </c>
      <c r="R357" s="16" t="n">
        <v>0.3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0.3</v>
      </c>
      <c r="Z357" s="17" t="n">
        <v>0</v>
      </c>
      <c r="AA357" s="17" t="n">
        <v>0</v>
      </c>
      <c r="AB357" s="18" t="n">
        <v>0</v>
      </c>
      <c r="AC357" s="16" t="n">
        <v>-0.3</v>
      </c>
      <c r="AD357" s="17" t="n">
        <v>0</v>
      </c>
      <c r="AE357" s="17" t="n">
        <v>0</v>
      </c>
      <c r="AF357" s="17" t="n">
        <v>0</v>
      </c>
      <c r="AG357" s="17" t="n">
        <v>0</v>
      </c>
      <c r="AH357" s="17" t="n">
        <v>0</v>
      </c>
      <c r="AI357" s="17" t="n">
        <v>0</v>
      </c>
      <c r="AJ357" s="17" t="n">
        <v>-0.3</v>
      </c>
      <c r="AK357" s="17" t="n">
        <v>0</v>
      </c>
      <c r="AL357" s="17" t="n">
        <v>0</v>
      </c>
      <c r="AM357" s="18" t="n">
        <v>0</v>
      </c>
      <c r="AN357" s="16" t="n">
        <v>15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0</v>
      </c>
      <c r="AU357" s="17" t="n">
        <v>15</v>
      </c>
      <c r="AV357" s="17" t="n">
        <v>0</v>
      </c>
      <c r="AW357" s="17" t="n">
        <v>0</v>
      </c>
      <c r="AX357" s="18" t="n">
        <v>0</v>
      </c>
      <c r="AY357" s="16" t="n">
        <v>0</v>
      </c>
      <c r="AZ357" s="17" t="n">
        <v>0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8" t="n">
        <v>0</v>
      </c>
      <c r="BJ357" s="16" t="n">
        <v>15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15</v>
      </c>
      <c r="BR357" s="17" t="n">
        <v>0</v>
      </c>
      <c r="BS357" s="17" t="n">
        <v>0</v>
      </c>
      <c r="BT357" s="18" t="n">
        <v>0</v>
      </c>
      <c r="BU357" s="17" t="inlineStr">
        <is>
          <t>Unclassified</t>
        </is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50</v>
      </c>
      <c r="O358" s="17" t="n">
        <v>0</v>
      </c>
      <c r="P358" s="17" t="n">
        <v>0</v>
      </c>
      <c r="Q358" s="18" t="n">
        <v>0</v>
      </c>
      <c r="R358" s="16" t="n">
        <v>1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1</v>
      </c>
      <c r="Z358" s="17" t="n">
        <v>0</v>
      </c>
      <c r="AA358" s="17" t="n">
        <v>0</v>
      </c>
      <c r="AB358" s="18" t="n">
        <v>0</v>
      </c>
      <c r="AC358" s="16" t="n">
        <v>2</v>
      </c>
      <c r="AD358" s="17" t="n">
        <v>3</v>
      </c>
      <c r="AE358" s="17" t="n">
        <v>3</v>
      </c>
      <c r="AF358" s="17" t="n">
        <v>3</v>
      </c>
      <c r="AG358" s="17" t="n">
        <v>3</v>
      </c>
      <c r="AH358" s="17" t="n">
        <v>3</v>
      </c>
      <c r="AI358" s="17" t="n">
        <v>3</v>
      </c>
      <c r="AJ358" s="17" t="n">
        <v>2</v>
      </c>
      <c r="AK358" s="17" t="n">
        <v>3</v>
      </c>
      <c r="AL358" s="17" t="n">
        <v>3</v>
      </c>
      <c r="AM358" s="18" t="n">
        <v>3</v>
      </c>
      <c r="AN358" s="16" t="n">
        <v>32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32</v>
      </c>
      <c r="AV358" s="17" t="n">
        <v>0</v>
      </c>
      <c r="AW358" s="17" t="n">
        <v>0</v>
      </c>
      <c r="AX358" s="18" t="n">
        <v>0</v>
      </c>
      <c r="AY358" s="16" t="n">
        <v>16</v>
      </c>
      <c r="AZ358" s="17" t="n">
        <v>0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7" t="n">
        <v>16</v>
      </c>
      <c r="BG358" s="17" t="n">
        <v>0</v>
      </c>
      <c r="BH358" s="17" t="n">
        <v>0</v>
      </c>
      <c r="BI358" s="18" t="n">
        <v>0</v>
      </c>
      <c r="BJ358" s="16" t="n">
        <v>16</v>
      </c>
      <c r="BK358" s="17" t="n">
        <v>0</v>
      </c>
      <c r="BL358" s="17" t="n">
        <v>0</v>
      </c>
      <c r="BM358" s="17" t="n">
        <v>0</v>
      </c>
      <c r="BN358" s="17" t="n">
        <v>0</v>
      </c>
      <c r="BO358" s="17" t="n">
        <v>0</v>
      </c>
      <c r="BP358" s="17" t="n">
        <v>0</v>
      </c>
      <c r="BQ358" s="17" t="n">
        <v>16</v>
      </c>
      <c r="BR358" s="17" t="n">
        <v>0</v>
      </c>
      <c r="BS358" s="17" t="n">
        <v>0</v>
      </c>
      <c r="BT358" s="18" t="n">
        <v>0</v>
      </c>
      <c r="BU358" s="17" t="inlineStr">
        <is>
          <t>Generic Drug</t>
        </is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30</v>
      </c>
      <c r="O359" s="17" t="n">
        <v>0</v>
      </c>
      <c r="P359" s="17" t="n">
        <v>0</v>
      </c>
      <c r="Q359" s="18" t="n">
        <v>0</v>
      </c>
      <c r="R359" s="16" t="n">
        <v>0.3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0.3</v>
      </c>
      <c r="Z359" s="17" t="n">
        <v>0</v>
      </c>
      <c r="AA359" s="17" t="n">
        <v>0</v>
      </c>
      <c r="AB359" s="18" t="n">
        <v>0</v>
      </c>
      <c r="AC359" s="16" t="n">
        <v>-0.3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-0.3</v>
      </c>
      <c r="AK359" s="17" t="n">
        <v>0</v>
      </c>
      <c r="AL359" s="17" t="n">
        <v>0</v>
      </c>
      <c r="AM359" s="18" t="n">
        <v>0</v>
      </c>
      <c r="AN359" s="16" t="n">
        <v>14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14</v>
      </c>
      <c r="AV359" s="17" t="n">
        <v>0</v>
      </c>
      <c r="AW359" s="17" t="n">
        <v>0</v>
      </c>
      <c r="AX359" s="18" t="n">
        <v>0</v>
      </c>
      <c r="AY359" s="16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8" t="n">
        <v>0</v>
      </c>
      <c r="BJ359" s="16" t="n">
        <v>14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14</v>
      </c>
      <c r="BR359" s="17" t="n">
        <v>0</v>
      </c>
      <c r="BS359" s="17" t="n">
        <v>0</v>
      </c>
      <c r="BT359" s="18" t="n">
        <v>0</v>
      </c>
      <c r="BU359" s="17" t="inlineStr">
        <is>
          <t>Unclassified</t>
        </is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0</v>
      </c>
      <c r="J360" s="17" t="n">
        <v>60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8" t="n">
        <v>0</v>
      </c>
      <c r="R360" s="16" t="n">
        <v>0.6</v>
      </c>
      <c r="S360" s="17" t="n">
        <v>0</v>
      </c>
      <c r="T360" s="17" t="n">
        <v>0</v>
      </c>
      <c r="U360" s="17" t="n">
        <v>0.6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8" t="n">
        <v>0</v>
      </c>
      <c r="AC360" s="16" t="n">
        <v>-0.6</v>
      </c>
      <c r="AD360" s="17" t="n">
        <v>0</v>
      </c>
      <c r="AE360" s="17" t="n">
        <v>0</v>
      </c>
      <c r="AF360" s="17" t="n">
        <v>-0.6</v>
      </c>
      <c r="AG360" s="17" t="n">
        <v>0</v>
      </c>
      <c r="AH360" s="17" t="n">
        <v>0</v>
      </c>
      <c r="AI360" s="17" t="n">
        <v>0</v>
      </c>
      <c r="AJ360" s="17" t="n">
        <v>0</v>
      </c>
      <c r="AK360" s="17" t="n">
        <v>0</v>
      </c>
      <c r="AL360" s="17" t="n">
        <v>0</v>
      </c>
      <c r="AM360" s="18" t="n">
        <v>0</v>
      </c>
      <c r="AN360" s="16" t="n">
        <v>11</v>
      </c>
      <c r="AO360" s="17" t="n">
        <v>0</v>
      </c>
      <c r="AP360" s="17" t="n">
        <v>0</v>
      </c>
      <c r="AQ360" s="17" t="n">
        <v>11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8" t="n">
        <v>0</v>
      </c>
      <c r="AY360" s="16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7" t="n">
        <v>0</v>
      </c>
      <c r="BI360" s="18" t="n">
        <v>0</v>
      </c>
      <c r="BJ360" s="16" t="n">
        <v>11</v>
      </c>
      <c r="BK360" s="17" t="n">
        <v>0</v>
      </c>
      <c r="BL360" s="17" t="n">
        <v>0</v>
      </c>
      <c r="BM360" s="17" t="n">
        <v>11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7" t="n">
        <v>0</v>
      </c>
      <c r="BT360" s="18" t="n">
        <v>0</v>
      </c>
      <c r="BU360" s="17" t="inlineStr">
        <is>
          <t>Unclassified</t>
        </is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0</v>
      </c>
      <c r="J361" s="17" t="n">
        <v>540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8" t="n">
        <v>0</v>
      </c>
      <c r="R361" s="16" t="n">
        <v>5.4</v>
      </c>
      <c r="S361" s="17" t="n">
        <v>0</v>
      </c>
      <c r="T361" s="17" t="n">
        <v>0</v>
      </c>
      <c r="U361" s="17" t="n">
        <v>5.4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8" t="n">
        <v>0</v>
      </c>
      <c r="AC361" s="16" t="n">
        <v>-2.4</v>
      </c>
      <c r="AD361" s="17" t="n">
        <v>3</v>
      </c>
      <c r="AE361" s="17" t="n">
        <v>3</v>
      </c>
      <c r="AF361" s="17" t="n">
        <v>-2.4</v>
      </c>
      <c r="AG361" s="17" t="n">
        <v>3</v>
      </c>
      <c r="AH361" s="17" t="n">
        <v>3</v>
      </c>
      <c r="AI361" s="17" t="n">
        <v>3</v>
      </c>
      <c r="AJ361" s="17" t="n">
        <v>3</v>
      </c>
      <c r="AK361" s="17" t="n">
        <v>3</v>
      </c>
      <c r="AL361" s="17" t="n">
        <v>3</v>
      </c>
      <c r="AM361" s="18" t="n">
        <v>3</v>
      </c>
      <c r="AN361" s="16" t="n">
        <v>17</v>
      </c>
      <c r="AO361" s="17" t="n">
        <v>0</v>
      </c>
      <c r="AP361" s="17" t="n">
        <v>0</v>
      </c>
      <c r="AQ361" s="17" t="n">
        <v>17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8" t="n">
        <v>0</v>
      </c>
      <c r="AY361" s="16" t="n">
        <v>38</v>
      </c>
      <c r="AZ361" s="17" t="n">
        <v>0</v>
      </c>
      <c r="BA361" s="17" t="n">
        <v>0</v>
      </c>
      <c r="BB361" s="17" t="n">
        <v>38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8" t="n">
        <v>0</v>
      </c>
      <c r="BJ361" s="16" t="n">
        <v>-21</v>
      </c>
      <c r="BK361" s="17" t="n">
        <v>0</v>
      </c>
      <c r="BL361" s="17" t="n">
        <v>0</v>
      </c>
      <c r="BM361" s="17" t="n">
        <v>-21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8" t="n">
        <v>0</v>
      </c>
      <c r="BU361" s="17" t="inlineStr">
        <is>
          <t>Generic Drug</t>
        </is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0</v>
      </c>
      <c r="J362" s="17" t="n">
        <v>270</v>
      </c>
      <c r="K362" s="17" t="n">
        <v>180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8" t="n">
        <v>0</v>
      </c>
      <c r="R362" s="16" t="n">
        <v>0.45</v>
      </c>
      <c r="S362" s="17" t="n">
        <v>0</v>
      </c>
      <c r="T362" s="17" t="n">
        <v>0</v>
      </c>
      <c r="U362" s="17" t="n">
        <v>0.27</v>
      </c>
      <c r="V362" s="17" t="n">
        <v>0.18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8" t="n">
        <v>0</v>
      </c>
      <c r="AC362" s="16" t="n">
        <v>1.55</v>
      </c>
      <c r="AD362" s="17" t="n">
        <v>2</v>
      </c>
      <c r="AE362" s="17" t="n">
        <v>2</v>
      </c>
      <c r="AF362" s="17" t="n">
        <v>1.73</v>
      </c>
      <c r="AG362" s="17" t="n">
        <v>1.82</v>
      </c>
      <c r="AH362" s="17" t="n">
        <v>2</v>
      </c>
      <c r="AI362" s="17" t="n">
        <v>2</v>
      </c>
      <c r="AJ362" s="17" t="n">
        <v>2</v>
      </c>
      <c r="AK362" s="17" t="n">
        <v>2</v>
      </c>
      <c r="AL362" s="17" t="n">
        <v>2</v>
      </c>
      <c r="AM362" s="18" t="n">
        <v>2</v>
      </c>
      <c r="AN362" s="16" t="n">
        <v>11</v>
      </c>
      <c r="AO362" s="17" t="n">
        <v>0</v>
      </c>
      <c r="AP362" s="17" t="n">
        <v>0</v>
      </c>
      <c r="AQ362" s="17" t="n">
        <v>4</v>
      </c>
      <c r="AR362" s="17" t="n">
        <v>6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8" t="n">
        <v>0</v>
      </c>
      <c r="AY362" s="16" t="n">
        <v>8</v>
      </c>
      <c r="AZ362" s="17" t="n">
        <v>0</v>
      </c>
      <c r="BA362" s="17" t="n">
        <v>0</v>
      </c>
      <c r="BB362" s="17" t="n">
        <v>5</v>
      </c>
      <c r="BC362" s="17" t="n">
        <v>3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7" t="n">
        <v>0</v>
      </c>
      <c r="BI362" s="18" t="n">
        <v>0</v>
      </c>
      <c r="BJ362" s="16" t="n">
        <v>3</v>
      </c>
      <c r="BK362" s="17" t="n">
        <v>0</v>
      </c>
      <c r="BL362" s="17" t="n">
        <v>0</v>
      </c>
      <c r="BM362" s="17" t="n">
        <v>-1</v>
      </c>
      <c r="BN362" s="17" t="n">
        <v>2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7" t="n">
        <v>0</v>
      </c>
      <c r="BT362" s="18" t="n">
        <v>0</v>
      </c>
      <c r="BU362" s="17" t="inlineStr">
        <is>
          <t>Generic Drug</t>
        </is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180</v>
      </c>
      <c r="O363" s="17" t="n">
        <v>0</v>
      </c>
      <c r="P363" s="17" t="n">
        <v>0</v>
      </c>
      <c r="Q363" s="18" t="n">
        <v>0</v>
      </c>
      <c r="R363" s="16" t="n">
        <v>0.18</v>
      </c>
      <c r="S363" s="17" t="n">
        <v>0</v>
      </c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0.18</v>
      </c>
      <c r="Z363" s="17" t="n">
        <v>0</v>
      </c>
      <c r="AA363" s="17" t="n">
        <v>0</v>
      </c>
      <c r="AB363" s="18" t="n">
        <v>0</v>
      </c>
      <c r="AC363" s="16" t="n">
        <v>-0.18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8" t="n">
        <v>0</v>
      </c>
      <c r="AN363" s="16" t="n">
        <v>17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17</v>
      </c>
      <c r="AV363" s="17" t="n">
        <v>0</v>
      </c>
      <c r="AW363" s="17" t="n">
        <v>0</v>
      </c>
      <c r="AX363" s="18" t="n">
        <v>0</v>
      </c>
      <c r="AY363" s="16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8" t="n">
        <v>0</v>
      </c>
      <c r="BJ363" s="16" t="n">
        <v>17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17</v>
      </c>
      <c r="BR363" s="17" t="n">
        <v>0</v>
      </c>
      <c r="BS363" s="17" t="n">
        <v>0</v>
      </c>
      <c r="BT363" s="18" t="n">
        <v>0</v>
      </c>
      <c r="BU363" s="17" t="inlineStr">
        <is>
          <t>Unclassified</t>
        </is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0</v>
      </c>
      <c r="J364" s="17" t="n">
        <v>270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8" t="n">
        <v>0</v>
      </c>
      <c r="R364" s="16" t="n">
        <v>0.27</v>
      </c>
      <c r="S364" s="17" t="n">
        <v>0</v>
      </c>
      <c r="T364" s="17" t="n">
        <v>0</v>
      </c>
      <c r="U364" s="17" t="n">
        <v>0.27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8" t="n">
        <v>0</v>
      </c>
      <c r="AC364" s="16" t="n">
        <v>-0.27</v>
      </c>
      <c r="AD364" s="17" t="n">
        <v>0</v>
      </c>
      <c r="AE364" s="17" t="n">
        <v>0</v>
      </c>
      <c r="AF364" s="17" t="n">
        <v>-0.27</v>
      </c>
      <c r="AG364" s="17" t="n">
        <v>0</v>
      </c>
      <c r="AH364" s="17" t="n">
        <v>0</v>
      </c>
      <c r="AI364" s="17" t="n">
        <v>0</v>
      </c>
      <c r="AJ364" s="17" t="n">
        <v>0</v>
      </c>
      <c r="AK364" s="17" t="n">
        <v>0</v>
      </c>
      <c r="AL364" s="17" t="n">
        <v>0</v>
      </c>
      <c r="AM364" s="18" t="n">
        <v>0</v>
      </c>
      <c r="AN364" s="16" t="n">
        <v>4</v>
      </c>
      <c r="AO364" s="17" t="n">
        <v>0</v>
      </c>
      <c r="AP364" s="17" t="n">
        <v>0</v>
      </c>
      <c r="AQ364" s="17" t="n">
        <v>4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8" t="n">
        <v>0</v>
      </c>
      <c r="AY364" s="16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7" t="n">
        <v>0</v>
      </c>
      <c r="BI364" s="18" t="n">
        <v>0</v>
      </c>
      <c r="BJ364" s="16" t="n">
        <v>4</v>
      </c>
      <c r="BK364" s="17" t="n">
        <v>0</v>
      </c>
      <c r="BL364" s="17" t="n">
        <v>0</v>
      </c>
      <c r="BM364" s="17" t="n">
        <v>4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8" t="n">
        <v>0</v>
      </c>
      <c r="BU364" s="17" t="inlineStr">
        <is>
          <t>Unclassified</t>
        </is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0</v>
      </c>
      <c r="J365" s="17" t="n">
        <v>90</v>
      </c>
      <c r="K365" s="17" t="n">
        <v>0</v>
      </c>
      <c r="L365" s="17" t="n">
        <v>0</v>
      </c>
      <c r="M365" s="17" t="n">
        <v>0</v>
      </c>
      <c r="N365" s="17" t="n">
        <v>90</v>
      </c>
      <c r="O365" s="17" t="n">
        <v>0</v>
      </c>
      <c r="P365" s="17" t="n">
        <v>0</v>
      </c>
      <c r="Q365" s="18" t="n">
        <v>0</v>
      </c>
      <c r="R365" s="16" t="n">
        <v>1.8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7" t="n">
        <v>0</v>
      </c>
      <c r="Y365" s="17" t="n">
        <v>0.9</v>
      </c>
      <c r="Z365" s="17" t="n">
        <v>0</v>
      </c>
      <c r="AA365" s="17" t="n">
        <v>0</v>
      </c>
      <c r="AB365" s="18" t="n">
        <v>0</v>
      </c>
      <c r="AC365" s="16" t="n">
        <v>-1.8</v>
      </c>
      <c r="AD365" s="17" t="n">
        <v>0</v>
      </c>
      <c r="AE365" s="17" t="n">
        <v>0</v>
      </c>
      <c r="AF365" s="17" t="n">
        <v>-0.9</v>
      </c>
      <c r="AG365" s="17" t="n">
        <v>0</v>
      </c>
      <c r="AH365" s="17" t="n">
        <v>0</v>
      </c>
      <c r="AI365" s="17" t="n">
        <v>0</v>
      </c>
      <c r="AJ365" s="17" t="n">
        <v>-0.9</v>
      </c>
      <c r="AK365" s="17" t="n">
        <v>0</v>
      </c>
      <c r="AL365" s="17" t="n">
        <v>0</v>
      </c>
      <c r="AM365" s="18" t="n">
        <v>0</v>
      </c>
      <c r="AN365" s="16" t="n">
        <v>16</v>
      </c>
      <c r="AO365" s="17" t="n">
        <v>0</v>
      </c>
      <c r="AP365" s="17" t="n">
        <v>0</v>
      </c>
      <c r="AQ365" s="17" t="n">
        <v>2</v>
      </c>
      <c r="AR365" s="17" t="n">
        <v>0</v>
      </c>
      <c r="AS365" s="17" t="n">
        <v>0</v>
      </c>
      <c r="AT365" s="17" t="n">
        <v>0</v>
      </c>
      <c r="AU365" s="17" t="n">
        <v>13</v>
      </c>
      <c r="AV365" s="17" t="n">
        <v>0</v>
      </c>
      <c r="AW365" s="17" t="n">
        <v>0</v>
      </c>
      <c r="AX365" s="18" t="n">
        <v>0</v>
      </c>
      <c r="AY365" s="16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8" t="n">
        <v>0</v>
      </c>
      <c r="BJ365" s="16" t="n">
        <v>16</v>
      </c>
      <c r="BK365" s="17" t="n">
        <v>0</v>
      </c>
      <c r="BL365" s="17" t="n">
        <v>0</v>
      </c>
      <c r="BM365" s="17" t="n">
        <v>2</v>
      </c>
      <c r="BN365" s="17" t="n">
        <v>0</v>
      </c>
      <c r="BO365" s="17" t="n">
        <v>0</v>
      </c>
      <c r="BP365" s="17" t="n">
        <v>0</v>
      </c>
      <c r="BQ365" s="17" t="n">
        <v>13</v>
      </c>
      <c r="BR365" s="17" t="n">
        <v>0</v>
      </c>
      <c r="BS365" s="17" t="n">
        <v>0</v>
      </c>
      <c r="BT365" s="18" t="n">
        <v>0</v>
      </c>
      <c r="BU365" s="17" t="inlineStr">
        <is>
          <t>Unclassified</t>
        </is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0</v>
      </c>
      <c r="J366" s="17" t="n">
        <v>870</v>
      </c>
      <c r="K366" s="17" t="n">
        <v>90</v>
      </c>
      <c r="L366" s="17" t="n">
        <v>0</v>
      </c>
      <c r="M366" s="17" t="n">
        <v>180</v>
      </c>
      <c r="N366" s="17" t="n">
        <v>120</v>
      </c>
      <c r="O366" s="17" t="n">
        <v>90</v>
      </c>
      <c r="P366" s="17" t="n">
        <v>0</v>
      </c>
      <c r="Q366" s="18" t="n">
        <v>0</v>
      </c>
      <c r="R366" s="16" t="n">
        <v>1.35</v>
      </c>
      <c r="S366" s="17" t="n">
        <v>0</v>
      </c>
      <c r="T366" s="17" t="n">
        <v>0</v>
      </c>
      <c r="U366" s="17" t="n">
        <v>0.87</v>
      </c>
      <c r="V366" s="17" t="n">
        <v>0.09</v>
      </c>
      <c r="W366" s="17" t="n">
        <v>0</v>
      </c>
      <c r="X366" s="17" t="n">
        <v>0.18</v>
      </c>
      <c r="Y366" s="17" t="n">
        <v>0.12</v>
      </c>
      <c r="Z366" s="17" t="n">
        <v>0.09</v>
      </c>
      <c r="AA366" s="17" t="n">
        <v>0</v>
      </c>
      <c r="AB366" s="18" t="n">
        <v>0</v>
      </c>
      <c r="AC366" s="16" t="n">
        <v>-1.35</v>
      </c>
      <c r="AD366" s="17" t="n">
        <v>0</v>
      </c>
      <c r="AE366" s="17" t="n">
        <v>0</v>
      </c>
      <c r="AF366" s="17" t="n">
        <v>-0.87</v>
      </c>
      <c r="AG366" s="17" t="n">
        <v>-0.09</v>
      </c>
      <c r="AH366" s="17" t="n">
        <v>0</v>
      </c>
      <c r="AI366" s="17" t="n">
        <v>-0.18</v>
      </c>
      <c r="AJ366" s="17" t="n">
        <v>-0.12</v>
      </c>
      <c r="AK366" s="17" t="n">
        <v>-0.09</v>
      </c>
      <c r="AL366" s="17" t="n">
        <v>0</v>
      </c>
      <c r="AM366" s="18" t="n">
        <v>0</v>
      </c>
      <c r="AN366" s="16" t="n">
        <v>33</v>
      </c>
      <c r="AO366" s="17" t="n">
        <v>0</v>
      </c>
      <c r="AP366" s="17" t="n">
        <v>0</v>
      </c>
      <c r="AQ366" s="17" t="n">
        <v>2</v>
      </c>
      <c r="AR366" s="17" t="n">
        <v>1</v>
      </c>
      <c r="AS366" s="17" t="n">
        <v>0</v>
      </c>
      <c r="AT366" s="17" t="n">
        <v>2</v>
      </c>
      <c r="AU366" s="17" t="n">
        <v>21</v>
      </c>
      <c r="AV366" s="17" t="n">
        <v>2</v>
      </c>
      <c r="AW366" s="17" t="n">
        <v>0</v>
      </c>
      <c r="AX366" s="18" t="n">
        <v>0</v>
      </c>
      <c r="AY366" s="16" t="n">
        <v>0</v>
      </c>
      <c r="AZ366" s="17" t="n">
        <v>0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7" t="n">
        <v>0</v>
      </c>
      <c r="BG366" s="17" t="n">
        <v>0</v>
      </c>
      <c r="BH366" s="17" t="n">
        <v>0</v>
      </c>
      <c r="BI366" s="18" t="n">
        <v>0</v>
      </c>
      <c r="BJ366" s="16" t="n">
        <v>33</v>
      </c>
      <c r="BK366" s="17" t="n">
        <v>0</v>
      </c>
      <c r="BL366" s="17" t="n">
        <v>0</v>
      </c>
      <c r="BM366" s="17" t="n">
        <v>2</v>
      </c>
      <c r="BN366" s="17" t="n">
        <v>1</v>
      </c>
      <c r="BO366" s="17" t="n">
        <v>0</v>
      </c>
      <c r="BP366" s="17" t="n">
        <v>2</v>
      </c>
      <c r="BQ366" s="17" t="n">
        <v>21</v>
      </c>
      <c r="BR366" s="17" t="n">
        <v>2</v>
      </c>
      <c r="BS366" s="17" t="n">
        <v>0</v>
      </c>
      <c r="BT366" s="18" t="n">
        <v>0</v>
      </c>
      <c r="BU366" s="17" t="inlineStr">
        <is>
          <t>Unclassified</t>
        </is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32</v>
      </c>
      <c r="O367" s="17" t="n">
        <v>0</v>
      </c>
      <c r="P367" s="17" t="n">
        <v>0</v>
      </c>
      <c r="Q367" s="18" t="n">
        <v>0</v>
      </c>
      <c r="R367" s="16" t="n">
        <v>0.32</v>
      </c>
      <c r="S367" s="17" t="n">
        <v>0</v>
      </c>
      <c r="T367" s="17" t="n">
        <v>0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0.32</v>
      </c>
      <c r="Z367" s="17" t="n">
        <v>0</v>
      </c>
      <c r="AA367" s="17" t="n">
        <v>0</v>
      </c>
      <c r="AB367" s="18" t="n">
        <v>0</v>
      </c>
      <c r="AC367" s="16" t="n">
        <v>-0.32</v>
      </c>
      <c r="AD367" s="17" t="n">
        <v>0</v>
      </c>
      <c r="AE367" s="17" t="n">
        <v>0</v>
      </c>
      <c r="AF367" s="17" t="n">
        <v>0</v>
      </c>
      <c r="AG367" s="17" t="n">
        <v>0</v>
      </c>
      <c r="AH367" s="17" t="n">
        <v>0</v>
      </c>
      <c r="AI367" s="17" t="n">
        <v>0</v>
      </c>
      <c r="AJ367" s="17" t="n">
        <v>-0.32</v>
      </c>
      <c r="AK367" s="17" t="n">
        <v>0</v>
      </c>
      <c r="AL367" s="17" t="n">
        <v>0</v>
      </c>
      <c r="AM367" s="18" t="n">
        <v>0</v>
      </c>
      <c r="AN367" s="16" t="n">
        <v>12</v>
      </c>
      <c r="AO367" s="17" t="n">
        <v>0</v>
      </c>
      <c r="AP367" s="17" t="n">
        <v>0</v>
      </c>
      <c r="AQ367" s="17" t="n">
        <v>0</v>
      </c>
      <c r="AR367" s="17" t="n">
        <v>0</v>
      </c>
      <c r="AS367" s="17" t="n">
        <v>0</v>
      </c>
      <c r="AT367" s="17" t="n">
        <v>0</v>
      </c>
      <c r="AU367" s="17" t="n">
        <v>11</v>
      </c>
      <c r="AV367" s="17" t="n">
        <v>0</v>
      </c>
      <c r="AW367" s="17" t="n">
        <v>0</v>
      </c>
      <c r="AX367" s="18" t="n">
        <v>0</v>
      </c>
      <c r="AY367" s="16" t="n">
        <v>0</v>
      </c>
      <c r="AZ367" s="17" t="n">
        <v>0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8" t="n">
        <v>0</v>
      </c>
      <c r="BJ367" s="16" t="n">
        <v>12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11</v>
      </c>
      <c r="BR367" s="17" t="n">
        <v>0</v>
      </c>
      <c r="BS367" s="17" t="n">
        <v>0</v>
      </c>
      <c r="BT367" s="18" t="n">
        <v>0</v>
      </c>
      <c r="BU367" s="17" t="inlineStr">
        <is>
          <t>Unclassified</t>
        </is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0</v>
      </c>
      <c r="M368" s="17" t="n">
        <v>0</v>
      </c>
      <c r="N368" s="17" t="n">
        <v>56</v>
      </c>
      <c r="O368" s="17" t="n">
        <v>0</v>
      </c>
      <c r="P368" s="17" t="n">
        <v>0</v>
      </c>
      <c r="Q368" s="18" t="n">
        <v>0</v>
      </c>
      <c r="R368" s="16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2</v>
      </c>
      <c r="Z368" s="17" t="n">
        <v>0</v>
      </c>
      <c r="AA368" s="17" t="n">
        <v>0</v>
      </c>
      <c r="AB368" s="18" t="n">
        <v>0</v>
      </c>
      <c r="AC368" s="16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-2</v>
      </c>
      <c r="AK368" s="17" t="n">
        <v>0</v>
      </c>
      <c r="AL368" s="17" t="n">
        <v>0</v>
      </c>
      <c r="AM368" s="18" t="n">
        <v>0</v>
      </c>
      <c r="AN368" s="16" t="n">
        <v>0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14</v>
      </c>
      <c r="AV368" s="17" t="n">
        <v>0</v>
      </c>
      <c r="AW368" s="17" t="n">
        <v>0</v>
      </c>
      <c r="AX368" s="18" t="n">
        <v>0</v>
      </c>
      <c r="AY368" s="16" t="n">
        <v>0</v>
      </c>
      <c r="AZ368" s="17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0</v>
      </c>
      <c r="BF368" s="17" t="n">
        <v>0</v>
      </c>
      <c r="BG368" s="17" t="n">
        <v>0</v>
      </c>
      <c r="BH368" s="17" t="n">
        <v>0</v>
      </c>
      <c r="BI368" s="18" t="n">
        <v>0</v>
      </c>
      <c r="BJ368" s="16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14</v>
      </c>
      <c r="BR368" s="17" t="n">
        <v>0</v>
      </c>
      <c r="BS368" s="17" t="n">
        <v>0</v>
      </c>
      <c r="BT368" s="18" t="n">
        <v>0</v>
      </c>
      <c r="BU368" s="17" t="inlineStr">
        <is>
          <t>Unclassified</t>
        </is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28.35</v>
      </c>
      <c r="O369" s="17" t="n">
        <v>0</v>
      </c>
      <c r="P369" s="17" t="n">
        <v>0</v>
      </c>
      <c r="Q369" s="18" t="n">
        <v>0</v>
      </c>
      <c r="R369" s="16" t="n">
        <v>1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1</v>
      </c>
      <c r="Z369" s="17" t="n">
        <v>0</v>
      </c>
      <c r="AA369" s="17" t="n">
        <v>0</v>
      </c>
      <c r="AB369" s="18" t="n">
        <v>0</v>
      </c>
      <c r="AC369" s="16" t="n">
        <v>-1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-1</v>
      </c>
      <c r="AK369" s="17" t="n">
        <v>0</v>
      </c>
      <c r="AL369" s="17" t="n">
        <v>0</v>
      </c>
      <c r="AM369" s="18" t="n">
        <v>0</v>
      </c>
      <c r="AN369" s="16" t="n">
        <v>11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11</v>
      </c>
      <c r="AV369" s="17" t="n">
        <v>0</v>
      </c>
      <c r="AW369" s="17" t="n">
        <v>0</v>
      </c>
      <c r="AX369" s="18" t="n">
        <v>0</v>
      </c>
      <c r="AY369" s="16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8" t="n">
        <v>0</v>
      </c>
      <c r="BJ369" s="16" t="n">
        <v>11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11</v>
      </c>
      <c r="BR369" s="17" t="n">
        <v>0</v>
      </c>
      <c r="BS369" s="17" t="n">
        <v>0</v>
      </c>
      <c r="BT369" s="18" t="n">
        <v>0</v>
      </c>
      <c r="BU369" s="17" t="inlineStr">
        <is>
          <t>Unclassified</t>
        </is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0</v>
      </c>
      <c r="J370" s="17" t="n">
        <v>84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8" t="n">
        <v>0</v>
      </c>
      <c r="R370" s="16" t="n">
        <v>3</v>
      </c>
      <c r="S370" s="17" t="n">
        <v>0</v>
      </c>
      <c r="T370" s="17" t="n">
        <v>0</v>
      </c>
      <c r="U370" s="17" t="n">
        <v>3</v>
      </c>
      <c r="V370" s="17" t="n">
        <v>0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8" t="n">
        <v>0</v>
      </c>
      <c r="AC370" s="16" t="n">
        <v>-3</v>
      </c>
      <c r="AD370" s="17" t="n">
        <v>0</v>
      </c>
      <c r="AE370" s="17" t="n">
        <v>0</v>
      </c>
      <c r="AF370" s="17" t="n">
        <v>-3</v>
      </c>
      <c r="AG370" s="17" t="n">
        <v>0</v>
      </c>
      <c r="AH370" s="17" t="n">
        <v>0</v>
      </c>
      <c r="AI370" s="17" t="n">
        <v>0</v>
      </c>
      <c r="AJ370" s="17" t="n">
        <v>0</v>
      </c>
      <c r="AK370" s="17" t="n">
        <v>0</v>
      </c>
      <c r="AL370" s="17" t="n">
        <v>0</v>
      </c>
      <c r="AM370" s="18" t="n">
        <v>0</v>
      </c>
      <c r="AN370" s="16" t="n">
        <v>14</v>
      </c>
      <c r="AO370" s="17" t="n">
        <v>0</v>
      </c>
      <c r="AP370" s="17" t="n">
        <v>0</v>
      </c>
      <c r="AQ370" s="17" t="n">
        <v>14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8" t="n">
        <v>0</v>
      </c>
      <c r="AY370" s="16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7" t="n">
        <v>0</v>
      </c>
      <c r="BI370" s="18" t="n">
        <v>0</v>
      </c>
      <c r="BJ370" s="16" t="n">
        <v>14</v>
      </c>
      <c r="BK370" s="17" t="n">
        <v>0</v>
      </c>
      <c r="BL370" s="17" t="n">
        <v>0</v>
      </c>
      <c r="BM370" s="17" t="n">
        <v>14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8" t="n">
        <v>0</v>
      </c>
      <c r="BU370" s="17" t="inlineStr">
        <is>
          <t>Unclassified</t>
        </is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0</v>
      </c>
      <c r="J371" s="17" t="n">
        <v>180</v>
      </c>
      <c r="K371" s="17" t="n">
        <v>60</v>
      </c>
      <c r="L371" s="17" t="n">
        <v>0</v>
      </c>
      <c r="M371" s="17" t="n">
        <v>0</v>
      </c>
      <c r="N371" s="17" t="n">
        <v>30</v>
      </c>
      <c r="O371" s="17" t="n">
        <v>0</v>
      </c>
      <c r="P371" s="17" t="n">
        <v>30</v>
      </c>
      <c r="Q371" s="18" t="n">
        <v>0</v>
      </c>
      <c r="R371" s="16" t="n">
        <v>10</v>
      </c>
      <c r="S371" s="17" t="n">
        <v>0</v>
      </c>
      <c r="T371" s="17" t="n">
        <v>0</v>
      </c>
      <c r="U371" s="17" t="n">
        <v>6</v>
      </c>
      <c r="V371" s="17" t="n">
        <v>2</v>
      </c>
      <c r="W371" s="17" t="n">
        <v>0</v>
      </c>
      <c r="X371" s="17" t="n">
        <v>0</v>
      </c>
      <c r="Y371" s="17" t="n">
        <v>1</v>
      </c>
      <c r="Z371" s="17" t="n">
        <v>0</v>
      </c>
      <c r="AA371" s="17" t="n">
        <v>1</v>
      </c>
      <c r="AB371" s="18" t="n">
        <v>0</v>
      </c>
      <c r="AC371" s="16" t="n">
        <v>-3</v>
      </c>
      <c r="AD371" s="17" t="n">
        <v>7</v>
      </c>
      <c r="AE371" s="17" t="n">
        <v>7</v>
      </c>
      <c r="AF371" s="17" t="n">
        <v>1</v>
      </c>
      <c r="AG371" s="17" t="n">
        <v>5</v>
      </c>
      <c r="AH371" s="17" t="n">
        <v>7</v>
      </c>
      <c r="AI371" s="17" t="n">
        <v>7</v>
      </c>
      <c r="AJ371" s="17" t="n">
        <v>6</v>
      </c>
      <c r="AK371" s="17" t="n">
        <v>7</v>
      </c>
      <c r="AL371" s="17" t="n">
        <v>6</v>
      </c>
      <c r="AM371" s="18" t="n">
        <v>7</v>
      </c>
      <c r="AN371" s="16" t="n">
        <v>44</v>
      </c>
      <c r="AO371" s="17" t="n">
        <v>0</v>
      </c>
      <c r="AP371" s="17" t="n">
        <v>0</v>
      </c>
      <c r="AQ371" s="17" t="n">
        <v>15</v>
      </c>
      <c r="AR371" s="17" t="n">
        <v>0</v>
      </c>
      <c r="AS371" s="17" t="n">
        <v>0</v>
      </c>
      <c r="AT371" s="17" t="n">
        <v>0</v>
      </c>
      <c r="AU371" s="17" t="n">
        <v>13</v>
      </c>
      <c r="AV371" s="17" t="n">
        <v>0</v>
      </c>
      <c r="AW371" s="17" t="n">
        <v>3</v>
      </c>
      <c r="AX371" s="18" t="n">
        <v>0</v>
      </c>
      <c r="AY371" s="16" t="n">
        <v>30</v>
      </c>
      <c r="AZ371" s="17" t="n">
        <v>0</v>
      </c>
      <c r="BA371" s="17" t="n">
        <v>0</v>
      </c>
      <c r="BB371" s="17" t="n">
        <v>18</v>
      </c>
      <c r="BC371" s="17" t="n">
        <v>6</v>
      </c>
      <c r="BD371" s="17" t="n">
        <v>0</v>
      </c>
      <c r="BE371" s="17" t="n">
        <v>0</v>
      </c>
      <c r="BF371" s="17" t="n">
        <v>3</v>
      </c>
      <c r="BG371" s="17" t="n">
        <v>0</v>
      </c>
      <c r="BH371" s="17" t="n">
        <v>3</v>
      </c>
      <c r="BI371" s="18" t="n">
        <v>0</v>
      </c>
      <c r="BJ371" s="16" t="n">
        <v>14</v>
      </c>
      <c r="BK371" s="17" t="n">
        <v>0</v>
      </c>
      <c r="BL371" s="17" t="n">
        <v>0</v>
      </c>
      <c r="BM371" s="17" t="n">
        <v>-3</v>
      </c>
      <c r="BN371" s="17" t="n">
        <v>-6</v>
      </c>
      <c r="BO371" s="17" t="n">
        <v>0</v>
      </c>
      <c r="BP371" s="17" t="n">
        <v>0</v>
      </c>
      <c r="BQ371" s="17" t="n">
        <v>10</v>
      </c>
      <c r="BR371" s="17" t="n">
        <v>0</v>
      </c>
      <c r="BS371" s="17" t="n">
        <v>0</v>
      </c>
      <c r="BT371" s="18" t="n">
        <v>0</v>
      </c>
      <c r="BU371" s="17" t="inlineStr">
        <is>
          <t>Generic Drug</t>
        </is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0</v>
      </c>
      <c r="J372" s="17" t="n">
        <v>28.35</v>
      </c>
      <c r="K372" s="17" t="n">
        <v>0</v>
      </c>
      <c r="L372" s="17" t="n">
        <v>0</v>
      </c>
      <c r="M372" s="17" t="n">
        <v>0</v>
      </c>
      <c r="N372" s="17" t="n">
        <v>56.7</v>
      </c>
      <c r="O372" s="17" t="n">
        <v>0</v>
      </c>
      <c r="P372" s="17" t="n">
        <v>0</v>
      </c>
      <c r="Q372" s="18" t="n">
        <v>0</v>
      </c>
      <c r="R372" s="16" t="n">
        <v>3</v>
      </c>
      <c r="S372" s="17" t="n">
        <v>0</v>
      </c>
      <c r="T372" s="17" t="n">
        <v>0</v>
      </c>
      <c r="U372" s="17" t="n">
        <v>1</v>
      </c>
      <c r="V372" s="17" t="n">
        <v>0</v>
      </c>
      <c r="W372" s="17" t="n">
        <v>0</v>
      </c>
      <c r="X372" s="17" t="n">
        <v>0</v>
      </c>
      <c r="Y372" s="17" t="n">
        <v>2</v>
      </c>
      <c r="Z372" s="17" t="n">
        <v>0</v>
      </c>
      <c r="AA372" s="17" t="n">
        <v>0</v>
      </c>
      <c r="AB372" s="18" t="n">
        <v>0</v>
      </c>
      <c r="AC372" s="16" t="n">
        <v>-3</v>
      </c>
      <c r="AD372" s="17" t="n">
        <v>0</v>
      </c>
      <c r="AE372" s="17" t="n">
        <v>0</v>
      </c>
      <c r="AF372" s="17" t="n">
        <v>-1</v>
      </c>
      <c r="AG372" s="17" t="n">
        <v>0</v>
      </c>
      <c r="AH372" s="17" t="n">
        <v>0</v>
      </c>
      <c r="AI372" s="17" t="n">
        <v>0</v>
      </c>
      <c r="AJ372" s="17" t="n">
        <v>-2</v>
      </c>
      <c r="AK372" s="17" t="n">
        <v>0</v>
      </c>
      <c r="AL372" s="17" t="n">
        <v>0</v>
      </c>
      <c r="AM372" s="18" t="n">
        <v>0</v>
      </c>
      <c r="AN372" s="16" t="n">
        <v>29</v>
      </c>
      <c r="AO372" s="17" t="n">
        <v>0</v>
      </c>
      <c r="AP372" s="17" t="n">
        <v>0</v>
      </c>
      <c r="AQ372" s="17" t="n">
        <v>3</v>
      </c>
      <c r="AR372" s="17" t="n">
        <v>0</v>
      </c>
      <c r="AS372" s="17" t="n">
        <v>0</v>
      </c>
      <c r="AT372" s="17" t="n">
        <v>0</v>
      </c>
      <c r="AU372" s="17" t="n">
        <v>24</v>
      </c>
      <c r="AV372" s="17" t="n">
        <v>0</v>
      </c>
      <c r="AW372" s="17" t="n">
        <v>0</v>
      </c>
      <c r="AX372" s="18" t="n">
        <v>0</v>
      </c>
      <c r="AY372" s="16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8" t="n">
        <v>0</v>
      </c>
      <c r="BJ372" s="16" t="n">
        <v>29</v>
      </c>
      <c r="BK372" s="17" t="n">
        <v>0</v>
      </c>
      <c r="BL372" s="17" t="n">
        <v>0</v>
      </c>
      <c r="BM372" s="17" t="n">
        <v>3</v>
      </c>
      <c r="BN372" s="17" t="n">
        <v>0</v>
      </c>
      <c r="BO372" s="17" t="n">
        <v>0</v>
      </c>
      <c r="BP372" s="17" t="n">
        <v>0</v>
      </c>
      <c r="BQ372" s="17" t="n">
        <v>24</v>
      </c>
      <c r="BR372" s="17" t="n">
        <v>0</v>
      </c>
      <c r="BS372" s="17" t="n">
        <v>0</v>
      </c>
      <c r="BT372" s="18" t="n">
        <v>0</v>
      </c>
      <c r="BU372" s="17" t="inlineStr">
        <is>
          <t>Unclassified</t>
        </is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10</v>
      </c>
      <c r="O373" s="17" t="n">
        <v>0</v>
      </c>
      <c r="P373" s="17" t="n">
        <v>0</v>
      </c>
      <c r="Q373" s="18" t="n">
        <v>0</v>
      </c>
      <c r="R373" s="16" t="n">
        <v>1</v>
      </c>
      <c r="S373" s="17" t="n">
        <v>0</v>
      </c>
      <c r="T373" s="17" t="n">
        <v>0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1</v>
      </c>
      <c r="Z373" s="17" t="n">
        <v>0</v>
      </c>
      <c r="AA373" s="17" t="n">
        <v>0</v>
      </c>
      <c r="AB373" s="18" t="n">
        <v>0</v>
      </c>
      <c r="AC373" s="16" t="n">
        <v>-1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-1</v>
      </c>
      <c r="AK373" s="17" t="n">
        <v>0</v>
      </c>
      <c r="AL373" s="17" t="n">
        <v>0</v>
      </c>
      <c r="AM373" s="18" t="n">
        <v>0</v>
      </c>
      <c r="AN373" s="16" t="n">
        <v>64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64</v>
      </c>
      <c r="AV373" s="17" t="n">
        <v>0</v>
      </c>
      <c r="AW373" s="17" t="n">
        <v>0</v>
      </c>
      <c r="AX373" s="18" t="n">
        <v>0</v>
      </c>
      <c r="AY373" s="16" t="n">
        <v>0</v>
      </c>
      <c r="AZ373" s="17" t="n">
        <v>0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8" t="n">
        <v>0</v>
      </c>
      <c r="BJ373" s="16" t="n">
        <v>64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64</v>
      </c>
      <c r="BR373" s="17" t="n">
        <v>0</v>
      </c>
      <c r="BS373" s="17" t="n">
        <v>0</v>
      </c>
      <c r="BT373" s="18" t="n">
        <v>0</v>
      </c>
      <c r="BU373" s="17" t="inlineStr">
        <is>
          <t>Unclassified</t>
        </is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30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8" t="n">
        <v>0</v>
      </c>
      <c r="R374" s="16" t="n">
        <v>0.06</v>
      </c>
      <c r="S374" s="17" t="n">
        <v>0</v>
      </c>
      <c r="T374" s="17" t="n">
        <v>0</v>
      </c>
      <c r="U374" s="17" t="n">
        <v>0.06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8" t="n">
        <v>0</v>
      </c>
      <c r="AC374" s="16" t="n">
        <v>-0.06</v>
      </c>
      <c r="AD374" s="17" t="n">
        <v>0</v>
      </c>
      <c r="AE374" s="17" t="n">
        <v>0</v>
      </c>
      <c r="AF374" s="17" t="n">
        <v>-0.06</v>
      </c>
      <c r="AG374" s="17" t="n">
        <v>0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8" t="n">
        <v>0</v>
      </c>
      <c r="AN374" s="16" t="n">
        <v>8</v>
      </c>
      <c r="AO374" s="17" t="n">
        <v>0</v>
      </c>
      <c r="AP374" s="17" t="n">
        <v>0</v>
      </c>
      <c r="AQ374" s="17" t="n">
        <v>5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8" t="n">
        <v>0</v>
      </c>
      <c r="AY374" s="16" t="n">
        <v>0</v>
      </c>
      <c r="AZ374" s="17" t="n">
        <v>0</v>
      </c>
      <c r="BA374" s="17" t="n">
        <v>0</v>
      </c>
      <c r="BB374" s="17" t="n">
        <v>0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7" t="n">
        <v>0</v>
      </c>
      <c r="BI374" s="18" t="n">
        <v>0</v>
      </c>
      <c r="BJ374" s="16" t="n">
        <v>8</v>
      </c>
      <c r="BK374" s="17" t="n">
        <v>0</v>
      </c>
      <c r="BL374" s="17" t="n">
        <v>0</v>
      </c>
      <c r="BM374" s="17" t="n">
        <v>5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7" t="n">
        <v>0</v>
      </c>
      <c r="BT374" s="18" t="n">
        <v>0</v>
      </c>
      <c r="BU374" s="17" t="inlineStr">
        <is>
          <t>Unclassified</t>
        </is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0</v>
      </c>
      <c r="J375" s="17" t="n">
        <v>90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8" t="n">
        <v>0</v>
      </c>
      <c r="R375" s="16" t="n">
        <v>0.9</v>
      </c>
      <c r="S375" s="17" t="n">
        <v>0</v>
      </c>
      <c r="T375" s="17" t="n">
        <v>0</v>
      </c>
      <c r="U375" s="17" t="n">
        <v>0.9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8" t="n">
        <v>0</v>
      </c>
      <c r="AC375" s="16" t="n">
        <v>-0.9</v>
      </c>
      <c r="AD375" s="17" t="n">
        <v>0</v>
      </c>
      <c r="AE375" s="17" t="n">
        <v>0</v>
      </c>
      <c r="AF375" s="17" t="n">
        <v>-0.9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8" t="n">
        <v>0</v>
      </c>
      <c r="AN375" s="16" t="n">
        <v>13</v>
      </c>
      <c r="AO375" s="17" t="n">
        <v>0</v>
      </c>
      <c r="AP375" s="17" t="n">
        <v>0</v>
      </c>
      <c r="AQ375" s="17" t="n">
        <v>13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8" t="n">
        <v>0</v>
      </c>
      <c r="AY375" s="16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8" t="n">
        <v>0</v>
      </c>
      <c r="BJ375" s="16" t="n">
        <v>13</v>
      </c>
      <c r="BK375" s="17" t="n">
        <v>0</v>
      </c>
      <c r="BL375" s="17" t="n">
        <v>0</v>
      </c>
      <c r="BM375" s="17" t="n">
        <v>13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8" t="n">
        <v>0</v>
      </c>
      <c r="BU375" s="17" t="inlineStr">
        <is>
          <t>Unclassified</t>
        </is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30</v>
      </c>
      <c r="O376" s="17" t="n">
        <v>0</v>
      </c>
      <c r="P376" s="17" t="n">
        <v>0</v>
      </c>
      <c r="Q376" s="18" t="n">
        <v>0</v>
      </c>
      <c r="R376" s="16" t="n">
        <v>0.06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0.06</v>
      </c>
      <c r="Z376" s="17" t="n">
        <v>0</v>
      </c>
      <c r="AA376" s="17" t="n">
        <v>0</v>
      </c>
      <c r="AB376" s="18" t="n">
        <v>0</v>
      </c>
      <c r="AC376" s="16" t="n">
        <v>-0.06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-0.06</v>
      </c>
      <c r="AK376" s="17" t="n">
        <v>0</v>
      </c>
      <c r="AL376" s="17" t="n">
        <v>0</v>
      </c>
      <c r="AM376" s="18" t="n">
        <v>0</v>
      </c>
      <c r="AN376" s="16" t="n">
        <v>11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11</v>
      </c>
      <c r="AV376" s="17" t="n">
        <v>0</v>
      </c>
      <c r="AW376" s="17" t="n">
        <v>0</v>
      </c>
      <c r="AX376" s="18" t="n">
        <v>0</v>
      </c>
      <c r="AY376" s="16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7" t="n">
        <v>0</v>
      </c>
      <c r="BG376" s="17" t="n">
        <v>0</v>
      </c>
      <c r="BH376" s="17" t="n">
        <v>0</v>
      </c>
      <c r="BI376" s="18" t="n">
        <v>0</v>
      </c>
      <c r="BJ376" s="16" t="n">
        <v>11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11</v>
      </c>
      <c r="BR376" s="17" t="n">
        <v>0</v>
      </c>
      <c r="BS376" s="17" t="n">
        <v>0</v>
      </c>
      <c r="BT376" s="18" t="n">
        <v>0</v>
      </c>
      <c r="BU376" s="17" t="inlineStr">
        <is>
          <t>Unclassified</t>
        </is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0</v>
      </c>
      <c r="J377" s="17" t="n">
        <v>67</v>
      </c>
      <c r="K377" s="17" t="n">
        <v>150</v>
      </c>
      <c r="L377" s="17" t="n">
        <v>0</v>
      </c>
      <c r="M377" s="17" t="n">
        <v>0</v>
      </c>
      <c r="N377" s="17" t="n">
        <v>120</v>
      </c>
      <c r="O377" s="17" t="n">
        <v>30</v>
      </c>
      <c r="P377" s="17" t="n">
        <v>0</v>
      </c>
      <c r="Q377" s="18" t="n">
        <v>0</v>
      </c>
      <c r="R377" s="16" t="n">
        <v>0.367</v>
      </c>
      <c r="S377" s="17" t="n">
        <v>0</v>
      </c>
      <c r="T377" s="17" t="n">
        <v>0</v>
      </c>
      <c r="U377" s="17" t="n">
        <v>0.067</v>
      </c>
      <c r="V377" s="17" t="n">
        <v>0.15</v>
      </c>
      <c r="W377" s="17" t="n">
        <v>0</v>
      </c>
      <c r="X377" s="17" t="n">
        <v>0</v>
      </c>
      <c r="Y377" s="17" t="n">
        <v>0.12</v>
      </c>
      <c r="Z377" s="17" t="n">
        <v>0.03</v>
      </c>
      <c r="AA377" s="17" t="n">
        <v>0</v>
      </c>
      <c r="AB377" s="18" t="n">
        <v>0</v>
      </c>
      <c r="AC377" s="16" t="n">
        <v>-0.367</v>
      </c>
      <c r="AD377" s="17" t="n">
        <v>0</v>
      </c>
      <c r="AE377" s="17" t="n">
        <v>0</v>
      </c>
      <c r="AF377" s="17" t="n">
        <v>-0.067</v>
      </c>
      <c r="AG377" s="17" t="n">
        <v>-0.15</v>
      </c>
      <c r="AH377" s="17" t="n">
        <v>0</v>
      </c>
      <c r="AI377" s="17" t="n">
        <v>0</v>
      </c>
      <c r="AJ377" s="17" t="n">
        <v>-0.12</v>
      </c>
      <c r="AK377" s="17" t="n">
        <v>-0.03</v>
      </c>
      <c r="AL377" s="17" t="n">
        <v>0</v>
      </c>
      <c r="AM377" s="18" t="n">
        <v>0</v>
      </c>
      <c r="AN377" s="16" t="n">
        <v>37</v>
      </c>
      <c r="AO377" s="17" t="n">
        <v>0</v>
      </c>
      <c r="AP377" s="17" t="n">
        <v>0</v>
      </c>
      <c r="AQ377" s="17" t="n">
        <v>1</v>
      </c>
      <c r="AR377" s="17" t="n">
        <v>9</v>
      </c>
      <c r="AS377" s="17" t="n">
        <v>0</v>
      </c>
      <c r="AT377" s="17" t="n">
        <v>0</v>
      </c>
      <c r="AU377" s="17" t="n">
        <v>24</v>
      </c>
      <c r="AV377" s="17" t="n">
        <v>0</v>
      </c>
      <c r="AW377" s="17" t="n">
        <v>0</v>
      </c>
      <c r="AX377" s="18" t="n">
        <v>0</v>
      </c>
      <c r="AY377" s="16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8" t="n">
        <v>0</v>
      </c>
      <c r="BJ377" s="16" t="n">
        <v>37</v>
      </c>
      <c r="BK377" s="17" t="n">
        <v>0</v>
      </c>
      <c r="BL377" s="17" t="n">
        <v>0</v>
      </c>
      <c r="BM377" s="17" t="n">
        <v>1</v>
      </c>
      <c r="BN377" s="17" t="n">
        <v>9</v>
      </c>
      <c r="BO377" s="17" t="n">
        <v>0</v>
      </c>
      <c r="BP377" s="17" t="n">
        <v>0</v>
      </c>
      <c r="BQ377" s="17" t="n">
        <v>24</v>
      </c>
      <c r="BR377" s="17" t="n">
        <v>0</v>
      </c>
      <c r="BS377" s="17" t="n">
        <v>0</v>
      </c>
      <c r="BT377" s="18" t="n">
        <v>0</v>
      </c>
      <c r="BU377" s="17" t="inlineStr">
        <is>
          <t>Unclassified</t>
        </is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90</v>
      </c>
      <c r="O378" s="17" t="n">
        <v>0</v>
      </c>
      <c r="P378" s="17" t="n">
        <v>0</v>
      </c>
      <c r="Q378" s="18" t="n">
        <v>0</v>
      </c>
      <c r="R378" s="16" t="n">
        <v>0.09</v>
      </c>
      <c r="S378" s="17" t="n">
        <v>0</v>
      </c>
      <c r="T378" s="17" t="n">
        <v>0</v>
      </c>
      <c r="U378" s="17" t="n">
        <v>0</v>
      </c>
      <c r="V378" s="17" t="n">
        <v>0</v>
      </c>
      <c r="W378" s="17" t="n">
        <v>0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8" t="n">
        <v>0</v>
      </c>
      <c r="AC378" s="16" t="n">
        <v>-0.09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-0.09</v>
      </c>
      <c r="AK378" s="17" t="n">
        <v>0</v>
      </c>
      <c r="AL378" s="17" t="n">
        <v>0</v>
      </c>
      <c r="AM378" s="18" t="n">
        <v>0</v>
      </c>
      <c r="AN378" s="16" t="n">
        <v>15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15</v>
      </c>
      <c r="AV378" s="17" t="n">
        <v>0</v>
      </c>
      <c r="AW378" s="17" t="n">
        <v>0</v>
      </c>
      <c r="AX378" s="18" t="n">
        <v>0</v>
      </c>
      <c r="AY378" s="16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8" t="n">
        <v>0</v>
      </c>
      <c r="BJ378" s="16" t="n">
        <v>15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15</v>
      </c>
      <c r="BR378" s="17" t="n">
        <v>0</v>
      </c>
      <c r="BS378" s="17" t="n">
        <v>0</v>
      </c>
      <c r="BT378" s="18" t="n">
        <v>0</v>
      </c>
      <c r="BU378" s="17" t="inlineStr">
        <is>
          <t>Unclassified</t>
        </is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0</v>
      </c>
      <c r="J379" s="17" t="n">
        <v>40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8" t="n">
        <v>0</v>
      </c>
      <c r="R379" s="16" t="n">
        <v>0.4</v>
      </c>
      <c r="S379" s="17" t="n">
        <v>0</v>
      </c>
      <c r="T379" s="17" t="n">
        <v>0</v>
      </c>
      <c r="U379" s="17" t="n">
        <v>0.4</v>
      </c>
      <c r="V379" s="17" t="n">
        <v>0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8" t="n">
        <v>0</v>
      </c>
      <c r="AC379" s="16" t="n">
        <v>-0.4</v>
      </c>
      <c r="AD379" s="17" t="n">
        <v>0</v>
      </c>
      <c r="AE379" s="17" t="n">
        <v>0</v>
      </c>
      <c r="AF379" s="17" t="n">
        <v>-0.4</v>
      </c>
      <c r="AG379" s="17" t="n">
        <v>0</v>
      </c>
      <c r="AH379" s="17" t="n">
        <v>0</v>
      </c>
      <c r="AI379" s="17" t="n">
        <v>0</v>
      </c>
      <c r="AJ379" s="17" t="n">
        <v>0</v>
      </c>
      <c r="AK379" s="17" t="n">
        <v>0</v>
      </c>
      <c r="AL379" s="17" t="n">
        <v>0</v>
      </c>
      <c r="AM379" s="18" t="n">
        <v>0</v>
      </c>
      <c r="AN379" s="16" t="n">
        <v>19</v>
      </c>
      <c r="AO379" s="17" t="n">
        <v>0</v>
      </c>
      <c r="AP379" s="17" t="n">
        <v>0</v>
      </c>
      <c r="AQ379" s="17" t="n">
        <v>16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8" t="n">
        <v>0</v>
      </c>
      <c r="AY379" s="16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7" t="n">
        <v>0</v>
      </c>
      <c r="BI379" s="18" t="n">
        <v>0</v>
      </c>
      <c r="BJ379" s="16" t="n">
        <v>19</v>
      </c>
      <c r="BK379" s="17" t="n">
        <v>0</v>
      </c>
      <c r="BL379" s="17" t="n">
        <v>0</v>
      </c>
      <c r="BM379" s="17" t="n">
        <v>16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7" t="n">
        <v>0</v>
      </c>
      <c r="BT379" s="18" t="n">
        <v>0</v>
      </c>
      <c r="BU379" s="17" t="inlineStr">
        <is>
          <t>Unclassified</t>
        </is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0</v>
      </c>
      <c r="J380" s="17" t="n">
        <v>3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8" t="n">
        <v>0</v>
      </c>
      <c r="R380" s="16" t="n">
        <v>3</v>
      </c>
      <c r="S380" s="17" t="n">
        <v>0</v>
      </c>
      <c r="T380" s="17" t="n">
        <v>0</v>
      </c>
      <c r="U380" s="17" t="n">
        <v>3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8" t="n">
        <v>0</v>
      </c>
      <c r="AC380" s="16" t="n">
        <v>-3</v>
      </c>
      <c r="AD380" s="17" t="n">
        <v>0</v>
      </c>
      <c r="AE380" s="17" t="n">
        <v>0</v>
      </c>
      <c r="AF380" s="17" t="n">
        <v>-3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0</v>
      </c>
      <c r="AM380" s="18" t="n">
        <v>0</v>
      </c>
      <c r="AN380" s="16" t="n">
        <v>22</v>
      </c>
      <c r="AO380" s="17" t="n">
        <v>0</v>
      </c>
      <c r="AP380" s="17" t="n">
        <v>0</v>
      </c>
      <c r="AQ380" s="17" t="n">
        <v>22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8" t="n">
        <v>0</v>
      </c>
      <c r="AY380" s="16" t="n">
        <v>0</v>
      </c>
      <c r="AZ380" s="17" t="n">
        <v>0</v>
      </c>
      <c r="BA380" s="17" t="n">
        <v>0</v>
      </c>
      <c r="BB380" s="17" t="n">
        <v>0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7" t="n">
        <v>0</v>
      </c>
      <c r="BI380" s="18" t="n">
        <v>0</v>
      </c>
      <c r="BJ380" s="16" t="n">
        <v>22</v>
      </c>
      <c r="BK380" s="17" t="n">
        <v>0</v>
      </c>
      <c r="BL380" s="17" t="n">
        <v>0</v>
      </c>
      <c r="BM380" s="17" t="n">
        <v>22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7" t="n">
        <v>0</v>
      </c>
      <c r="BT380" s="18" t="n">
        <v>0</v>
      </c>
      <c r="BU380" s="17" t="inlineStr">
        <is>
          <t>Unclassified</t>
        </is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60</v>
      </c>
      <c r="O381" s="17" t="n">
        <v>0</v>
      </c>
      <c r="P381" s="17" t="n">
        <v>0</v>
      </c>
      <c r="Q381" s="18" t="n">
        <v>0</v>
      </c>
      <c r="R381" s="16" t="n">
        <v>1</v>
      </c>
      <c r="S381" s="17" t="n">
        <v>0</v>
      </c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1</v>
      </c>
      <c r="Z381" s="17" t="n">
        <v>0</v>
      </c>
      <c r="AA381" s="17" t="n">
        <v>0</v>
      </c>
      <c r="AB381" s="18" t="n">
        <v>0</v>
      </c>
      <c r="AC381" s="16" t="n">
        <v>-1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-1</v>
      </c>
      <c r="AK381" s="17" t="n">
        <v>0</v>
      </c>
      <c r="AL381" s="17" t="n">
        <v>0</v>
      </c>
      <c r="AM381" s="18" t="n">
        <v>0</v>
      </c>
      <c r="AN381" s="16" t="n">
        <v>1965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7" t="n">
        <v>0</v>
      </c>
      <c r="AT381" s="17" t="n">
        <v>0</v>
      </c>
      <c r="AU381" s="17" t="n">
        <v>1965</v>
      </c>
      <c r="AV381" s="17" t="n">
        <v>0</v>
      </c>
      <c r="AW381" s="17" t="n">
        <v>0</v>
      </c>
      <c r="AX381" s="18" t="n">
        <v>0</v>
      </c>
      <c r="AY381" s="16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8" t="n">
        <v>0</v>
      </c>
      <c r="BJ381" s="16" t="n">
        <v>1965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1965</v>
      </c>
      <c r="BR381" s="17" t="n">
        <v>0</v>
      </c>
      <c r="BS381" s="17" t="n">
        <v>0</v>
      </c>
      <c r="BT381" s="18" t="n">
        <v>0</v>
      </c>
      <c r="BU381" s="17" t="inlineStr">
        <is>
          <t>Unclassified</t>
        </is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0</v>
      </c>
      <c r="J382" s="17" t="n">
        <v>240</v>
      </c>
      <c r="K382" s="17" t="n">
        <v>0</v>
      </c>
      <c r="L382" s="17" t="n">
        <v>0</v>
      </c>
      <c r="M382" s="17" t="n">
        <v>0</v>
      </c>
      <c r="N382" s="17" t="n">
        <v>840</v>
      </c>
      <c r="O382" s="17" t="n">
        <v>0</v>
      </c>
      <c r="P382" s="17" t="n">
        <v>0</v>
      </c>
      <c r="Q382" s="18" t="n">
        <v>0</v>
      </c>
      <c r="R382" s="16" t="n">
        <v>9</v>
      </c>
      <c r="S382" s="17" t="n">
        <v>0</v>
      </c>
      <c r="T382" s="17" t="n">
        <v>0</v>
      </c>
      <c r="U382" s="17" t="n">
        <v>2</v>
      </c>
      <c r="V382" s="17" t="n">
        <v>0</v>
      </c>
      <c r="W382" s="17" t="n">
        <v>0</v>
      </c>
      <c r="X382" s="17" t="n">
        <v>0</v>
      </c>
      <c r="Y382" s="17" t="n">
        <v>7</v>
      </c>
      <c r="Z382" s="17" t="n">
        <v>0</v>
      </c>
      <c r="AA382" s="17" t="n">
        <v>0</v>
      </c>
      <c r="AB382" s="18" t="n">
        <v>0</v>
      </c>
      <c r="AC382" s="16" t="n">
        <v>1</v>
      </c>
      <c r="AD382" s="17" t="n">
        <v>10</v>
      </c>
      <c r="AE382" s="17" t="n">
        <v>10</v>
      </c>
      <c r="AF382" s="17" t="n">
        <v>8</v>
      </c>
      <c r="AG382" s="17" t="n">
        <v>10</v>
      </c>
      <c r="AH382" s="17" t="n">
        <v>10</v>
      </c>
      <c r="AI382" s="17" t="n">
        <v>10</v>
      </c>
      <c r="AJ382" s="17" t="n">
        <v>3</v>
      </c>
      <c r="AK382" s="17" t="n">
        <v>10</v>
      </c>
      <c r="AL382" s="17" t="n">
        <v>10</v>
      </c>
      <c r="AM382" s="18" t="n">
        <v>10</v>
      </c>
      <c r="AN382" s="16" t="n">
        <v>69</v>
      </c>
      <c r="AO382" s="17" t="n">
        <v>0</v>
      </c>
      <c r="AP382" s="17" t="n">
        <v>0</v>
      </c>
      <c r="AQ382" s="17" t="n">
        <v>3</v>
      </c>
      <c r="AR382" s="17" t="n">
        <v>0</v>
      </c>
      <c r="AS382" s="17" t="n">
        <v>0</v>
      </c>
      <c r="AT382" s="17" t="n">
        <v>0</v>
      </c>
      <c r="AU382" s="17" t="n">
        <v>66</v>
      </c>
      <c r="AV382" s="17" t="n">
        <v>0</v>
      </c>
      <c r="AW382" s="17" t="n">
        <v>0</v>
      </c>
      <c r="AX382" s="18" t="n">
        <v>0</v>
      </c>
      <c r="AY382" s="16" t="n">
        <v>36</v>
      </c>
      <c r="AZ382" s="17" t="n">
        <v>0</v>
      </c>
      <c r="BA382" s="17" t="n">
        <v>0</v>
      </c>
      <c r="BB382" s="17" t="n">
        <v>8</v>
      </c>
      <c r="BC382" s="17" t="n">
        <v>0</v>
      </c>
      <c r="BD382" s="17" t="n">
        <v>0</v>
      </c>
      <c r="BE382" s="17" t="n">
        <v>0</v>
      </c>
      <c r="BF382" s="17" t="n">
        <v>28</v>
      </c>
      <c r="BG382" s="17" t="n">
        <v>0</v>
      </c>
      <c r="BH382" s="17" t="n">
        <v>0</v>
      </c>
      <c r="BI382" s="18" t="n">
        <v>0</v>
      </c>
      <c r="BJ382" s="16" t="n">
        <v>33</v>
      </c>
      <c r="BK382" s="17" t="n">
        <v>0</v>
      </c>
      <c r="BL382" s="17" t="n">
        <v>0</v>
      </c>
      <c r="BM382" s="17" t="n">
        <v>-5</v>
      </c>
      <c r="BN382" s="17" t="n">
        <v>0</v>
      </c>
      <c r="BO382" s="17" t="n">
        <v>0</v>
      </c>
      <c r="BP382" s="17" t="n">
        <v>0</v>
      </c>
      <c r="BQ382" s="17" t="n">
        <v>38</v>
      </c>
      <c r="BR382" s="17" t="n">
        <v>0</v>
      </c>
      <c r="BS382" s="17" t="n">
        <v>0</v>
      </c>
      <c r="BT382" s="18" t="n">
        <v>0</v>
      </c>
      <c r="BU382" s="17" t="inlineStr">
        <is>
          <t>Generic Drug</t>
        </is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0</v>
      </c>
      <c r="J383" s="17" t="n">
        <v>88</v>
      </c>
      <c r="K383" s="17" t="n">
        <v>0</v>
      </c>
      <c r="L383" s="17" t="n">
        <v>0</v>
      </c>
      <c r="M383" s="17" t="n">
        <v>0</v>
      </c>
      <c r="N383" s="17" t="n">
        <v>190</v>
      </c>
      <c r="O383" s="17" t="n">
        <v>0</v>
      </c>
      <c r="P383" s="17" t="n">
        <v>0</v>
      </c>
      <c r="Q383" s="18" t="n">
        <v>0</v>
      </c>
      <c r="R383" s="16" t="n">
        <v>0.556</v>
      </c>
      <c r="S383" s="17" t="n">
        <v>0</v>
      </c>
      <c r="T383" s="17" t="n">
        <v>0</v>
      </c>
      <c r="U383" s="17" t="n">
        <v>0.176</v>
      </c>
      <c r="V383" s="17" t="n">
        <v>0</v>
      </c>
      <c r="W383" s="17" t="n">
        <v>0</v>
      </c>
      <c r="X383" s="17" t="n">
        <v>0</v>
      </c>
      <c r="Y383" s="17" t="n">
        <v>0.38</v>
      </c>
      <c r="Z383" s="17" t="n">
        <v>0</v>
      </c>
      <c r="AA383" s="17" t="n">
        <v>0</v>
      </c>
      <c r="AB383" s="18" t="n">
        <v>0</v>
      </c>
      <c r="AC383" s="16" t="n">
        <v>1.444</v>
      </c>
      <c r="AD383" s="17" t="n">
        <v>2</v>
      </c>
      <c r="AE383" s="17" t="n">
        <v>2</v>
      </c>
      <c r="AF383" s="17" t="n">
        <v>1.824</v>
      </c>
      <c r="AG383" s="17" t="n">
        <v>2</v>
      </c>
      <c r="AH383" s="17" t="n">
        <v>2</v>
      </c>
      <c r="AI383" s="17" t="n">
        <v>2</v>
      </c>
      <c r="AJ383" s="17" t="n">
        <v>1.62</v>
      </c>
      <c r="AK383" s="17" t="n">
        <v>2</v>
      </c>
      <c r="AL383" s="17" t="n">
        <v>2</v>
      </c>
      <c r="AM383" s="18" t="n">
        <v>2</v>
      </c>
      <c r="AN383" s="16" t="n">
        <v>71</v>
      </c>
      <c r="AO383" s="17" t="n">
        <v>0</v>
      </c>
      <c r="AP383" s="17" t="n">
        <v>0</v>
      </c>
      <c r="AQ383" s="17" t="n">
        <v>1</v>
      </c>
      <c r="AR383" s="17" t="n">
        <v>0</v>
      </c>
      <c r="AS383" s="17" t="n">
        <v>0</v>
      </c>
      <c r="AT383" s="17" t="n">
        <v>0</v>
      </c>
      <c r="AU383" s="17" t="n">
        <v>68</v>
      </c>
      <c r="AV383" s="17" t="n">
        <v>0</v>
      </c>
      <c r="AW383" s="17" t="n">
        <v>0</v>
      </c>
      <c r="AX383" s="18" t="n">
        <v>0</v>
      </c>
      <c r="AY383" s="16" t="n">
        <v>7</v>
      </c>
      <c r="AZ383" s="17" t="n">
        <v>0</v>
      </c>
      <c r="BA383" s="17" t="n">
        <v>0</v>
      </c>
      <c r="BB383" s="17" t="n">
        <v>2</v>
      </c>
      <c r="BC383" s="17" t="n">
        <v>0</v>
      </c>
      <c r="BD383" s="17" t="n">
        <v>0</v>
      </c>
      <c r="BE383" s="17" t="n">
        <v>0</v>
      </c>
      <c r="BF383" s="17" t="n">
        <v>5</v>
      </c>
      <c r="BG383" s="17" t="n">
        <v>0</v>
      </c>
      <c r="BH383" s="17" t="n">
        <v>0</v>
      </c>
      <c r="BI383" s="18" t="n">
        <v>0</v>
      </c>
      <c r="BJ383" s="16" t="n">
        <v>64</v>
      </c>
      <c r="BK383" s="17" t="n">
        <v>0</v>
      </c>
      <c r="BL383" s="17" t="n">
        <v>0</v>
      </c>
      <c r="BM383" s="17" t="n">
        <v>-2</v>
      </c>
      <c r="BN383" s="17" t="n">
        <v>0</v>
      </c>
      <c r="BO383" s="17" t="n">
        <v>0</v>
      </c>
      <c r="BP383" s="17" t="n">
        <v>0</v>
      </c>
      <c r="BQ383" s="17" t="n">
        <v>63</v>
      </c>
      <c r="BR383" s="17" t="n">
        <v>0</v>
      </c>
      <c r="BS383" s="17" t="n">
        <v>0</v>
      </c>
      <c r="BT383" s="18" t="n">
        <v>0</v>
      </c>
      <c r="BU383" s="17" t="inlineStr">
        <is>
          <t>Generic Drug</t>
        </is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0</v>
      </c>
      <c r="J384" s="17" t="n">
        <v>751</v>
      </c>
      <c r="K384" s="17" t="n">
        <v>150</v>
      </c>
      <c r="L384" s="17" t="n">
        <v>0</v>
      </c>
      <c r="M384" s="17" t="n">
        <v>0</v>
      </c>
      <c r="N384" s="17" t="n">
        <v>210</v>
      </c>
      <c r="O384" s="17" t="n">
        <v>105</v>
      </c>
      <c r="P384" s="17" t="n">
        <v>0</v>
      </c>
      <c r="Q384" s="18" t="n">
        <v>0</v>
      </c>
      <c r="R384" s="16" t="n">
        <v>2.432</v>
      </c>
      <c r="S384" s="17" t="n">
        <v>0</v>
      </c>
      <c r="T384" s="17" t="n">
        <v>0</v>
      </c>
      <c r="U384" s="17" t="n">
        <v>1.502</v>
      </c>
      <c r="V384" s="17" t="n">
        <v>0.3</v>
      </c>
      <c r="W384" s="17" t="n">
        <v>0</v>
      </c>
      <c r="X384" s="17" t="n">
        <v>0</v>
      </c>
      <c r="Y384" s="17" t="n">
        <v>0.42</v>
      </c>
      <c r="Z384" s="17" t="n">
        <v>0.21</v>
      </c>
      <c r="AA384" s="17" t="n">
        <v>0</v>
      </c>
      <c r="AB384" s="18" t="n">
        <v>0</v>
      </c>
      <c r="AC384" s="16" t="n">
        <v>-0.432</v>
      </c>
      <c r="AD384" s="17" t="n">
        <v>2</v>
      </c>
      <c r="AE384" s="17" t="n">
        <v>2</v>
      </c>
      <c r="AF384" s="17" t="n">
        <v>0.498</v>
      </c>
      <c r="AG384" s="17" t="n">
        <v>1.7</v>
      </c>
      <c r="AH384" s="17" t="n">
        <v>2</v>
      </c>
      <c r="AI384" s="17" t="n">
        <v>2</v>
      </c>
      <c r="AJ384" s="17" t="n">
        <v>1.58</v>
      </c>
      <c r="AK384" s="17" t="n">
        <v>1.79</v>
      </c>
      <c r="AL384" s="17" t="n">
        <v>2</v>
      </c>
      <c r="AM384" s="18" t="n">
        <v>2</v>
      </c>
      <c r="AN384" s="16" t="n">
        <v>94</v>
      </c>
      <c r="AO384" s="17" t="n">
        <v>0</v>
      </c>
      <c r="AP384" s="17" t="n">
        <v>0</v>
      </c>
      <c r="AQ384" s="17" t="n">
        <v>14</v>
      </c>
      <c r="AR384" s="17" t="n">
        <v>0</v>
      </c>
      <c r="AS384" s="17" t="n">
        <v>0</v>
      </c>
      <c r="AT384" s="17" t="n">
        <v>0</v>
      </c>
      <c r="AU384" s="17" t="n">
        <v>49</v>
      </c>
      <c r="AV384" s="17" t="n">
        <v>0</v>
      </c>
      <c r="AW384" s="17" t="n">
        <v>0</v>
      </c>
      <c r="AX384" s="18" t="n">
        <v>0</v>
      </c>
      <c r="AY384" s="16" t="n">
        <v>41</v>
      </c>
      <c r="AZ384" s="17" t="n">
        <v>0</v>
      </c>
      <c r="BA384" s="17" t="n">
        <v>0</v>
      </c>
      <c r="BB384" s="17" t="n">
        <v>26</v>
      </c>
      <c r="BC384" s="17" t="n">
        <v>5</v>
      </c>
      <c r="BD384" s="17" t="n">
        <v>0</v>
      </c>
      <c r="BE384" s="17" t="n">
        <v>0</v>
      </c>
      <c r="BF384" s="17" t="n">
        <v>7</v>
      </c>
      <c r="BG384" s="17" t="n">
        <v>4</v>
      </c>
      <c r="BH384" s="17" t="n">
        <v>0</v>
      </c>
      <c r="BI384" s="18" t="n">
        <v>0</v>
      </c>
      <c r="BJ384" s="16" t="n">
        <v>53</v>
      </c>
      <c r="BK384" s="17" t="n">
        <v>0</v>
      </c>
      <c r="BL384" s="17" t="n">
        <v>0</v>
      </c>
      <c r="BM384" s="17" t="n">
        <v>-12</v>
      </c>
      <c r="BN384" s="17" t="n">
        <v>-5</v>
      </c>
      <c r="BO384" s="17" t="n">
        <v>0</v>
      </c>
      <c r="BP384" s="17" t="n">
        <v>0</v>
      </c>
      <c r="BQ384" s="17" t="n">
        <v>42</v>
      </c>
      <c r="BR384" s="17" t="n">
        <v>-4</v>
      </c>
      <c r="BS384" s="17" t="n">
        <v>0</v>
      </c>
      <c r="BT384" s="18" t="n">
        <v>0</v>
      </c>
      <c r="BU384" s="17" t="inlineStr">
        <is>
          <t>Generic Drug</t>
        </is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0</v>
      </c>
      <c r="J385" s="17" t="n">
        <v>330</v>
      </c>
      <c r="K385" s="17" t="n">
        <v>30</v>
      </c>
      <c r="L385" s="17" t="n">
        <v>0</v>
      </c>
      <c r="M385" s="17" t="n">
        <v>0</v>
      </c>
      <c r="N385" s="17" t="n">
        <v>181</v>
      </c>
      <c r="O385" s="17" t="n">
        <v>0</v>
      </c>
      <c r="P385" s="17" t="n">
        <v>0</v>
      </c>
      <c r="Q385" s="18" t="n">
        <v>0</v>
      </c>
      <c r="R385" s="16" t="n">
        <v>1.082</v>
      </c>
      <c r="S385" s="17" t="n">
        <v>0</v>
      </c>
      <c r="T385" s="17" t="n">
        <v>0</v>
      </c>
      <c r="U385" s="17" t="n">
        <v>0.66</v>
      </c>
      <c r="V385" s="17" t="n">
        <v>0.06</v>
      </c>
      <c r="W385" s="17" t="n">
        <v>0</v>
      </c>
      <c r="X385" s="17" t="n">
        <v>0</v>
      </c>
      <c r="Y385" s="17" t="n">
        <v>0.362</v>
      </c>
      <c r="Z385" s="17" t="n">
        <v>0</v>
      </c>
      <c r="AA385" s="17" t="n">
        <v>0</v>
      </c>
      <c r="AB385" s="18" t="n">
        <v>0</v>
      </c>
      <c r="AC385" s="16" t="n">
        <v>-1.082</v>
      </c>
      <c r="AD385" s="17" t="n">
        <v>0</v>
      </c>
      <c r="AE385" s="17" t="n">
        <v>0</v>
      </c>
      <c r="AF385" s="17" t="n">
        <v>-0.66</v>
      </c>
      <c r="AG385" s="17" t="n">
        <v>-0.06</v>
      </c>
      <c r="AH385" s="17" t="n">
        <v>0</v>
      </c>
      <c r="AI385" s="17" t="n">
        <v>0</v>
      </c>
      <c r="AJ385" s="17" t="n">
        <v>-0.362</v>
      </c>
      <c r="AK385" s="17" t="n">
        <v>0</v>
      </c>
      <c r="AL385" s="17" t="n">
        <v>0</v>
      </c>
      <c r="AM385" s="18" t="n">
        <v>0</v>
      </c>
      <c r="AN385" s="16" t="n">
        <v>66</v>
      </c>
      <c r="AO385" s="17" t="n">
        <v>0</v>
      </c>
      <c r="AP385" s="17" t="n">
        <v>0</v>
      </c>
      <c r="AQ385" s="17" t="n">
        <v>7</v>
      </c>
      <c r="AR385" s="17" t="n">
        <v>2</v>
      </c>
      <c r="AS385" s="17" t="n">
        <v>0</v>
      </c>
      <c r="AT385" s="17" t="n">
        <v>0</v>
      </c>
      <c r="AU385" s="17" t="n">
        <v>49</v>
      </c>
      <c r="AV385" s="17" t="n">
        <v>0</v>
      </c>
      <c r="AW385" s="17" t="n">
        <v>0</v>
      </c>
      <c r="AX385" s="18" t="n">
        <v>0</v>
      </c>
      <c r="AY385" s="16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8" t="n">
        <v>0</v>
      </c>
      <c r="BJ385" s="16" t="n">
        <v>66</v>
      </c>
      <c r="BK385" s="17" t="n">
        <v>0</v>
      </c>
      <c r="BL385" s="17" t="n">
        <v>0</v>
      </c>
      <c r="BM385" s="17" t="n">
        <v>7</v>
      </c>
      <c r="BN385" s="17" t="n">
        <v>2</v>
      </c>
      <c r="BO385" s="17" t="n">
        <v>0</v>
      </c>
      <c r="BP385" s="17" t="n">
        <v>0</v>
      </c>
      <c r="BQ385" s="17" t="n">
        <v>49</v>
      </c>
      <c r="BR385" s="17" t="n">
        <v>0</v>
      </c>
      <c r="BS385" s="17" t="n">
        <v>0</v>
      </c>
      <c r="BT385" s="18" t="n">
        <v>0</v>
      </c>
      <c r="BU385" s="17" t="inlineStr">
        <is>
          <t>Unclassified</t>
        </is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0</v>
      </c>
      <c r="J386" s="17" t="n">
        <v>30</v>
      </c>
      <c r="K386" s="17" t="n">
        <v>0</v>
      </c>
      <c r="L386" s="17" t="n">
        <v>0</v>
      </c>
      <c r="M386" s="17" t="n">
        <v>0</v>
      </c>
      <c r="N386" s="17" t="n">
        <v>41</v>
      </c>
      <c r="O386" s="17" t="n">
        <v>0</v>
      </c>
      <c r="P386" s="17" t="n">
        <v>0</v>
      </c>
      <c r="Q386" s="18" t="n">
        <v>0</v>
      </c>
      <c r="R386" s="16" t="n">
        <v>0.142</v>
      </c>
      <c r="S386" s="17" t="n">
        <v>0</v>
      </c>
      <c r="T386" s="17" t="n">
        <v>0</v>
      </c>
      <c r="U386" s="17" t="n">
        <v>0.06</v>
      </c>
      <c r="V386" s="17" t="n">
        <v>0</v>
      </c>
      <c r="W386" s="17" t="n">
        <v>0</v>
      </c>
      <c r="X386" s="17" t="n">
        <v>0</v>
      </c>
      <c r="Y386" s="17" t="n">
        <v>0.082</v>
      </c>
      <c r="Z386" s="17" t="n">
        <v>0</v>
      </c>
      <c r="AA386" s="17" t="n">
        <v>0</v>
      </c>
      <c r="AB386" s="18" t="n">
        <v>0</v>
      </c>
      <c r="AC386" s="16" t="n">
        <v>-0.142</v>
      </c>
      <c r="AD386" s="17" t="n">
        <v>0</v>
      </c>
      <c r="AE386" s="17" t="n">
        <v>0</v>
      </c>
      <c r="AF386" s="17" t="n">
        <v>-0.06</v>
      </c>
      <c r="AG386" s="17" t="n">
        <v>0</v>
      </c>
      <c r="AH386" s="17" t="n">
        <v>0</v>
      </c>
      <c r="AI386" s="17" t="n">
        <v>0</v>
      </c>
      <c r="AJ386" s="17" t="n">
        <v>-0.082</v>
      </c>
      <c r="AK386" s="17" t="n">
        <v>0</v>
      </c>
      <c r="AL386" s="17" t="n">
        <v>0</v>
      </c>
      <c r="AM386" s="18" t="n">
        <v>0</v>
      </c>
      <c r="AN386" s="16" t="n">
        <v>24</v>
      </c>
      <c r="AO386" s="17" t="n">
        <v>0</v>
      </c>
      <c r="AP386" s="17" t="n">
        <v>0</v>
      </c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22</v>
      </c>
      <c r="AV386" s="17" t="n">
        <v>0</v>
      </c>
      <c r="AW386" s="17" t="n">
        <v>0</v>
      </c>
      <c r="AX386" s="18" t="n">
        <v>0</v>
      </c>
      <c r="AY386" s="16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8" t="n">
        <v>0</v>
      </c>
      <c r="BJ386" s="16" t="n">
        <v>24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22</v>
      </c>
      <c r="BR386" s="17" t="n">
        <v>0</v>
      </c>
      <c r="BS386" s="17" t="n">
        <v>0</v>
      </c>
      <c r="BT386" s="18" t="n">
        <v>0</v>
      </c>
      <c r="BU386" s="17" t="inlineStr">
        <is>
          <t>Unclassified</t>
        </is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360</v>
      </c>
      <c r="N387" s="17" t="n">
        <v>0</v>
      </c>
      <c r="O387" s="17" t="n">
        <v>0</v>
      </c>
      <c r="P387" s="17" t="n">
        <v>0</v>
      </c>
      <c r="Q387" s="18" t="n">
        <v>0</v>
      </c>
      <c r="R387" s="16" t="n">
        <v>3</v>
      </c>
      <c r="S387" s="17" t="n">
        <v>0</v>
      </c>
      <c r="T387" s="17" t="n">
        <v>0</v>
      </c>
      <c r="U387" s="17" t="n">
        <v>0</v>
      </c>
      <c r="V387" s="17" t="n">
        <v>0</v>
      </c>
      <c r="W387" s="17" t="n">
        <v>0</v>
      </c>
      <c r="X387" s="17" t="n">
        <v>3</v>
      </c>
      <c r="Y387" s="17" t="n">
        <v>0</v>
      </c>
      <c r="Z387" s="17" t="n">
        <v>0</v>
      </c>
      <c r="AA387" s="17" t="n">
        <v>0</v>
      </c>
      <c r="AB387" s="18" t="n">
        <v>0</v>
      </c>
      <c r="AC387" s="16" t="n">
        <v>-3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-3</v>
      </c>
      <c r="AJ387" s="17" t="n">
        <v>0</v>
      </c>
      <c r="AK387" s="17" t="n">
        <v>0</v>
      </c>
      <c r="AL387" s="17" t="n">
        <v>0</v>
      </c>
      <c r="AM387" s="18" t="n">
        <v>0</v>
      </c>
      <c r="AN387" s="16" t="n">
        <v>205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205</v>
      </c>
      <c r="AU387" s="17" t="n">
        <v>0</v>
      </c>
      <c r="AV387" s="17" t="n">
        <v>0</v>
      </c>
      <c r="AW387" s="17" t="n">
        <v>0</v>
      </c>
      <c r="AX387" s="18" t="n">
        <v>0</v>
      </c>
      <c r="AY387" s="16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8" t="n">
        <v>0</v>
      </c>
      <c r="BJ387" s="16" t="n">
        <v>205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205</v>
      </c>
      <c r="BQ387" s="17" t="n">
        <v>0</v>
      </c>
      <c r="BR387" s="17" t="n">
        <v>0</v>
      </c>
      <c r="BS387" s="17" t="n">
        <v>0</v>
      </c>
      <c r="BT387" s="18" t="n">
        <v>0</v>
      </c>
      <c r="BU387" s="17" t="inlineStr">
        <is>
          <t>Unclassified</t>
        </is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0</v>
      </c>
      <c r="J388" s="17" t="n">
        <v>30</v>
      </c>
      <c r="K388" s="17" t="n">
        <v>30</v>
      </c>
      <c r="L388" s="17" t="n">
        <v>0</v>
      </c>
      <c r="M388" s="17" t="n">
        <v>0</v>
      </c>
      <c r="N388" s="17" t="n">
        <v>90</v>
      </c>
      <c r="O388" s="17" t="n">
        <v>0</v>
      </c>
      <c r="P388" s="17" t="n">
        <v>0</v>
      </c>
      <c r="Q388" s="18" t="n">
        <v>0</v>
      </c>
      <c r="R388" s="16" t="n">
        <v>5</v>
      </c>
      <c r="S388" s="17" t="n">
        <v>0</v>
      </c>
      <c r="T388" s="17" t="n">
        <v>0</v>
      </c>
      <c r="U388" s="17" t="n">
        <v>1</v>
      </c>
      <c r="V388" s="17" t="n">
        <v>1</v>
      </c>
      <c r="W388" s="17" t="n">
        <v>0</v>
      </c>
      <c r="X388" s="17" t="n">
        <v>0</v>
      </c>
      <c r="Y388" s="17" t="n">
        <v>3</v>
      </c>
      <c r="Z388" s="17" t="n">
        <v>0</v>
      </c>
      <c r="AA388" s="17" t="n">
        <v>0</v>
      </c>
      <c r="AB388" s="18" t="n">
        <v>0</v>
      </c>
      <c r="AC388" s="16" t="n">
        <v>-5</v>
      </c>
      <c r="AD388" s="17" t="n">
        <v>0</v>
      </c>
      <c r="AE388" s="17" t="n">
        <v>0</v>
      </c>
      <c r="AF388" s="17" t="n">
        <v>-1</v>
      </c>
      <c r="AG388" s="17" t="n">
        <v>-1</v>
      </c>
      <c r="AH388" s="17" t="n">
        <v>0</v>
      </c>
      <c r="AI388" s="17" t="n">
        <v>0</v>
      </c>
      <c r="AJ388" s="17" t="n">
        <v>-3</v>
      </c>
      <c r="AK388" s="17" t="n">
        <v>0</v>
      </c>
      <c r="AL388" s="17" t="n">
        <v>0</v>
      </c>
      <c r="AM388" s="18" t="n">
        <v>0</v>
      </c>
      <c r="AN388" s="16" t="n">
        <v>1693</v>
      </c>
      <c r="AO388" s="17" t="n">
        <v>0</v>
      </c>
      <c r="AP388" s="17" t="n">
        <v>0</v>
      </c>
      <c r="AQ388" s="17" t="n">
        <v>337</v>
      </c>
      <c r="AR388" s="17" t="n">
        <v>225</v>
      </c>
      <c r="AS388" s="17" t="n">
        <v>0</v>
      </c>
      <c r="AT388" s="17" t="n">
        <v>0</v>
      </c>
      <c r="AU388" s="17" t="n">
        <v>1028</v>
      </c>
      <c r="AV388" s="17" t="n">
        <v>0</v>
      </c>
      <c r="AW388" s="17" t="n">
        <v>0</v>
      </c>
      <c r="AX388" s="18" t="n">
        <v>0</v>
      </c>
      <c r="AY388" s="16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8" t="n">
        <v>0</v>
      </c>
      <c r="BJ388" s="16" t="n">
        <v>1693</v>
      </c>
      <c r="BK388" s="17" t="n">
        <v>0</v>
      </c>
      <c r="BL388" s="17" t="n">
        <v>0</v>
      </c>
      <c r="BM388" s="17" t="n">
        <v>337</v>
      </c>
      <c r="BN388" s="17" t="n">
        <v>225</v>
      </c>
      <c r="BO388" s="17" t="n">
        <v>0</v>
      </c>
      <c r="BP388" s="17" t="n">
        <v>0</v>
      </c>
      <c r="BQ388" s="17" t="n">
        <v>1028</v>
      </c>
      <c r="BR388" s="17" t="n">
        <v>0</v>
      </c>
      <c r="BS388" s="17" t="n">
        <v>0</v>
      </c>
      <c r="BT388" s="18" t="n">
        <v>0</v>
      </c>
      <c r="BU388" s="17" t="inlineStr">
        <is>
          <t>Unclassified</t>
        </is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0</v>
      </c>
      <c r="J389" s="17" t="n">
        <v>120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8" t="n">
        <v>0</v>
      </c>
      <c r="R389" s="16" t="n">
        <v>1.2</v>
      </c>
      <c r="S389" s="17" t="n">
        <v>0</v>
      </c>
      <c r="T389" s="17" t="n">
        <v>0</v>
      </c>
      <c r="U389" s="17" t="n">
        <v>1.2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8" t="n">
        <v>0</v>
      </c>
      <c r="AC389" s="16" t="n">
        <v>-1.2</v>
      </c>
      <c r="AD389" s="17" t="n">
        <v>0</v>
      </c>
      <c r="AE389" s="17" t="n">
        <v>0</v>
      </c>
      <c r="AF389" s="17" t="n">
        <v>-1.2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8" t="n">
        <v>0</v>
      </c>
      <c r="AN389" s="16" t="n">
        <v>15</v>
      </c>
      <c r="AO389" s="17" t="n">
        <v>0</v>
      </c>
      <c r="AP389" s="17" t="n">
        <v>0</v>
      </c>
      <c r="AQ389" s="17" t="n">
        <v>15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8" t="n">
        <v>0</v>
      </c>
      <c r="AY389" s="16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8" t="n">
        <v>0</v>
      </c>
      <c r="BJ389" s="16" t="n">
        <v>15</v>
      </c>
      <c r="BK389" s="17" t="n">
        <v>0</v>
      </c>
      <c r="BL389" s="17" t="n">
        <v>0</v>
      </c>
      <c r="BM389" s="17" t="n">
        <v>15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8" t="n">
        <v>0</v>
      </c>
      <c r="BU389" s="17" t="inlineStr">
        <is>
          <t>Unclassified</t>
        </is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0</v>
      </c>
      <c r="J390" s="17" t="n">
        <v>18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8" t="n">
        <v>0</v>
      </c>
      <c r="R390" s="16" t="n">
        <v>1.2</v>
      </c>
      <c r="S390" s="17" t="n">
        <v>0</v>
      </c>
      <c r="T390" s="17" t="n">
        <v>0</v>
      </c>
      <c r="U390" s="17" t="n">
        <v>1.2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8" t="n">
        <v>0</v>
      </c>
      <c r="AC390" s="16" t="n">
        <v>-1.2</v>
      </c>
      <c r="AD390" s="17" t="n">
        <v>0</v>
      </c>
      <c r="AE390" s="17" t="n">
        <v>0</v>
      </c>
      <c r="AF390" s="17" t="n">
        <v>-1.2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8" t="n">
        <v>0</v>
      </c>
      <c r="AN390" s="16" t="n">
        <v>80</v>
      </c>
      <c r="AO390" s="17" t="n">
        <v>0</v>
      </c>
      <c r="AP390" s="17" t="n">
        <v>0</v>
      </c>
      <c r="AQ390" s="17" t="n">
        <v>80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8" t="n">
        <v>0</v>
      </c>
      <c r="AY390" s="16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7" t="n">
        <v>0</v>
      </c>
      <c r="BI390" s="18" t="n">
        <v>0</v>
      </c>
      <c r="BJ390" s="16" t="n">
        <v>80</v>
      </c>
      <c r="BK390" s="17" t="n">
        <v>0</v>
      </c>
      <c r="BL390" s="17" t="n">
        <v>0</v>
      </c>
      <c r="BM390" s="17" t="n">
        <v>80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7" t="n">
        <v>0</v>
      </c>
      <c r="BT390" s="18" t="n">
        <v>0</v>
      </c>
      <c r="BU390" s="17" t="inlineStr">
        <is>
          <t>Unclassified</t>
        </is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0</v>
      </c>
      <c r="J391" s="17" t="n">
        <v>15</v>
      </c>
      <c r="K391" s="17" t="n">
        <v>6</v>
      </c>
      <c r="L391" s="17" t="n">
        <v>0</v>
      </c>
      <c r="M391" s="17" t="n">
        <v>0</v>
      </c>
      <c r="N391" s="17" t="n">
        <v>27</v>
      </c>
      <c r="O391" s="17" t="n">
        <v>0</v>
      </c>
      <c r="P391" s="17" t="n">
        <v>0</v>
      </c>
      <c r="Q391" s="18" t="n">
        <v>0</v>
      </c>
      <c r="R391" s="16" t="n">
        <v>3.2</v>
      </c>
      <c r="S391" s="17" t="n">
        <v>0</v>
      </c>
      <c r="T391" s="17" t="n">
        <v>0</v>
      </c>
      <c r="U391" s="17" t="n">
        <v>1</v>
      </c>
      <c r="V391" s="17" t="n">
        <v>0.4</v>
      </c>
      <c r="W391" s="17" t="n">
        <v>0</v>
      </c>
      <c r="X391" s="17" t="n">
        <v>0</v>
      </c>
      <c r="Y391" s="17" t="n">
        <v>1.8</v>
      </c>
      <c r="Z391" s="17" t="n">
        <v>0</v>
      </c>
      <c r="AA391" s="17" t="n">
        <v>0</v>
      </c>
      <c r="AB391" s="18" t="n">
        <v>0</v>
      </c>
      <c r="AC391" s="16" t="n">
        <v>-2.2</v>
      </c>
      <c r="AD391" s="17" t="n">
        <v>1</v>
      </c>
      <c r="AE391" s="17" t="n">
        <v>1</v>
      </c>
      <c r="AF391" s="17" t="n">
        <v>0</v>
      </c>
      <c r="AG391" s="17" t="n">
        <v>0.6</v>
      </c>
      <c r="AH391" s="17" t="n">
        <v>1</v>
      </c>
      <c r="AI391" s="17" t="n">
        <v>1</v>
      </c>
      <c r="AJ391" s="17" t="n">
        <v>-0.8</v>
      </c>
      <c r="AK391" s="17" t="n">
        <v>1</v>
      </c>
      <c r="AL391" s="17" t="n">
        <v>1</v>
      </c>
      <c r="AM391" s="18" t="n">
        <v>1</v>
      </c>
      <c r="AN391" s="16" t="n">
        <v>309</v>
      </c>
      <c r="AO391" s="17" t="n">
        <v>0</v>
      </c>
      <c r="AP391" s="17" t="n">
        <v>0</v>
      </c>
      <c r="AQ391" s="17" t="n">
        <v>86</v>
      </c>
      <c r="AR391" s="17" t="n">
        <v>31</v>
      </c>
      <c r="AS391" s="17" t="n">
        <v>0</v>
      </c>
      <c r="AT391" s="17" t="n">
        <v>0</v>
      </c>
      <c r="AU391" s="17" t="n">
        <v>190</v>
      </c>
      <c r="AV391" s="17" t="n">
        <v>0</v>
      </c>
      <c r="AW391" s="17" t="n">
        <v>0</v>
      </c>
      <c r="AX391" s="18" t="n">
        <v>0</v>
      </c>
      <c r="AY391" s="16" t="n">
        <v>285</v>
      </c>
      <c r="AZ391" s="17" t="n">
        <v>0</v>
      </c>
      <c r="BA391" s="17" t="n">
        <v>0</v>
      </c>
      <c r="BB391" s="17" t="n">
        <v>89</v>
      </c>
      <c r="BC391" s="17" t="n">
        <v>36</v>
      </c>
      <c r="BD391" s="17" t="n">
        <v>0</v>
      </c>
      <c r="BE391" s="17" t="n">
        <v>0</v>
      </c>
      <c r="BF391" s="17" t="n">
        <v>160</v>
      </c>
      <c r="BG391" s="17" t="n">
        <v>0</v>
      </c>
      <c r="BH391" s="17" t="n">
        <v>0</v>
      </c>
      <c r="BI391" s="18" t="n">
        <v>0</v>
      </c>
      <c r="BJ391" s="16" t="n">
        <v>24</v>
      </c>
      <c r="BK391" s="17" t="n">
        <v>0</v>
      </c>
      <c r="BL391" s="17" t="n">
        <v>0</v>
      </c>
      <c r="BM391" s="17" t="n">
        <v>-3</v>
      </c>
      <c r="BN391" s="17" t="n">
        <v>-5</v>
      </c>
      <c r="BO391" s="17" t="n">
        <v>0</v>
      </c>
      <c r="BP391" s="17" t="n">
        <v>0</v>
      </c>
      <c r="BQ391" s="17" t="n">
        <v>30</v>
      </c>
      <c r="BR391" s="17" t="n">
        <v>0</v>
      </c>
      <c r="BS391" s="17" t="n">
        <v>0</v>
      </c>
      <c r="BT391" s="18" t="n">
        <v>0</v>
      </c>
      <c r="BU391" s="17" t="inlineStr">
        <is>
          <t>Branded Drug</t>
        </is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0</v>
      </c>
      <c r="J392" s="17" t="n">
        <v>45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8" t="n">
        <v>0</v>
      </c>
      <c r="R392" s="16" t="n">
        <v>3</v>
      </c>
      <c r="S392" s="17" t="n">
        <v>0</v>
      </c>
      <c r="T392" s="17" t="n">
        <v>0</v>
      </c>
      <c r="U392" s="17" t="n">
        <v>3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8" t="n">
        <v>0</v>
      </c>
      <c r="AC392" s="16" t="n">
        <v>0</v>
      </c>
      <c r="AD392" s="17" t="n">
        <v>3</v>
      </c>
      <c r="AE392" s="17" t="n">
        <v>3</v>
      </c>
      <c r="AF392" s="17" t="n">
        <v>0</v>
      </c>
      <c r="AG392" s="17" t="n">
        <v>3</v>
      </c>
      <c r="AH392" s="17" t="n">
        <v>3</v>
      </c>
      <c r="AI392" s="17" t="n">
        <v>3</v>
      </c>
      <c r="AJ392" s="17" t="n">
        <v>3</v>
      </c>
      <c r="AK392" s="17" t="n">
        <v>3</v>
      </c>
      <c r="AL392" s="17" t="n">
        <v>3</v>
      </c>
      <c r="AM392" s="18" t="n">
        <v>3</v>
      </c>
      <c r="AN392" s="16" t="n">
        <v>516</v>
      </c>
      <c r="AO392" s="17" t="n">
        <v>0</v>
      </c>
      <c r="AP392" s="17" t="n">
        <v>0</v>
      </c>
      <c r="AQ392" s="17" t="n">
        <v>481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8" t="n">
        <v>0</v>
      </c>
      <c r="AY392" s="16" t="n">
        <v>465</v>
      </c>
      <c r="AZ392" s="17" t="n">
        <v>0</v>
      </c>
      <c r="BA392" s="17" t="n">
        <v>0</v>
      </c>
      <c r="BB392" s="17" t="n">
        <v>465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8" t="n">
        <v>0</v>
      </c>
      <c r="BJ392" s="16" t="n">
        <v>51</v>
      </c>
      <c r="BK392" s="17" t="n">
        <v>0</v>
      </c>
      <c r="BL392" s="17" t="n">
        <v>0</v>
      </c>
      <c r="BM392" s="17" t="n">
        <v>16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</v>
      </c>
      <c r="BT392" s="18" t="n">
        <v>0</v>
      </c>
      <c r="BU392" s="17" t="inlineStr">
        <is>
          <t>Branded Drug</t>
        </is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0</v>
      </c>
      <c r="J393" s="17" t="n">
        <v>28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n">
        <v>0</v>
      </c>
      <c r="R393" s="16" t="n">
        <v>1</v>
      </c>
      <c r="S393" s="17" t="n">
        <v>0</v>
      </c>
      <c r="T393" s="17" t="n">
        <v>0</v>
      </c>
      <c r="U393" s="17" t="n">
        <v>1</v>
      </c>
      <c r="V393" s="17" t="n">
        <v>0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8" t="n">
        <v>0</v>
      </c>
      <c r="AC393" s="16" t="n">
        <v>0</v>
      </c>
      <c r="AD393" s="17" t="n">
        <v>1</v>
      </c>
      <c r="AE393" s="17" t="n">
        <v>1</v>
      </c>
      <c r="AF393" s="17" t="n">
        <v>0</v>
      </c>
      <c r="AG393" s="17" t="n">
        <v>1</v>
      </c>
      <c r="AH393" s="17" t="n">
        <v>1</v>
      </c>
      <c r="AI393" s="17" t="n">
        <v>1</v>
      </c>
      <c r="AJ393" s="17" t="n">
        <v>1</v>
      </c>
      <c r="AK393" s="17" t="n">
        <v>1</v>
      </c>
      <c r="AL393" s="17" t="n">
        <v>1</v>
      </c>
      <c r="AM393" s="18" t="n">
        <v>1</v>
      </c>
      <c r="AN393" s="16" t="n">
        <v>348</v>
      </c>
      <c r="AO393" s="17" t="n">
        <v>0</v>
      </c>
      <c r="AP393" s="17" t="n">
        <v>0</v>
      </c>
      <c r="AQ393" s="17" t="n">
        <v>263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8" t="n">
        <v>0</v>
      </c>
      <c r="AY393" s="16" t="n">
        <v>313</v>
      </c>
      <c r="AZ393" s="17" t="n">
        <v>0</v>
      </c>
      <c r="BA393" s="17" t="n">
        <v>0</v>
      </c>
      <c r="BB393" s="17" t="n">
        <v>313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8" t="n">
        <v>0</v>
      </c>
      <c r="BJ393" s="16" t="n">
        <v>35</v>
      </c>
      <c r="BK393" s="17" t="n">
        <v>0</v>
      </c>
      <c r="BL393" s="17" t="n">
        <v>0</v>
      </c>
      <c r="BM393" s="17" t="n">
        <v>-50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8" t="n">
        <v>0</v>
      </c>
      <c r="BU393" s="17" t="inlineStr">
        <is>
          <t>Branded Drug</t>
        </is>
      </c>
    </row>
    <row r="394" ht="20" customHeight="1">
      <c r="A394" s="15" t="inlineStr">
        <is>
          <t>76204010030</t>
        </is>
      </c>
      <c r="B394" s="15" t="inlineStr">
        <is>
          <t>IPRATROPIUM BROMIDE 0.02 % INHALATION SOLUTION</t>
        </is>
      </c>
      <c r="C394" s="16" t="n">
        <v>75</v>
      </c>
      <c r="D394" s="16" t="n">
        <v>0</v>
      </c>
      <c r="E394" s="16" t="n">
        <v>0</v>
      </c>
      <c r="F394" s="16" t="n">
        <v>0</v>
      </c>
      <c r="G394" s="16" t="n">
        <v>300</v>
      </c>
      <c r="H394" s="17" t="n">
        <v>0</v>
      </c>
      <c r="I394" s="17" t="n">
        <v>0</v>
      </c>
      <c r="J394" s="17" t="n">
        <v>300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8" t="n">
        <v>0</v>
      </c>
      <c r="R394" s="16" t="n">
        <v>4</v>
      </c>
      <c r="S394" s="17" t="n">
        <v>0</v>
      </c>
      <c r="T394" s="17" t="n">
        <v>0</v>
      </c>
      <c r="U394" s="17" t="n">
        <v>4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8" t="n">
        <v>0</v>
      </c>
      <c r="AC394" s="16" t="n">
        <v>-4</v>
      </c>
      <c r="AD394" s="17" t="n">
        <v>0</v>
      </c>
      <c r="AE394" s="17" t="n">
        <v>0</v>
      </c>
      <c r="AF394" s="17" t="n">
        <v>-4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8" t="n">
        <v>0</v>
      </c>
      <c r="AN394" s="16" t="n">
        <v>52</v>
      </c>
      <c r="AO394" s="17" t="n">
        <v>0</v>
      </c>
      <c r="AP394" s="17" t="n">
        <v>0</v>
      </c>
      <c r="AQ394" s="17" t="n">
        <v>52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8" t="n">
        <v>0</v>
      </c>
      <c r="AY394" s="16" t="n">
        <v>0</v>
      </c>
      <c r="AZ394" s="17" t="n">
        <v>0</v>
      </c>
      <c r="BA394" s="17" t="n">
        <v>0</v>
      </c>
      <c r="BB394" s="17" t="n">
        <v>0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7" t="n">
        <v>0</v>
      </c>
      <c r="BI394" s="18" t="n">
        <v>0</v>
      </c>
      <c r="BJ394" s="16" t="n">
        <v>52</v>
      </c>
      <c r="BK394" s="17" t="n">
        <v>0</v>
      </c>
      <c r="BL394" s="17" t="n">
        <v>0</v>
      </c>
      <c r="BM394" s="17" t="n">
        <v>52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7" t="n">
        <v>0</v>
      </c>
      <c r="BT394" s="18" t="n">
        <v>0</v>
      </c>
      <c r="BU394" s="17" t="inlineStr">
        <is>
          <t>Unclassified</t>
        </is>
      </c>
    </row>
    <row r="395" ht="20" customHeight="1">
      <c r="A395" s="15" t="inlineStr">
        <is>
          <t>00378797052</t>
        </is>
      </c>
      <c r="B395" s="15" t="inlineStr">
        <is>
          <t>IPRATROPIUM BROMIDE 0.02 % INHALATION SOLUTION</t>
        </is>
      </c>
      <c r="C395" s="16" t="n">
        <v>62.5</v>
      </c>
      <c r="D395" s="16" t="n">
        <v>0</v>
      </c>
      <c r="E395" s="16" t="n">
        <v>0</v>
      </c>
      <c r="F395" s="16" t="n">
        <v>0</v>
      </c>
      <c r="G395" s="16" t="n">
        <v>125</v>
      </c>
      <c r="H395" s="17" t="n">
        <v>0</v>
      </c>
      <c r="I395" s="17" t="n">
        <v>0</v>
      </c>
      <c r="J395" s="17" t="n">
        <v>125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8" t="n">
        <v>0</v>
      </c>
      <c r="R395" s="16" t="n">
        <v>2</v>
      </c>
      <c r="S395" s="17" t="n">
        <v>0</v>
      </c>
      <c r="T395" s="17" t="n">
        <v>0</v>
      </c>
      <c r="U395" s="17" t="n">
        <v>2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8" t="n">
        <v>0</v>
      </c>
      <c r="AC395" s="16" t="n">
        <v>-2</v>
      </c>
      <c r="AD395" s="17" t="n">
        <v>0</v>
      </c>
      <c r="AE395" s="17" t="n">
        <v>0</v>
      </c>
      <c r="AF395" s="17" t="n">
        <v>-2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8" t="n">
        <v>0</v>
      </c>
      <c r="AN395" s="16" t="n">
        <v>14</v>
      </c>
      <c r="AO395" s="17" t="n">
        <v>0</v>
      </c>
      <c r="AP395" s="17" t="n">
        <v>0</v>
      </c>
      <c r="AQ395" s="17" t="n">
        <v>9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8" t="n">
        <v>0</v>
      </c>
      <c r="AY395" s="16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8" t="n">
        <v>0</v>
      </c>
      <c r="BJ395" s="16" t="n">
        <v>14</v>
      </c>
      <c r="BK395" s="17" t="n">
        <v>0</v>
      </c>
      <c r="BL395" s="17" t="n">
        <v>0</v>
      </c>
      <c r="BM395" s="17" t="n">
        <v>9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8" t="n">
        <v>0</v>
      </c>
      <c r="BU395" s="17" t="inlineStr">
        <is>
          <t>Unclassified</t>
        </is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0</v>
      </c>
      <c r="J396" s="17" t="n">
        <v>15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8" t="n">
        <v>0</v>
      </c>
      <c r="R396" s="16" t="n">
        <v>1</v>
      </c>
      <c r="S396" s="17" t="n">
        <v>0</v>
      </c>
      <c r="T396" s="17" t="n">
        <v>0</v>
      </c>
      <c r="U396" s="17" t="n">
        <v>1</v>
      </c>
      <c r="V396" s="17" t="n">
        <v>0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8" t="n">
        <v>0</v>
      </c>
      <c r="AC396" s="16" t="n">
        <v>-1</v>
      </c>
      <c r="AD396" s="17" t="n">
        <v>0</v>
      </c>
      <c r="AE396" s="17" t="n">
        <v>0</v>
      </c>
      <c r="AF396" s="17" t="n">
        <v>-1</v>
      </c>
      <c r="AG396" s="17" t="n">
        <v>0</v>
      </c>
      <c r="AH396" s="17" t="n">
        <v>0</v>
      </c>
      <c r="AI396" s="17" t="n">
        <v>0</v>
      </c>
      <c r="AJ396" s="17" t="n">
        <v>0</v>
      </c>
      <c r="AK396" s="17" t="n">
        <v>0</v>
      </c>
      <c r="AL396" s="17" t="n">
        <v>0</v>
      </c>
      <c r="AM396" s="18" t="n">
        <v>0</v>
      </c>
      <c r="AN396" s="16" t="n">
        <v>9</v>
      </c>
      <c r="AO396" s="17" t="n">
        <v>0</v>
      </c>
      <c r="AP396" s="17" t="n">
        <v>0</v>
      </c>
      <c r="AQ396" s="17" t="n">
        <v>7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8" t="n">
        <v>0</v>
      </c>
      <c r="AY396" s="16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7" t="n">
        <v>0</v>
      </c>
      <c r="BI396" s="18" t="n">
        <v>0</v>
      </c>
      <c r="BJ396" s="16" t="n">
        <v>9</v>
      </c>
      <c r="BK396" s="17" t="n">
        <v>0</v>
      </c>
      <c r="BL396" s="17" t="n">
        <v>0</v>
      </c>
      <c r="BM396" s="17" t="n">
        <v>7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</v>
      </c>
      <c r="BT396" s="18" t="n">
        <v>0</v>
      </c>
      <c r="BU396" s="17" t="inlineStr">
        <is>
          <t>Unclassified</t>
        </is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0</v>
      </c>
      <c r="J397" s="17" t="n">
        <v>540</v>
      </c>
      <c r="K397" s="17" t="n">
        <v>0</v>
      </c>
      <c r="L397" s="17" t="n">
        <v>0</v>
      </c>
      <c r="M397" s="17" t="n">
        <v>0</v>
      </c>
      <c r="N397" s="17" t="n">
        <v>90</v>
      </c>
      <c r="O397" s="17" t="n">
        <v>0</v>
      </c>
      <c r="P397" s="17" t="n">
        <v>0</v>
      </c>
      <c r="Q397" s="18" t="n">
        <v>0</v>
      </c>
      <c r="R397" s="16" t="n">
        <v>7</v>
      </c>
      <c r="S397" s="17" t="n">
        <v>0</v>
      </c>
      <c r="T397" s="17" t="n">
        <v>0</v>
      </c>
      <c r="U397" s="17" t="n">
        <v>6</v>
      </c>
      <c r="V397" s="17" t="n">
        <v>0</v>
      </c>
      <c r="W397" s="17" t="n">
        <v>0</v>
      </c>
      <c r="X397" s="17" t="n">
        <v>0</v>
      </c>
      <c r="Y397" s="17" t="n">
        <v>1</v>
      </c>
      <c r="Z397" s="17" t="n">
        <v>0</v>
      </c>
      <c r="AA397" s="17" t="n">
        <v>0</v>
      </c>
      <c r="AB397" s="18" t="n">
        <v>0</v>
      </c>
      <c r="AC397" s="16" t="n">
        <v>-7</v>
      </c>
      <c r="AD397" s="17" t="n">
        <v>0</v>
      </c>
      <c r="AE397" s="17" t="n">
        <v>0</v>
      </c>
      <c r="AF397" s="17" t="n">
        <v>-6</v>
      </c>
      <c r="AG397" s="17" t="n">
        <v>0</v>
      </c>
      <c r="AH397" s="17" t="n">
        <v>0</v>
      </c>
      <c r="AI397" s="17" t="n">
        <v>0</v>
      </c>
      <c r="AJ397" s="17" t="n">
        <v>-1</v>
      </c>
      <c r="AK397" s="17" t="n">
        <v>0</v>
      </c>
      <c r="AL397" s="17" t="n">
        <v>0</v>
      </c>
      <c r="AM397" s="18" t="n">
        <v>0</v>
      </c>
      <c r="AN397" s="16" t="n">
        <v>40</v>
      </c>
      <c r="AO397" s="17" t="n">
        <v>0</v>
      </c>
      <c r="AP397" s="17" t="n">
        <v>0</v>
      </c>
      <c r="AQ397" s="17" t="n">
        <v>23</v>
      </c>
      <c r="AR397" s="17" t="n">
        <v>0</v>
      </c>
      <c r="AS397" s="17" t="n">
        <v>0</v>
      </c>
      <c r="AT397" s="17" t="n">
        <v>0</v>
      </c>
      <c r="AU397" s="17" t="n">
        <v>16</v>
      </c>
      <c r="AV397" s="17" t="n">
        <v>0</v>
      </c>
      <c r="AW397" s="17" t="n">
        <v>0</v>
      </c>
      <c r="AX397" s="18" t="n">
        <v>0</v>
      </c>
      <c r="AY397" s="16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8" t="n">
        <v>0</v>
      </c>
      <c r="BJ397" s="16" t="n">
        <v>40</v>
      </c>
      <c r="BK397" s="17" t="n">
        <v>0</v>
      </c>
      <c r="BL397" s="17" t="n">
        <v>0</v>
      </c>
      <c r="BM397" s="17" t="n">
        <v>23</v>
      </c>
      <c r="BN397" s="17" t="n">
        <v>0</v>
      </c>
      <c r="BO397" s="17" t="n">
        <v>0</v>
      </c>
      <c r="BP397" s="17" t="n">
        <v>0</v>
      </c>
      <c r="BQ397" s="17" t="n">
        <v>16</v>
      </c>
      <c r="BR397" s="17" t="n">
        <v>0</v>
      </c>
      <c r="BS397" s="17" t="n">
        <v>0</v>
      </c>
      <c r="BT397" s="18" t="n">
        <v>0</v>
      </c>
      <c r="BU397" s="17" t="inlineStr">
        <is>
          <t>Unclassified</t>
        </is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0</v>
      </c>
      <c r="J398" s="17" t="n">
        <v>180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8" t="n">
        <v>0</v>
      </c>
      <c r="R398" s="16" t="n">
        <v>2</v>
      </c>
      <c r="S398" s="17" t="n">
        <v>0</v>
      </c>
      <c r="T398" s="17" t="n">
        <v>0</v>
      </c>
      <c r="U398" s="17" t="n">
        <v>2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8" t="n">
        <v>0</v>
      </c>
      <c r="AC398" s="16" t="n">
        <v>-2</v>
      </c>
      <c r="AD398" s="17" t="n">
        <v>0</v>
      </c>
      <c r="AE398" s="17" t="n">
        <v>0</v>
      </c>
      <c r="AF398" s="17" t="n">
        <v>-2</v>
      </c>
      <c r="AG398" s="17" t="n">
        <v>0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8" t="n">
        <v>0</v>
      </c>
      <c r="AN398" s="16" t="n">
        <v>60</v>
      </c>
      <c r="AO398" s="17" t="n">
        <v>0</v>
      </c>
      <c r="AP398" s="17" t="n">
        <v>0</v>
      </c>
      <c r="AQ398" s="17" t="n">
        <v>60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8" t="n">
        <v>0</v>
      </c>
      <c r="AY398" s="16" t="n">
        <v>0</v>
      </c>
      <c r="AZ398" s="17" t="n">
        <v>0</v>
      </c>
      <c r="BA398" s="17" t="n">
        <v>0</v>
      </c>
      <c r="BB398" s="17" t="n">
        <v>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7" t="n">
        <v>0</v>
      </c>
      <c r="BI398" s="18" t="n">
        <v>0</v>
      </c>
      <c r="BJ398" s="16" t="n">
        <v>60</v>
      </c>
      <c r="BK398" s="17" t="n">
        <v>0</v>
      </c>
      <c r="BL398" s="17" t="n">
        <v>0</v>
      </c>
      <c r="BM398" s="17" t="n">
        <v>60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7" t="n">
        <v>0</v>
      </c>
      <c r="BT398" s="18" t="n">
        <v>0</v>
      </c>
      <c r="BU398" s="17" t="inlineStr">
        <is>
          <t>Unclassified</t>
        </is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90</v>
      </c>
      <c r="O399" s="17" t="n">
        <v>0</v>
      </c>
      <c r="P399" s="17" t="n">
        <v>0</v>
      </c>
      <c r="Q399" s="18" t="n">
        <v>0</v>
      </c>
      <c r="R399" s="16" t="n">
        <v>0.9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0.9</v>
      </c>
      <c r="Z399" s="17" t="n">
        <v>0</v>
      </c>
      <c r="AA399" s="17" t="n">
        <v>0</v>
      </c>
      <c r="AB399" s="18" t="n">
        <v>0</v>
      </c>
      <c r="AC399" s="16" t="n">
        <v>-0.9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-0.9</v>
      </c>
      <c r="AK399" s="17" t="n">
        <v>0</v>
      </c>
      <c r="AL399" s="17" t="n">
        <v>0</v>
      </c>
      <c r="AM399" s="18" t="n">
        <v>0</v>
      </c>
      <c r="AN399" s="16" t="n">
        <v>16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16</v>
      </c>
      <c r="AV399" s="17" t="n">
        <v>0</v>
      </c>
      <c r="AW399" s="17" t="n">
        <v>0</v>
      </c>
      <c r="AX399" s="18" t="n">
        <v>0</v>
      </c>
      <c r="AY399" s="16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8" t="n">
        <v>0</v>
      </c>
      <c r="BJ399" s="16" t="n">
        <v>16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16</v>
      </c>
      <c r="BR399" s="17" t="n">
        <v>0</v>
      </c>
      <c r="BS399" s="17" t="n">
        <v>0</v>
      </c>
      <c r="BT399" s="18" t="n">
        <v>0</v>
      </c>
      <c r="BU399" s="17" t="inlineStr">
        <is>
          <t>Unclassified</t>
        </is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0</v>
      </c>
      <c r="J400" s="17" t="n">
        <v>90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8" t="n">
        <v>0</v>
      </c>
      <c r="R400" s="16" t="n">
        <v>0.09</v>
      </c>
      <c r="S400" s="17" t="n">
        <v>0</v>
      </c>
      <c r="T400" s="17" t="n">
        <v>0</v>
      </c>
      <c r="U400" s="17" t="n">
        <v>0.09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8" t="n">
        <v>0</v>
      </c>
      <c r="AC400" s="16" t="n">
        <v>-0.09</v>
      </c>
      <c r="AD400" s="17" t="n">
        <v>0</v>
      </c>
      <c r="AE400" s="17" t="n">
        <v>0</v>
      </c>
      <c r="AF400" s="17" t="n">
        <v>-0.09</v>
      </c>
      <c r="AG400" s="17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8" t="n">
        <v>0</v>
      </c>
      <c r="AN400" s="16" t="n">
        <v>6</v>
      </c>
      <c r="AO400" s="17" t="n">
        <v>0</v>
      </c>
      <c r="AP400" s="17" t="n">
        <v>0</v>
      </c>
      <c r="AQ400" s="17" t="n">
        <v>6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8" t="n">
        <v>0</v>
      </c>
      <c r="AY400" s="16" t="n">
        <v>0</v>
      </c>
      <c r="AZ400" s="17" t="n">
        <v>0</v>
      </c>
      <c r="BA400" s="17" t="n">
        <v>0</v>
      </c>
      <c r="BB400" s="17" t="n">
        <v>0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7" t="n">
        <v>0</v>
      </c>
      <c r="BI400" s="18" t="n">
        <v>0</v>
      </c>
      <c r="BJ400" s="16" t="n">
        <v>6</v>
      </c>
      <c r="BK400" s="17" t="n">
        <v>0</v>
      </c>
      <c r="BL400" s="17" t="n">
        <v>0</v>
      </c>
      <c r="BM400" s="17" t="n">
        <v>6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7" t="n">
        <v>0</v>
      </c>
      <c r="BT400" s="18" t="n">
        <v>0</v>
      </c>
      <c r="BU400" s="17" t="inlineStr">
        <is>
          <t>Unclassified</t>
        </is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0</v>
      </c>
      <c r="J401" s="17" t="n">
        <v>30</v>
      </c>
      <c r="K401" s="17" t="n">
        <v>30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8" t="n">
        <v>0</v>
      </c>
      <c r="R401" s="16" t="n">
        <v>0.12</v>
      </c>
      <c r="S401" s="17" t="n">
        <v>0</v>
      </c>
      <c r="T401" s="17" t="n">
        <v>0</v>
      </c>
      <c r="U401" s="17" t="n">
        <v>0.06</v>
      </c>
      <c r="V401" s="17" t="n">
        <v>0.06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8" t="n">
        <v>0</v>
      </c>
      <c r="AC401" s="16" t="n">
        <v>-0.12</v>
      </c>
      <c r="AD401" s="17" t="n">
        <v>0</v>
      </c>
      <c r="AE401" s="17" t="n">
        <v>0</v>
      </c>
      <c r="AF401" s="17" t="n">
        <v>-0.06</v>
      </c>
      <c r="AG401" s="17" t="n">
        <v>-0.06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8" t="n">
        <v>0</v>
      </c>
      <c r="AN401" s="16" t="n">
        <v>6</v>
      </c>
      <c r="AO401" s="17" t="n">
        <v>0</v>
      </c>
      <c r="AP401" s="17" t="n">
        <v>0</v>
      </c>
      <c r="AQ401" s="17" t="n">
        <v>2</v>
      </c>
      <c r="AR401" s="17" t="n">
        <v>4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8" t="n">
        <v>0</v>
      </c>
      <c r="AY401" s="16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8" t="n">
        <v>0</v>
      </c>
      <c r="BJ401" s="16" t="n">
        <v>6</v>
      </c>
      <c r="BK401" s="17" t="n">
        <v>0</v>
      </c>
      <c r="BL401" s="17" t="n">
        <v>0</v>
      </c>
      <c r="BM401" s="17" t="n">
        <v>2</v>
      </c>
      <c r="BN401" s="17" t="n">
        <v>4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8" t="n">
        <v>0</v>
      </c>
      <c r="BU401" s="17" t="inlineStr">
        <is>
          <t>Unclassified</t>
        </is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30</v>
      </c>
      <c r="P402" s="17" t="n">
        <v>0</v>
      </c>
      <c r="Q402" s="18" t="n">
        <v>0</v>
      </c>
      <c r="R402" s="16" t="n">
        <v>0.06</v>
      </c>
      <c r="S402" s="17" t="n">
        <v>0</v>
      </c>
      <c r="T402" s="17" t="n">
        <v>0</v>
      </c>
      <c r="U402" s="17" t="n">
        <v>0</v>
      </c>
      <c r="V402" s="17" t="n">
        <v>0</v>
      </c>
      <c r="W402" s="17" t="n">
        <v>0</v>
      </c>
      <c r="X402" s="17" t="n">
        <v>0</v>
      </c>
      <c r="Y402" s="17" t="n">
        <v>0</v>
      </c>
      <c r="Z402" s="17" t="n">
        <v>0.06</v>
      </c>
      <c r="AA402" s="17" t="n">
        <v>0</v>
      </c>
      <c r="AB402" s="18" t="n">
        <v>0</v>
      </c>
      <c r="AC402" s="16" t="n">
        <v>-0.06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-0.06</v>
      </c>
      <c r="AL402" s="17" t="n">
        <v>0</v>
      </c>
      <c r="AM402" s="18" t="n">
        <v>0</v>
      </c>
      <c r="AN402" s="16" t="n">
        <v>5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8" t="n">
        <v>0</v>
      </c>
      <c r="AY402" s="16" t="n">
        <v>0</v>
      </c>
      <c r="AZ402" s="17" t="n">
        <v>0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7" t="n">
        <v>0</v>
      </c>
      <c r="BI402" s="18" t="n">
        <v>0</v>
      </c>
      <c r="BJ402" s="16" t="n">
        <v>5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8" t="n">
        <v>0</v>
      </c>
      <c r="BU402" s="17" t="inlineStr">
        <is>
          <t>Unclassified</t>
        </is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0</v>
      </c>
      <c r="K403" s="17" t="n">
        <v>45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8" t="n">
        <v>0</v>
      </c>
      <c r="R403" s="16" t="n">
        <v>1</v>
      </c>
      <c r="S403" s="17" t="n">
        <v>0</v>
      </c>
      <c r="T403" s="17" t="n">
        <v>0</v>
      </c>
      <c r="U403" s="17" t="n">
        <v>0</v>
      </c>
      <c r="V403" s="17" t="n">
        <v>1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8" t="n">
        <v>0</v>
      </c>
      <c r="AC403" s="16" t="n">
        <v>-1</v>
      </c>
      <c r="AD403" s="17" t="n">
        <v>0</v>
      </c>
      <c r="AE403" s="17" t="n">
        <v>0</v>
      </c>
      <c r="AF403" s="17" t="n">
        <v>0</v>
      </c>
      <c r="AG403" s="17" t="n">
        <v>-1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8" t="n">
        <v>0</v>
      </c>
      <c r="AN403" s="16" t="n">
        <v>171</v>
      </c>
      <c r="AO403" s="17" t="n">
        <v>0</v>
      </c>
      <c r="AP403" s="17" t="n">
        <v>0</v>
      </c>
      <c r="AQ403" s="17" t="n">
        <v>0</v>
      </c>
      <c r="AR403" s="17" t="n">
        <v>141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8" t="n">
        <v>0</v>
      </c>
      <c r="AY403" s="16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8" t="n">
        <v>0</v>
      </c>
      <c r="BJ403" s="16" t="n">
        <v>171</v>
      </c>
      <c r="BK403" s="17" t="n">
        <v>0</v>
      </c>
      <c r="BL403" s="17" t="n">
        <v>0</v>
      </c>
      <c r="BM403" s="17" t="n">
        <v>0</v>
      </c>
      <c r="BN403" s="17" t="n">
        <v>141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8" t="n">
        <v>0</v>
      </c>
      <c r="BU403" s="17" t="inlineStr">
        <is>
          <t>Unclassified</t>
        </is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0</v>
      </c>
      <c r="J404" s="17" t="n">
        <v>60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8" t="n">
        <v>0</v>
      </c>
      <c r="R404" s="16" t="n">
        <v>2</v>
      </c>
      <c r="S404" s="17" t="n">
        <v>0</v>
      </c>
      <c r="T404" s="17" t="n">
        <v>0</v>
      </c>
      <c r="U404" s="17" t="n">
        <v>2</v>
      </c>
      <c r="V404" s="17" t="n">
        <v>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8" t="n">
        <v>0</v>
      </c>
      <c r="AC404" s="16" t="n">
        <v>-1</v>
      </c>
      <c r="AD404" s="17" t="n">
        <v>1</v>
      </c>
      <c r="AE404" s="17" t="n">
        <v>1</v>
      </c>
      <c r="AF404" s="17" t="n">
        <v>-1</v>
      </c>
      <c r="AG404" s="17" t="n">
        <v>1</v>
      </c>
      <c r="AH404" s="17" t="n">
        <v>1</v>
      </c>
      <c r="AI404" s="17" t="n">
        <v>1</v>
      </c>
      <c r="AJ404" s="17" t="n">
        <v>1</v>
      </c>
      <c r="AK404" s="17" t="n">
        <v>1</v>
      </c>
      <c r="AL404" s="17" t="n">
        <v>1</v>
      </c>
      <c r="AM404" s="18" t="n">
        <v>1</v>
      </c>
      <c r="AN404" s="16" t="n">
        <v>603</v>
      </c>
      <c r="AO404" s="17" t="n">
        <v>0</v>
      </c>
      <c r="AP404" s="17" t="n">
        <v>0</v>
      </c>
      <c r="AQ404" s="17" t="n">
        <v>593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8" t="n">
        <v>0</v>
      </c>
      <c r="AY404" s="16" t="n">
        <v>616</v>
      </c>
      <c r="AZ404" s="17" t="n">
        <v>0</v>
      </c>
      <c r="BA404" s="17" t="n">
        <v>0</v>
      </c>
      <c r="BB404" s="17" t="n">
        <v>616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7" t="n">
        <v>0</v>
      </c>
      <c r="BI404" s="18" t="n">
        <v>0</v>
      </c>
      <c r="BJ404" s="16" t="n">
        <v>-13</v>
      </c>
      <c r="BK404" s="17" t="n">
        <v>0</v>
      </c>
      <c r="BL404" s="17" t="n">
        <v>0</v>
      </c>
      <c r="BM404" s="17" t="n">
        <v>-23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7" t="n">
        <v>0</v>
      </c>
      <c r="BT404" s="18" t="n">
        <v>0</v>
      </c>
      <c r="BU404" s="17" t="inlineStr">
        <is>
          <t>Branded Drug</t>
        </is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0</v>
      </c>
      <c r="J405" s="17" t="n">
        <v>960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8" t="n">
        <v>0</v>
      </c>
      <c r="R405" s="16" t="n">
        <v>16</v>
      </c>
      <c r="S405" s="17" t="n">
        <v>0</v>
      </c>
      <c r="T405" s="17" t="n">
        <v>0</v>
      </c>
      <c r="U405" s="17" t="n">
        <v>16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8" t="n">
        <v>0</v>
      </c>
      <c r="AC405" s="16" t="n">
        <v>4</v>
      </c>
      <c r="AD405" s="17" t="n">
        <v>20</v>
      </c>
      <c r="AE405" s="17" t="n">
        <v>20</v>
      </c>
      <c r="AF405" s="17" t="n">
        <v>4</v>
      </c>
      <c r="AG405" s="17" t="n">
        <v>20</v>
      </c>
      <c r="AH405" s="17" t="n">
        <v>20</v>
      </c>
      <c r="AI405" s="17" t="n">
        <v>20</v>
      </c>
      <c r="AJ405" s="17" t="n">
        <v>20</v>
      </c>
      <c r="AK405" s="17" t="n">
        <v>20</v>
      </c>
      <c r="AL405" s="17" t="n">
        <v>20</v>
      </c>
      <c r="AM405" s="18" t="n">
        <v>20</v>
      </c>
      <c r="AN405" s="16" t="n">
        <v>4932</v>
      </c>
      <c r="AO405" s="17" t="n">
        <v>0</v>
      </c>
      <c r="AP405" s="17" t="n">
        <v>0</v>
      </c>
      <c r="AQ405" s="17" t="n">
        <v>4897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8" t="n">
        <v>0</v>
      </c>
      <c r="AY405" s="16" t="n">
        <v>5136</v>
      </c>
      <c r="AZ405" s="17" t="n">
        <v>0</v>
      </c>
      <c r="BA405" s="17" t="n">
        <v>0</v>
      </c>
      <c r="BB405" s="17" t="n">
        <v>5136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8" t="n">
        <v>0</v>
      </c>
      <c r="BJ405" s="16" t="n">
        <v>-204</v>
      </c>
      <c r="BK405" s="17" t="n">
        <v>0</v>
      </c>
      <c r="BL405" s="17" t="n">
        <v>0</v>
      </c>
      <c r="BM405" s="17" t="n">
        <v>-239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8" t="n">
        <v>0</v>
      </c>
      <c r="BU405" s="17" t="inlineStr">
        <is>
          <t>Branded Drug</t>
        </is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0</v>
      </c>
      <c r="J406" s="17" t="n">
        <v>360</v>
      </c>
      <c r="K406" s="17" t="n">
        <v>0</v>
      </c>
      <c r="L406" s="17" t="n">
        <v>0</v>
      </c>
      <c r="M406" s="17" t="n">
        <v>60</v>
      </c>
      <c r="N406" s="17" t="n">
        <v>0</v>
      </c>
      <c r="O406" s="17" t="n">
        <v>0</v>
      </c>
      <c r="P406" s="17" t="n">
        <v>0</v>
      </c>
      <c r="Q406" s="18" t="n">
        <v>0</v>
      </c>
      <c r="R406" s="16" t="n">
        <v>7</v>
      </c>
      <c r="S406" s="17" t="n">
        <v>0</v>
      </c>
      <c r="T406" s="17" t="n">
        <v>0</v>
      </c>
      <c r="U406" s="17" t="n">
        <v>6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0</v>
      </c>
      <c r="AB406" s="18" t="n">
        <v>0</v>
      </c>
      <c r="AC406" s="16" t="n">
        <v>-7</v>
      </c>
      <c r="AD406" s="17" t="n">
        <v>0</v>
      </c>
      <c r="AE406" s="17" t="n">
        <v>0</v>
      </c>
      <c r="AF406" s="17" t="n">
        <v>-6</v>
      </c>
      <c r="AG406" s="17" t="n">
        <v>0</v>
      </c>
      <c r="AH406" s="17" t="n">
        <v>0</v>
      </c>
      <c r="AI406" s="17" t="n">
        <v>-1</v>
      </c>
      <c r="AJ406" s="17" t="n">
        <v>0</v>
      </c>
      <c r="AK406" s="17" t="n">
        <v>0</v>
      </c>
      <c r="AL406" s="17" t="n">
        <v>0</v>
      </c>
      <c r="AM406" s="18" t="n">
        <v>0</v>
      </c>
      <c r="AN406" s="16" t="n">
        <v>2142</v>
      </c>
      <c r="AO406" s="17" t="n">
        <v>0</v>
      </c>
      <c r="AP406" s="17" t="n">
        <v>0</v>
      </c>
      <c r="AQ406" s="17" t="n">
        <v>1824</v>
      </c>
      <c r="AR406" s="17" t="n">
        <v>0</v>
      </c>
      <c r="AS406" s="17" t="n">
        <v>0</v>
      </c>
      <c r="AT406" s="17" t="n">
        <v>308</v>
      </c>
      <c r="AU406" s="17" t="n">
        <v>0</v>
      </c>
      <c r="AV406" s="17" t="n">
        <v>0</v>
      </c>
      <c r="AW406" s="17" t="n">
        <v>0</v>
      </c>
      <c r="AX406" s="18" t="n">
        <v>0</v>
      </c>
      <c r="AY406" s="16" t="n">
        <v>0</v>
      </c>
      <c r="AZ406" s="17" t="n">
        <v>0</v>
      </c>
      <c r="BA406" s="17" t="n">
        <v>0</v>
      </c>
      <c r="BB406" s="17" t="n">
        <v>0</v>
      </c>
      <c r="BC406" s="17" t="n">
        <v>0</v>
      </c>
      <c r="BD406" s="17" t="n">
        <v>0</v>
      </c>
      <c r="BE406" s="17" t="n">
        <v>0</v>
      </c>
      <c r="BF406" s="17" t="n">
        <v>0</v>
      </c>
      <c r="BG406" s="17" t="n">
        <v>0</v>
      </c>
      <c r="BH406" s="17" t="n">
        <v>0</v>
      </c>
      <c r="BI406" s="18" t="n">
        <v>0</v>
      </c>
      <c r="BJ406" s="16" t="n">
        <v>2142</v>
      </c>
      <c r="BK406" s="17" t="n">
        <v>0</v>
      </c>
      <c r="BL406" s="17" t="n">
        <v>0</v>
      </c>
      <c r="BM406" s="17" t="n">
        <v>1824</v>
      </c>
      <c r="BN406" s="17" t="n">
        <v>0</v>
      </c>
      <c r="BO406" s="17" t="n">
        <v>0</v>
      </c>
      <c r="BP406" s="17" t="n">
        <v>308</v>
      </c>
      <c r="BQ406" s="17" t="n">
        <v>0</v>
      </c>
      <c r="BR406" s="17" t="n">
        <v>0</v>
      </c>
      <c r="BS406" s="17" t="n">
        <v>0</v>
      </c>
      <c r="BT406" s="18" t="n">
        <v>0</v>
      </c>
      <c r="BU406" s="17" t="inlineStr">
        <is>
          <t>Unclassified</t>
        </is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0</v>
      </c>
      <c r="J407" s="17" t="n">
        <v>90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8" t="n">
        <v>0</v>
      </c>
      <c r="R407" s="16" t="n">
        <v>3</v>
      </c>
      <c r="S407" s="17" t="n">
        <v>0</v>
      </c>
      <c r="T407" s="17" t="n">
        <v>0</v>
      </c>
      <c r="U407" s="17" t="n">
        <v>3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8" t="n">
        <v>0</v>
      </c>
      <c r="AC407" s="16" t="n">
        <v>-3</v>
      </c>
      <c r="AD407" s="17" t="n">
        <v>0</v>
      </c>
      <c r="AE407" s="17" t="n">
        <v>0</v>
      </c>
      <c r="AF407" s="17" t="n">
        <v>-3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8" t="n">
        <v>0</v>
      </c>
      <c r="AN407" s="16" t="n">
        <v>938</v>
      </c>
      <c r="AO407" s="17" t="n">
        <v>0</v>
      </c>
      <c r="AP407" s="17" t="n">
        <v>0</v>
      </c>
      <c r="AQ407" s="17" t="n">
        <v>938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8" t="n">
        <v>0</v>
      </c>
      <c r="AY407" s="16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8" t="n">
        <v>0</v>
      </c>
      <c r="BJ407" s="16" t="n">
        <v>938</v>
      </c>
      <c r="BK407" s="17" t="n">
        <v>0</v>
      </c>
      <c r="BL407" s="17" t="n">
        <v>0</v>
      </c>
      <c r="BM407" s="17" t="n">
        <v>938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8" t="n">
        <v>0</v>
      </c>
      <c r="BU407" s="17" t="inlineStr">
        <is>
          <t>Unclassified</t>
        </is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0</v>
      </c>
      <c r="J408" s="17" t="n">
        <v>60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8" t="n">
        <v>0</v>
      </c>
      <c r="R408" s="16" t="n">
        <v>1</v>
      </c>
      <c r="S408" s="17" t="n">
        <v>0</v>
      </c>
      <c r="T408" s="17" t="n">
        <v>0</v>
      </c>
      <c r="U408" s="17" t="n">
        <v>1</v>
      </c>
      <c r="V408" s="17" t="n">
        <v>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8" t="n">
        <v>0</v>
      </c>
      <c r="AC408" s="16" t="n">
        <v>0</v>
      </c>
      <c r="AD408" s="17" t="n">
        <v>1</v>
      </c>
      <c r="AE408" s="17" t="n">
        <v>1</v>
      </c>
      <c r="AF408" s="17" t="n">
        <v>0</v>
      </c>
      <c r="AG408" s="17" t="n">
        <v>1</v>
      </c>
      <c r="AH408" s="17" t="n">
        <v>1</v>
      </c>
      <c r="AI408" s="17" t="n">
        <v>1</v>
      </c>
      <c r="AJ408" s="17" t="n">
        <v>1</v>
      </c>
      <c r="AK408" s="17" t="n">
        <v>1</v>
      </c>
      <c r="AL408" s="17" t="n">
        <v>1</v>
      </c>
      <c r="AM408" s="18" t="n">
        <v>1</v>
      </c>
      <c r="AN408" s="16" t="n">
        <v>314</v>
      </c>
      <c r="AO408" s="17" t="n">
        <v>0</v>
      </c>
      <c r="AP408" s="17" t="n">
        <v>0</v>
      </c>
      <c r="AQ408" s="17" t="n">
        <v>309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8" t="n">
        <v>0</v>
      </c>
      <c r="AY408" s="16" t="n">
        <v>321</v>
      </c>
      <c r="AZ408" s="17" t="n">
        <v>0</v>
      </c>
      <c r="BA408" s="17" t="n">
        <v>0</v>
      </c>
      <c r="BB408" s="17" t="n">
        <v>321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7" t="n">
        <v>0</v>
      </c>
      <c r="BI408" s="18" t="n">
        <v>0</v>
      </c>
      <c r="BJ408" s="16" t="n">
        <v>-7</v>
      </c>
      <c r="BK408" s="17" t="n">
        <v>0</v>
      </c>
      <c r="BL408" s="17" t="n">
        <v>0</v>
      </c>
      <c r="BM408" s="17" t="n">
        <v>-12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7" t="n">
        <v>0</v>
      </c>
      <c r="BT408" s="18" t="n">
        <v>0</v>
      </c>
      <c r="BU408" s="17" t="inlineStr">
        <is>
          <t>Branded Drug</t>
        </is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0</v>
      </c>
      <c r="J409" s="17" t="n">
        <v>390</v>
      </c>
      <c r="K409" s="17" t="n">
        <v>90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8" t="n">
        <v>0</v>
      </c>
      <c r="R409" s="16" t="n">
        <v>16</v>
      </c>
      <c r="S409" s="17" t="n">
        <v>0</v>
      </c>
      <c r="T409" s="17" t="n">
        <v>0</v>
      </c>
      <c r="U409" s="17" t="n">
        <v>13</v>
      </c>
      <c r="V409" s="17" t="n">
        <v>3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8" t="n">
        <v>0</v>
      </c>
      <c r="AC409" s="16" t="n">
        <v>8</v>
      </c>
      <c r="AD409" s="17" t="n">
        <v>24</v>
      </c>
      <c r="AE409" s="17" t="n">
        <v>24</v>
      </c>
      <c r="AF409" s="17" t="n">
        <v>11</v>
      </c>
      <c r="AG409" s="17" t="n">
        <v>21</v>
      </c>
      <c r="AH409" s="17" t="n">
        <v>24</v>
      </c>
      <c r="AI409" s="17" t="n">
        <v>24</v>
      </c>
      <c r="AJ409" s="17" t="n">
        <v>24</v>
      </c>
      <c r="AK409" s="17" t="n">
        <v>24</v>
      </c>
      <c r="AL409" s="17" t="n">
        <v>24</v>
      </c>
      <c r="AM409" s="18" t="n">
        <v>24</v>
      </c>
      <c r="AN409" s="16" t="n">
        <v>1875</v>
      </c>
      <c r="AO409" s="17" t="n">
        <v>0</v>
      </c>
      <c r="AP409" s="17" t="n">
        <v>0</v>
      </c>
      <c r="AQ409" s="17" t="n">
        <v>1513</v>
      </c>
      <c r="AR409" s="17" t="n">
        <v>353</v>
      </c>
      <c r="AS409" s="17" t="n">
        <v>0</v>
      </c>
      <c r="AT409" s="17" t="n">
        <v>0</v>
      </c>
      <c r="AU409" s="17" t="n">
        <v>0</v>
      </c>
      <c r="AV409" s="17" t="n">
        <v>0</v>
      </c>
      <c r="AW409" s="17" t="n">
        <v>0</v>
      </c>
      <c r="AX409" s="18" t="n">
        <v>0</v>
      </c>
      <c r="AY409" s="16" t="n">
        <v>5136</v>
      </c>
      <c r="AZ409" s="17" t="n">
        <v>0</v>
      </c>
      <c r="BA409" s="17" t="n">
        <v>0</v>
      </c>
      <c r="BB409" s="17" t="n">
        <v>4173</v>
      </c>
      <c r="BC409" s="17" t="n">
        <v>963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8" t="n">
        <v>0</v>
      </c>
      <c r="BJ409" s="16" t="n">
        <v>-3261</v>
      </c>
      <c r="BK409" s="17" t="n">
        <v>0</v>
      </c>
      <c r="BL409" s="17" t="n">
        <v>0</v>
      </c>
      <c r="BM409" s="17" t="n">
        <v>-2660</v>
      </c>
      <c r="BN409" s="17" t="n">
        <v>-610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8" t="n">
        <v>0</v>
      </c>
      <c r="BU409" s="17" t="inlineStr">
        <is>
          <t>Branded Drug</t>
        </is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0</v>
      </c>
      <c r="K410" s="17" t="n">
        <v>30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8" t="n">
        <v>0</v>
      </c>
      <c r="R410" s="16" t="n">
        <v>1</v>
      </c>
      <c r="S410" s="17" t="n">
        <v>0</v>
      </c>
      <c r="T410" s="17" t="n">
        <v>0</v>
      </c>
      <c r="U410" s="17" t="n">
        <v>0</v>
      </c>
      <c r="V410" s="17" t="n">
        <v>1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8" t="n">
        <v>0</v>
      </c>
      <c r="AC410" s="16" t="n">
        <v>-1</v>
      </c>
      <c r="AD410" s="17" t="n">
        <v>0</v>
      </c>
      <c r="AE410" s="17" t="n">
        <v>0</v>
      </c>
      <c r="AF410" s="17" t="n">
        <v>0</v>
      </c>
      <c r="AG410" s="17" t="n">
        <v>-1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8" t="n">
        <v>0</v>
      </c>
      <c r="AN410" s="16" t="n">
        <v>128</v>
      </c>
      <c r="AO410" s="17" t="n">
        <v>0</v>
      </c>
      <c r="AP410" s="17" t="n">
        <v>0</v>
      </c>
      <c r="AQ410" s="17" t="n">
        <v>0</v>
      </c>
      <c r="AR410" s="17" t="n">
        <v>128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8" t="n">
        <v>0</v>
      </c>
      <c r="AY410" s="16" t="n">
        <v>0</v>
      </c>
      <c r="AZ410" s="17" t="n">
        <v>0</v>
      </c>
      <c r="BA410" s="17" t="n">
        <v>0</v>
      </c>
      <c r="BB410" s="17" t="n">
        <v>0</v>
      </c>
      <c r="BC410" s="17" t="n">
        <v>0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7" t="n">
        <v>0</v>
      </c>
      <c r="BI410" s="18" t="n">
        <v>0</v>
      </c>
      <c r="BJ410" s="16" t="n">
        <v>128</v>
      </c>
      <c r="BK410" s="17" t="n">
        <v>0</v>
      </c>
      <c r="BL410" s="17" t="n">
        <v>0</v>
      </c>
      <c r="BM410" s="17" t="n">
        <v>0</v>
      </c>
      <c r="BN410" s="17" t="n">
        <v>128</v>
      </c>
      <c r="BO410" s="17" t="n">
        <v>0</v>
      </c>
      <c r="BP410" s="17" t="n">
        <v>0</v>
      </c>
      <c r="BQ410" s="17" t="n">
        <v>0</v>
      </c>
      <c r="BR410" s="17" t="n">
        <v>0</v>
      </c>
      <c r="BS410" s="17" t="n">
        <v>0</v>
      </c>
      <c r="BT410" s="18" t="n">
        <v>0</v>
      </c>
      <c r="BU410" s="17" t="inlineStr">
        <is>
          <t>Unclassified</t>
        </is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60</v>
      </c>
      <c r="J411" s="17" t="n">
        <v>180</v>
      </c>
      <c r="K411" s="17" t="n">
        <v>30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90</v>
      </c>
      <c r="Q411" s="18" t="n">
        <v>0</v>
      </c>
      <c r="R411" s="16" t="n">
        <v>12</v>
      </c>
      <c r="S411" s="17" t="n">
        <v>0</v>
      </c>
      <c r="T411" s="17" t="n">
        <v>2</v>
      </c>
      <c r="U411" s="17" t="n">
        <v>6</v>
      </c>
      <c r="V411" s="17" t="n">
        <v>1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3</v>
      </c>
      <c r="AB411" s="18" t="n">
        <v>0</v>
      </c>
      <c r="AC411" s="16" t="n">
        <v>0</v>
      </c>
      <c r="AD411" s="17" t="n">
        <v>12</v>
      </c>
      <c r="AE411" s="17" t="n">
        <v>10</v>
      </c>
      <c r="AF411" s="17" t="n">
        <v>6</v>
      </c>
      <c r="AG411" s="17" t="n">
        <v>11</v>
      </c>
      <c r="AH411" s="17" t="n">
        <v>12</v>
      </c>
      <c r="AI411" s="17" t="n">
        <v>12</v>
      </c>
      <c r="AJ411" s="17" t="n">
        <v>12</v>
      </c>
      <c r="AK411" s="17" t="n">
        <v>12</v>
      </c>
      <c r="AL411" s="17" t="n">
        <v>9</v>
      </c>
      <c r="AM411" s="18" t="n">
        <v>12</v>
      </c>
      <c r="AN411" s="16" t="n">
        <v>1417</v>
      </c>
      <c r="AO411" s="17" t="n">
        <v>0</v>
      </c>
      <c r="AP411" s="17" t="n">
        <v>235</v>
      </c>
      <c r="AQ411" s="17" t="n">
        <v>703</v>
      </c>
      <c r="AR411" s="17" t="n">
        <v>113</v>
      </c>
      <c r="AS411" s="17" t="n">
        <v>0</v>
      </c>
      <c r="AT411" s="17" t="n">
        <v>0</v>
      </c>
      <c r="AU411" s="17" t="n">
        <v>0</v>
      </c>
      <c r="AV411" s="17" t="n">
        <v>0</v>
      </c>
      <c r="AW411" s="17" t="n">
        <v>317</v>
      </c>
      <c r="AX411" s="18" t="n">
        <v>0</v>
      </c>
      <c r="AY411" s="16" t="n">
        <v>3852</v>
      </c>
      <c r="AZ411" s="17" t="n">
        <v>0</v>
      </c>
      <c r="BA411" s="17" t="n">
        <v>642</v>
      </c>
      <c r="BB411" s="17" t="n">
        <v>1926</v>
      </c>
      <c r="BC411" s="17" t="n">
        <v>321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963</v>
      </c>
      <c r="BI411" s="18" t="n">
        <v>0</v>
      </c>
      <c r="BJ411" s="16" t="n">
        <v>-2435</v>
      </c>
      <c r="BK411" s="17" t="n">
        <v>0</v>
      </c>
      <c r="BL411" s="17" t="n">
        <v>-407</v>
      </c>
      <c r="BM411" s="17" t="n">
        <v>-1223</v>
      </c>
      <c r="BN411" s="17" t="n">
        <v>-208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-646</v>
      </c>
      <c r="BT411" s="18" t="n">
        <v>0</v>
      </c>
      <c r="BU411" s="17" t="inlineStr">
        <is>
          <t>Branded Drug</t>
        </is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0</v>
      </c>
      <c r="J412" s="17" t="n">
        <v>1080</v>
      </c>
      <c r="K412" s="17" t="n">
        <v>270</v>
      </c>
      <c r="L412" s="17" t="n">
        <v>0</v>
      </c>
      <c r="M412" s="17" t="n">
        <v>30</v>
      </c>
      <c r="N412" s="17" t="n">
        <v>360</v>
      </c>
      <c r="O412" s="17" t="n">
        <v>0</v>
      </c>
      <c r="P412" s="17" t="n">
        <v>0</v>
      </c>
      <c r="Q412" s="18" t="n">
        <v>0</v>
      </c>
      <c r="R412" s="16" t="n">
        <v>58</v>
      </c>
      <c r="S412" s="17" t="n">
        <v>0</v>
      </c>
      <c r="T412" s="17" t="n">
        <v>0</v>
      </c>
      <c r="U412" s="17" t="n">
        <v>36</v>
      </c>
      <c r="V412" s="17" t="n">
        <v>9</v>
      </c>
      <c r="W412" s="17" t="n">
        <v>0</v>
      </c>
      <c r="X412" s="17" t="n">
        <v>1</v>
      </c>
      <c r="Y412" s="17" t="n">
        <v>12</v>
      </c>
      <c r="Z412" s="17" t="n">
        <v>0</v>
      </c>
      <c r="AA412" s="17" t="n">
        <v>0</v>
      </c>
      <c r="AB412" s="18" t="n">
        <v>0</v>
      </c>
      <c r="AC412" s="16" t="n">
        <v>-14</v>
      </c>
      <c r="AD412" s="17" t="n">
        <v>44</v>
      </c>
      <c r="AE412" s="17" t="n">
        <v>44</v>
      </c>
      <c r="AF412" s="17" t="n">
        <v>8</v>
      </c>
      <c r="AG412" s="17" t="n">
        <v>35</v>
      </c>
      <c r="AH412" s="17" t="n">
        <v>44</v>
      </c>
      <c r="AI412" s="17" t="n">
        <v>43</v>
      </c>
      <c r="AJ412" s="17" t="n">
        <v>32</v>
      </c>
      <c r="AK412" s="17" t="n">
        <v>44</v>
      </c>
      <c r="AL412" s="17" t="n">
        <v>44</v>
      </c>
      <c r="AM412" s="18" t="n">
        <v>44</v>
      </c>
      <c r="AN412" s="16" t="n">
        <v>13865</v>
      </c>
      <c r="AO412" s="17" t="n">
        <v>0</v>
      </c>
      <c r="AP412" s="17" t="n">
        <v>0</v>
      </c>
      <c r="AQ412" s="17" t="n">
        <v>7501</v>
      </c>
      <c r="AR412" s="17" t="n">
        <v>1842</v>
      </c>
      <c r="AS412" s="17" t="n">
        <v>0</v>
      </c>
      <c r="AT412" s="17" t="n">
        <v>204</v>
      </c>
      <c r="AU412" s="17" t="n">
        <v>4089</v>
      </c>
      <c r="AV412" s="17" t="n">
        <v>0</v>
      </c>
      <c r="AW412" s="17" t="n">
        <v>0</v>
      </c>
      <c r="AX412" s="18" t="n">
        <v>0</v>
      </c>
      <c r="AY412" s="16" t="n">
        <v>19720</v>
      </c>
      <c r="AZ412" s="17" t="n">
        <v>0</v>
      </c>
      <c r="BA412" s="17" t="n">
        <v>0</v>
      </c>
      <c r="BB412" s="17" t="n">
        <v>12240</v>
      </c>
      <c r="BC412" s="17" t="n">
        <v>3060</v>
      </c>
      <c r="BD412" s="17" t="n">
        <v>0</v>
      </c>
      <c r="BE412" s="17" t="n">
        <v>340</v>
      </c>
      <c r="BF412" s="17" t="n">
        <v>4080</v>
      </c>
      <c r="BG412" s="17" t="n">
        <v>0</v>
      </c>
      <c r="BH412" s="17" t="n">
        <v>0</v>
      </c>
      <c r="BI412" s="18" t="n">
        <v>0</v>
      </c>
      <c r="BJ412" s="16" t="n">
        <v>-5855</v>
      </c>
      <c r="BK412" s="17" t="n">
        <v>0</v>
      </c>
      <c r="BL412" s="17" t="n">
        <v>0</v>
      </c>
      <c r="BM412" s="17" t="n">
        <v>-4739</v>
      </c>
      <c r="BN412" s="17" t="n">
        <v>-1218</v>
      </c>
      <c r="BO412" s="17" t="n">
        <v>0</v>
      </c>
      <c r="BP412" s="17" t="n">
        <v>-136</v>
      </c>
      <c r="BQ412" s="17" t="n">
        <v>9</v>
      </c>
      <c r="BR412" s="17" t="n">
        <v>0</v>
      </c>
      <c r="BS412" s="17" t="n">
        <v>0</v>
      </c>
      <c r="BT412" s="18" t="n">
        <v>0</v>
      </c>
      <c r="BU412" s="17" t="inlineStr">
        <is>
          <t>Branded Drug</t>
        </is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0</v>
      </c>
      <c r="J413" s="17" t="n">
        <v>1380</v>
      </c>
      <c r="K413" s="17" t="n">
        <v>120</v>
      </c>
      <c r="L413" s="17" t="n">
        <v>0</v>
      </c>
      <c r="M413" s="17" t="n">
        <v>60</v>
      </c>
      <c r="N413" s="17" t="n">
        <v>270</v>
      </c>
      <c r="O413" s="17" t="n">
        <v>0</v>
      </c>
      <c r="P413" s="17" t="n">
        <v>0</v>
      </c>
      <c r="Q413" s="18" t="n">
        <v>0</v>
      </c>
      <c r="R413" s="16" t="n">
        <v>61</v>
      </c>
      <c r="S413" s="17" t="n">
        <v>0</v>
      </c>
      <c r="T413" s="17" t="n">
        <v>0</v>
      </c>
      <c r="U413" s="17" t="n">
        <v>46</v>
      </c>
      <c r="V413" s="17" t="n">
        <v>4</v>
      </c>
      <c r="W413" s="17" t="n">
        <v>0</v>
      </c>
      <c r="X413" s="17" t="n">
        <v>2</v>
      </c>
      <c r="Y413" s="17" t="n">
        <v>9</v>
      </c>
      <c r="Z413" s="17" t="n">
        <v>0</v>
      </c>
      <c r="AA413" s="17" t="n">
        <v>0</v>
      </c>
      <c r="AB413" s="18" t="n">
        <v>0</v>
      </c>
      <c r="AC413" s="16" t="n">
        <v>2</v>
      </c>
      <c r="AD413" s="17" t="n">
        <v>63</v>
      </c>
      <c r="AE413" s="17" t="n">
        <v>63</v>
      </c>
      <c r="AF413" s="17" t="n">
        <v>17</v>
      </c>
      <c r="AG413" s="17" t="n">
        <v>59</v>
      </c>
      <c r="AH413" s="17" t="n">
        <v>63</v>
      </c>
      <c r="AI413" s="17" t="n">
        <v>61</v>
      </c>
      <c r="AJ413" s="17" t="n">
        <v>54</v>
      </c>
      <c r="AK413" s="17" t="n">
        <v>63</v>
      </c>
      <c r="AL413" s="17" t="n">
        <v>63</v>
      </c>
      <c r="AM413" s="18" t="n">
        <v>63</v>
      </c>
      <c r="AN413" s="16" t="n">
        <v>14457</v>
      </c>
      <c r="AO413" s="17" t="n">
        <v>0</v>
      </c>
      <c r="AP413" s="17" t="n">
        <v>0</v>
      </c>
      <c r="AQ413" s="17" t="n">
        <v>9784</v>
      </c>
      <c r="AR413" s="17" t="n">
        <v>1068</v>
      </c>
      <c r="AS413" s="17" t="n">
        <v>0</v>
      </c>
      <c r="AT413" s="17" t="n">
        <v>412</v>
      </c>
      <c r="AU413" s="17" t="n">
        <v>3053</v>
      </c>
      <c r="AV413" s="17" t="n">
        <v>0</v>
      </c>
      <c r="AW413" s="17" t="n">
        <v>0</v>
      </c>
      <c r="AX413" s="18" t="n">
        <v>0</v>
      </c>
      <c r="AY413" s="16" t="n">
        <v>20740</v>
      </c>
      <c r="AZ413" s="17" t="n">
        <v>0</v>
      </c>
      <c r="BA413" s="17" t="n">
        <v>0</v>
      </c>
      <c r="BB413" s="17" t="n">
        <v>15640</v>
      </c>
      <c r="BC413" s="17" t="n">
        <v>1360</v>
      </c>
      <c r="BD413" s="17" t="n">
        <v>0</v>
      </c>
      <c r="BE413" s="17" t="n">
        <v>680</v>
      </c>
      <c r="BF413" s="17" t="n">
        <v>3060</v>
      </c>
      <c r="BG413" s="17" t="n">
        <v>0</v>
      </c>
      <c r="BH413" s="17" t="n">
        <v>0</v>
      </c>
      <c r="BI413" s="18" t="n">
        <v>0</v>
      </c>
      <c r="BJ413" s="16" t="n">
        <v>-6283</v>
      </c>
      <c r="BK413" s="17" t="n">
        <v>0</v>
      </c>
      <c r="BL413" s="17" t="n">
        <v>0</v>
      </c>
      <c r="BM413" s="17" t="n">
        <v>-5856</v>
      </c>
      <c r="BN413" s="17" t="n">
        <v>-292</v>
      </c>
      <c r="BO413" s="17" t="n">
        <v>0</v>
      </c>
      <c r="BP413" s="17" t="n">
        <v>-268</v>
      </c>
      <c r="BQ413" s="17" t="n">
        <v>-7</v>
      </c>
      <c r="BR413" s="17" t="n">
        <v>0</v>
      </c>
      <c r="BS413" s="17" t="n">
        <v>0</v>
      </c>
      <c r="BT413" s="18" t="n">
        <v>0</v>
      </c>
      <c r="BU413" s="17" t="inlineStr">
        <is>
          <t>Branded Drug</t>
        </is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8</v>
      </c>
      <c r="P414" s="17" t="n">
        <v>0</v>
      </c>
      <c r="Q414" s="18" t="n">
        <v>0</v>
      </c>
      <c r="R414" s="16" t="n">
        <v>1</v>
      </c>
      <c r="S414" s="17" t="n">
        <v>0</v>
      </c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1</v>
      </c>
      <c r="AA414" s="17" t="n">
        <v>0</v>
      </c>
      <c r="AB414" s="18" t="n">
        <v>0</v>
      </c>
      <c r="AC414" s="16" t="n">
        <v>1</v>
      </c>
      <c r="AD414" s="17" t="n">
        <v>2</v>
      </c>
      <c r="AE414" s="17" t="n">
        <v>2</v>
      </c>
      <c r="AF414" s="17" t="n">
        <v>2</v>
      </c>
      <c r="AG414" s="17" t="n">
        <v>2</v>
      </c>
      <c r="AH414" s="17" t="n">
        <v>2</v>
      </c>
      <c r="AI414" s="17" t="n">
        <v>2</v>
      </c>
      <c r="AJ414" s="17" t="n">
        <v>2</v>
      </c>
      <c r="AK414" s="17" t="n">
        <v>1</v>
      </c>
      <c r="AL414" s="17" t="n">
        <v>2</v>
      </c>
      <c r="AM414" s="18" t="n">
        <v>2</v>
      </c>
      <c r="AN414" s="16" t="n">
        <v>1639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1639</v>
      </c>
      <c r="AW414" s="17" t="n">
        <v>0</v>
      </c>
      <c r="AX414" s="18" t="n">
        <v>0</v>
      </c>
      <c r="AY414" s="16" t="n">
        <v>1590</v>
      </c>
      <c r="AZ414" s="17" t="n">
        <v>0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0</v>
      </c>
      <c r="BG414" s="17" t="n">
        <v>1590</v>
      </c>
      <c r="BH414" s="17" t="n">
        <v>0</v>
      </c>
      <c r="BI414" s="18" t="n">
        <v>0</v>
      </c>
      <c r="BJ414" s="16" t="n">
        <v>49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49</v>
      </c>
      <c r="BS414" s="17" t="n">
        <v>0</v>
      </c>
      <c r="BT414" s="18" t="n">
        <v>0</v>
      </c>
      <c r="BU414" s="17" t="inlineStr">
        <is>
          <t>Branded Drug</t>
        </is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0</v>
      </c>
      <c r="J415" s="17" t="n">
        <v>30</v>
      </c>
      <c r="K415" s="17" t="n">
        <v>0</v>
      </c>
      <c r="L415" s="17" t="n">
        <v>0</v>
      </c>
      <c r="M415" s="17" t="n">
        <v>0</v>
      </c>
      <c r="N415" s="17" t="n">
        <v>30</v>
      </c>
      <c r="O415" s="17" t="n">
        <v>0</v>
      </c>
      <c r="P415" s="17" t="n">
        <v>0</v>
      </c>
      <c r="Q415" s="18" t="n">
        <v>0</v>
      </c>
      <c r="R415" s="16" t="n">
        <v>2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7" t="n">
        <v>0</v>
      </c>
      <c r="Y415" s="17" t="n">
        <v>1</v>
      </c>
      <c r="Z415" s="17" t="n">
        <v>0</v>
      </c>
      <c r="AA415" s="17" t="n">
        <v>0</v>
      </c>
      <c r="AB415" s="18" t="n">
        <v>0</v>
      </c>
      <c r="AC415" s="16" t="n">
        <v>-2</v>
      </c>
      <c r="AD415" s="17" t="n">
        <v>0</v>
      </c>
      <c r="AE415" s="17" t="n">
        <v>0</v>
      </c>
      <c r="AF415" s="17" t="n">
        <v>-1</v>
      </c>
      <c r="AG415" s="17" t="n">
        <v>0</v>
      </c>
      <c r="AH415" s="17" t="n">
        <v>0</v>
      </c>
      <c r="AI415" s="17" t="n">
        <v>0</v>
      </c>
      <c r="AJ415" s="17" t="n">
        <v>-1</v>
      </c>
      <c r="AK415" s="17" t="n">
        <v>0</v>
      </c>
      <c r="AL415" s="17" t="n">
        <v>0</v>
      </c>
      <c r="AM415" s="18" t="n">
        <v>0</v>
      </c>
      <c r="AN415" s="16" t="n">
        <v>7271</v>
      </c>
      <c r="AO415" s="17" t="n">
        <v>0</v>
      </c>
      <c r="AP415" s="17" t="n">
        <v>0</v>
      </c>
      <c r="AQ415" s="17" t="n">
        <v>3598</v>
      </c>
      <c r="AR415" s="17" t="n">
        <v>0</v>
      </c>
      <c r="AS415" s="17" t="n">
        <v>0</v>
      </c>
      <c r="AT415" s="17" t="n">
        <v>0</v>
      </c>
      <c r="AU415" s="17" t="n">
        <v>3669</v>
      </c>
      <c r="AV415" s="17" t="n">
        <v>0</v>
      </c>
      <c r="AW415" s="17" t="n">
        <v>0</v>
      </c>
      <c r="AX415" s="18" t="n">
        <v>0</v>
      </c>
      <c r="AY415" s="16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8" t="n">
        <v>0</v>
      </c>
      <c r="BJ415" s="16" t="n">
        <v>7271</v>
      </c>
      <c r="BK415" s="17" t="n">
        <v>0</v>
      </c>
      <c r="BL415" s="17" t="n">
        <v>0</v>
      </c>
      <c r="BM415" s="17" t="n">
        <v>3598</v>
      </c>
      <c r="BN415" s="17" t="n">
        <v>0</v>
      </c>
      <c r="BO415" s="17" t="n">
        <v>0</v>
      </c>
      <c r="BP415" s="17" t="n">
        <v>0</v>
      </c>
      <c r="BQ415" s="17" t="n">
        <v>3669</v>
      </c>
      <c r="BR415" s="17" t="n">
        <v>0</v>
      </c>
      <c r="BS415" s="17" t="n">
        <v>0</v>
      </c>
      <c r="BT415" s="18" t="n">
        <v>0</v>
      </c>
      <c r="BU415" s="17" t="inlineStr">
        <is>
          <t>Unclassified</t>
        </is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84</v>
      </c>
      <c r="O416" s="17" t="n">
        <v>0</v>
      </c>
      <c r="P416" s="17" t="n">
        <v>0</v>
      </c>
      <c r="Q416" s="18" t="n">
        <v>0</v>
      </c>
      <c r="R416" s="16" t="n">
        <v>0.5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0</v>
      </c>
      <c r="X416" s="17" t="n">
        <v>0</v>
      </c>
      <c r="Y416" s="17" t="n">
        <v>0.5</v>
      </c>
      <c r="Z416" s="17" t="n">
        <v>0</v>
      </c>
      <c r="AA416" s="17" t="n">
        <v>0</v>
      </c>
      <c r="AB416" s="18" t="n">
        <v>0</v>
      </c>
      <c r="AC416" s="16" t="n">
        <v>-0.5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-0.5</v>
      </c>
      <c r="AK416" s="17" t="n">
        <v>0</v>
      </c>
      <c r="AL416" s="17" t="n">
        <v>0</v>
      </c>
      <c r="AM416" s="18" t="n">
        <v>0</v>
      </c>
      <c r="AN416" s="16" t="n">
        <v>22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22</v>
      </c>
      <c r="AV416" s="17" t="n">
        <v>0</v>
      </c>
      <c r="AW416" s="17" t="n">
        <v>0</v>
      </c>
      <c r="AX416" s="18" t="n">
        <v>0</v>
      </c>
      <c r="AY416" s="16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7" t="n">
        <v>0</v>
      </c>
      <c r="BG416" s="17" t="n">
        <v>0</v>
      </c>
      <c r="BH416" s="17" t="n">
        <v>0</v>
      </c>
      <c r="BI416" s="18" t="n">
        <v>0</v>
      </c>
      <c r="BJ416" s="16" t="n">
        <v>22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22</v>
      </c>
      <c r="BR416" s="17" t="n">
        <v>0</v>
      </c>
      <c r="BS416" s="17" t="n">
        <v>0</v>
      </c>
      <c r="BT416" s="18" t="n">
        <v>0</v>
      </c>
      <c r="BU416" s="17" t="inlineStr">
        <is>
          <t>Unclassified</t>
        </is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0</v>
      </c>
      <c r="J417" s="17" t="n">
        <v>112</v>
      </c>
      <c r="K417" s="17" t="n">
        <v>0</v>
      </c>
      <c r="L417" s="17" t="n">
        <v>0</v>
      </c>
      <c r="M417" s="17" t="n">
        <v>0</v>
      </c>
      <c r="N417" s="17" t="n">
        <v>168</v>
      </c>
      <c r="O417" s="17" t="n">
        <v>0</v>
      </c>
      <c r="P417" s="17" t="n">
        <v>0</v>
      </c>
      <c r="Q417" s="18" t="n">
        <v>0</v>
      </c>
      <c r="R417" s="16" t="n">
        <v>10</v>
      </c>
      <c r="S417" s="17" t="n">
        <v>0</v>
      </c>
      <c r="T417" s="17" t="n">
        <v>0</v>
      </c>
      <c r="U417" s="17" t="n">
        <v>4</v>
      </c>
      <c r="V417" s="17" t="n">
        <v>0</v>
      </c>
      <c r="W417" s="17" t="n">
        <v>0</v>
      </c>
      <c r="X417" s="17" t="n">
        <v>0</v>
      </c>
      <c r="Y417" s="17" t="n">
        <v>6</v>
      </c>
      <c r="Z417" s="17" t="n">
        <v>0</v>
      </c>
      <c r="AA417" s="17" t="n">
        <v>0</v>
      </c>
      <c r="AB417" s="18" t="n">
        <v>0</v>
      </c>
      <c r="AC417" s="16" t="n">
        <v>-7</v>
      </c>
      <c r="AD417" s="17" t="n">
        <v>3</v>
      </c>
      <c r="AE417" s="17" t="n">
        <v>3</v>
      </c>
      <c r="AF417" s="17" t="n">
        <v>-1</v>
      </c>
      <c r="AG417" s="17" t="n">
        <v>3</v>
      </c>
      <c r="AH417" s="17" t="n">
        <v>3</v>
      </c>
      <c r="AI417" s="17" t="n">
        <v>3</v>
      </c>
      <c r="AJ417" s="17" t="n">
        <v>-3</v>
      </c>
      <c r="AK417" s="17" t="n">
        <v>3</v>
      </c>
      <c r="AL417" s="17" t="n">
        <v>3</v>
      </c>
      <c r="AM417" s="18" t="n">
        <v>3</v>
      </c>
      <c r="AN417" s="16" t="n">
        <v>66</v>
      </c>
      <c r="AO417" s="17" t="n">
        <v>0</v>
      </c>
      <c r="AP417" s="17" t="n">
        <v>0</v>
      </c>
      <c r="AQ417" s="17" t="n">
        <v>20</v>
      </c>
      <c r="AR417" s="17" t="n">
        <v>0</v>
      </c>
      <c r="AS417" s="17" t="n">
        <v>0</v>
      </c>
      <c r="AT417" s="17" t="n">
        <v>0</v>
      </c>
      <c r="AU417" s="17" t="n">
        <v>43</v>
      </c>
      <c r="AV417" s="17" t="n">
        <v>0</v>
      </c>
      <c r="AW417" s="17" t="n">
        <v>0</v>
      </c>
      <c r="AX417" s="18" t="n">
        <v>0</v>
      </c>
      <c r="AY417" s="16" t="n">
        <v>230</v>
      </c>
      <c r="AZ417" s="17" t="n">
        <v>0</v>
      </c>
      <c r="BA417" s="17" t="n">
        <v>0</v>
      </c>
      <c r="BB417" s="17" t="n">
        <v>92</v>
      </c>
      <c r="BC417" s="17" t="n">
        <v>0</v>
      </c>
      <c r="BD417" s="17" t="n">
        <v>0</v>
      </c>
      <c r="BE417" s="17" t="n">
        <v>0</v>
      </c>
      <c r="BF417" s="17" t="n">
        <v>138</v>
      </c>
      <c r="BG417" s="17" t="n">
        <v>0</v>
      </c>
      <c r="BH417" s="17" t="n">
        <v>0</v>
      </c>
      <c r="BI417" s="18" t="n">
        <v>0</v>
      </c>
      <c r="BJ417" s="16" t="n">
        <v>-164</v>
      </c>
      <c r="BK417" s="17" t="n">
        <v>0</v>
      </c>
      <c r="BL417" s="17" t="n">
        <v>0</v>
      </c>
      <c r="BM417" s="17" t="n">
        <v>-72</v>
      </c>
      <c r="BN417" s="17" t="n">
        <v>0</v>
      </c>
      <c r="BO417" s="17" t="n">
        <v>0</v>
      </c>
      <c r="BP417" s="17" t="n">
        <v>0</v>
      </c>
      <c r="BQ417" s="17" t="n">
        <v>-95</v>
      </c>
      <c r="BR417" s="17" t="n">
        <v>0</v>
      </c>
      <c r="BS417" s="17" t="n">
        <v>0</v>
      </c>
      <c r="BT417" s="18" t="n">
        <v>0</v>
      </c>
      <c r="BU417" s="17" t="inlineStr">
        <is>
          <t>Generic Drug</t>
        </is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0</v>
      </c>
      <c r="J418" s="17" t="n">
        <v>90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8" t="n">
        <v>0</v>
      </c>
      <c r="R418" s="16" t="n">
        <v>3</v>
      </c>
      <c r="S418" s="17" t="n">
        <v>0</v>
      </c>
      <c r="T418" s="17" t="n">
        <v>0</v>
      </c>
      <c r="U418" s="17" t="n">
        <v>3</v>
      </c>
      <c r="V418" s="17" t="n">
        <v>0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8" t="n">
        <v>0</v>
      </c>
      <c r="AC418" s="16" t="n">
        <v>7</v>
      </c>
      <c r="AD418" s="17" t="n">
        <v>10</v>
      </c>
      <c r="AE418" s="17" t="n">
        <v>10</v>
      </c>
      <c r="AF418" s="17" t="n">
        <v>7</v>
      </c>
      <c r="AG418" s="17" t="n">
        <v>10</v>
      </c>
      <c r="AH418" s="17" t="n">
        <v>10</v>
      </c>
      <c r="AI418" s="17" t="n">
        <v>10</v>
      </c>
      <c r="AJ418" s="17" t="n">
        <v>10</v>
      </c>
      <c r="AK418" s="17" t="n">
        <v>10</v>
      </c>
      <c r="AL418" s="17" t="n">
        <v>10</v>
      </c>
      <c r="AM418" s="18" t="n">
        <v>10</v>
      </c>
      <c r="AN418" s="16" t="n">
        <v>2009</v>
      </c>
      <c r="AO418" s="17" t="n">
        <v>0</v>
      </c>
      <c r="AP418" s="17" t="n">
        <v>0</v>
      </c>
      <c r="AQ418" s="17" t="n">
        <v>2009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8" t="n">
        <v>0</v>
      </c>
      <c r="AY418" s="16" t="n">
        <v>2088</v>
      </c>
      <c r="AZ418" s="17" t="n">
        <v>0</v>
      </c>
      <c r="BA418" s="17" t="n">
        <v>0</v>
      </c>
      <c r="BB418" s="17" t="n">
        <v>2088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8" t="n">
        <v>0</v>
      </c>
      <c r="BJ418" s="16" t="n">
        <v>-79</v>
      </c>
      <c r="BK418" s="17" t="n">
        <v>0</v>
      </c>
      <c r="BL418" s="17" t="n">
        <v>0</v>
      </c>
      <c r="BM418" s="17" t="n">
        <v>-79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8" t="n">
        <v>0</v>
      </c>
      <c r="BU418" s="17" t="inlineStr">
        <is>
          <t>Branded Drug</t>
        </is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90</v>
      </c>
      <c r="O419" s="17" t="n">
        <v>0</v>
      </c>
      <c r="P419" s="17" t="n">
        <v>0</v>
      </c>
      <c r="Q419" s="18" t="n">
        <v>0</v>
      </c>
      <c r="R419" s="16" t="n">
        <v>3</v>
      </c>
      <c r="S419" s="17" t="n">
        <v>0</v>
      </c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3</v>
      </c>
      <c r="Z419" s="17" t="n">
        <v>0</v>
      </c>
      <c r="AA419" s="17" t="n">
        <v>0</v>
      </c>
      <c r="AB419" s="18" t="n">
        <v>0</v>
      </c>
      <c r="AC419" s="16" t="n">
        <v>-3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-3</v>
      </c>
      <c r="AK419" s="17" t="n">
        <v>0</v>
      </c>
      <c r="AL419" s="17" t="n">
        <v>0</v>
      </c>
      <c r="AM419" s="18" t="n">
        <v>0</v>
      </c>
      <c r="AN419" s="16" t="n">
        <v>55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55</v>
      </c>
      <c r="AV419" s="17" t="n">
        <v>0</v>
      </c>
      <c r="AW419" s="17" t="n">
        <v>0</v>
      </c>
      <c r="AX419" s="18" t="n">
        <v>0</v>
      </c>
      <c r="AY419" s="16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8" t="n">
        <v>0</v>
      </c>
      <c r="BJ419" s="16" t="n">
        <v>55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55</v>
      </c>
      <c r="BR419" s="17" t="n">
        <v>0</v>
      </c>
      <c r="BS419" s="17" t="n">
        <v>0</v>
      </c>
      <c r="BT419" s="18" t="n">
        <v>0</v>
      </c>
      <c r="BU419" s="17" t="inlineStr">
        <is>
          <t>Unclassified</t>
        </is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0</v>
      </c>
      <c r="J420" s="17" t="n">
        <v>1200</v>
      </c>
      <c r="K420" s="17" t="n">
        <v>360</v>
      </c>
      <c r="L420" s="17" t="n">
        <v>0</v>
      </c>
      <c r="M420" s="17" t="n">
        <v>0</v>
      </c>
      <c r="N420" s="17" t="n">
        <v>600</v>
      </c>
      <c r="O420" s="17" t="n">
        <v>120</v>
      </c>
      <c r="P420" s="17" t="n">
        <v>0</v>
      </c>
      <c r="Q420" s="18" t="n">
        <v>0</v>
      </c>
      <c r="R420" s="16" t="n">
        <v>19</v>
      </c>
      <c r="S420" s="17" t="n">
        <v>0</v>
      </c>
      <c r="T420" s="17" t="n">
        <v>0</v>
      </c>
      <c r="U420" s="17" t="n">
        <v>10</v>
      </c>
      <c r="V420" s="17" t="n">
        <v>3</v>
      </c>
      <c r="W420" s="17" t="n">
        <v>0</v>
      </c>
      <c r="X420" s="17" t="n">
        <v>0</v>
      </c>
      <c r="Y420" s="17" t="n">
        <v>5</v>
      </c>
      <c r="Z420" s="17" t="n">
        <v>1</v>
      </c>
      <c r="AA420" s="17" t="n">
        <v>0</v>
      </c>
      <c r="AB420" s="18" t="n">
        <v>0</v>
      </c>
      <c r="AC420" s="16" t="n">
        <v>-13</v>
      </c>
      <c r="AD420" s="17" t="n">
        <v>6</v>
      </c>
      <c r="AE420" s="17" t="n">
        <v>6</v>
      </c>
      <c r="AF420" s="17" t="n">
        <v>-4</v>
      </c>
      <c r="AG420" s="17" t="n">
        <v>3</v>
      </c>
      <c r="AH420" s="17" t="n">
        <v>6</v>
      </c>
      <c r="AI420" s="17" t="n">
        <v>6</v>
      </c>
      <c r="AJ420" s="17" t="n">
        <v>1</v>
      </c>
      <c r="AK420" s="17" t="n">
        <v>5</v>
      </c>
      <c r="AL420" s="17" t="n">
        <v>6</v>
      </c>
      <c r="AM420" s="18" t="n">
        <v>6</v>
      </c>
      <c r="AN420" s="16" t="n">
        <v>208</v>
      </c>
      <c r="AO420" s="17" t="n">
        <v>0</v>
      </c>
      <c r="AP420" s="17" t="n">
        <v>0</v>
      </c>
      <c r="AQ420" s="17" t="n">
        <v>54</v>
      </c>
      <c r="AR420" s="17" t="n">
        <v>27</v>
      </c>
      <c r="AS420" s="17" t="n">
        <v>0</v>
      </c>
      <c r="AT420" s="17" t="n">
        <v>0</v>
      </c>
      <c r="AU420" s="17" t="n">
        <v>100</v>
      </c>
      <c r="AV420" s="17" t="n">
        <v>12</v>
      </c>
      <c r="AW420" s="17" t="n">
        <v>0</v>
      </c>
      <c r="AX420" s="18" t="n">
        <v>0</v>
      </c>
      <c r="AY420" s="16" t="n">
        <v>133</v>
      </c>
      <c r="AZ420" s="17" t="n">
        <v>0</v>
      </c>
      <c r="BA420" s="17" t="n">
        <v>0</v>
      </c>
      <c r="BB420" s="17" t="n">
        <v>70</v>
      </c>
      <c r="BC420" s="17" t="n">
        <v>21</v>
      </c>
      <c r="BD420" s="17" t="n">
        <v>0</v>
      </c>
      <c r="BE420" s="17" t="n">
        <v>0</v>
      </c>
      <c r="BF420" s="17" t="n">
        <v>35</v>
      </c>
      <c r="BG420" s="17" t="n">
        <v>7</v>
      </c>
      <c r="BH420" s="17" t="n">
        <v>0</v>
      </c>
      <c r="BI420" s="18" t="n">
        <v>0</v>
      </c>
      <c r="BJ420" s="16" t="n">
        <v>75</v>
      </c>
      <c r="BK420" s="17" t="n">
        <v>0</v>
      </c>
      <c r="BL420" s="17" t="n">
        <v>0</v>
      </c>
      <c r="BM420" s="17" t="n">
        <v>-16</v>
      </c>
      <c r="BN420" s="17" t="n">
        <v>6</v>
      </c>
      <c r="BO420" s="17" t="n">
        <v>0</v>
      </c>
      <c r="BP420" s="17" t="n">
        <v>0</v>
      </c>
      <c r="BQ420" s="17" t="n">
        <v>65</v>
      </c>
      <c r="BR420" s="17" t="n">
        <v>5</v>
      </c>
      <c r="BS420" s="17" t="n">
        <v>0</v>
      </c>
      <c r="BT420" s="18" t="n">
        <v>0</v>
      </c>
      <c r="BU420" s="17" t="inlineStr">
        <is>
          <t>Generic Drug</t>
        </is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0</v>
      </c>
      <c r="J421" s="17" t="n">
        <v>60</v>
      </c>
      <c r="K421" s="17" t="n">
        <v>60</v>
      </c>
      <c r="L421" s="17" t="n">
        <v>0</v>
      </c>
      <c r="M421" s="17" t="n">
        <v>0</v>
      </c>
      <c r="N421" s="17" t="n">
        <v>180</v>
      </c>
      <c r="O421" s="17" t="n">
        <v>0</v>
      </c>
      <c r="P421" s="17" t="n">
        <v>0</v>
      </c>
      <c r="Q421" s="18" t="n">
        <v>0</v>
      </c>
      <c r="R421" s="16" t="n">
        <v>5</v>
      </c>
      <c r="S421" s="17" t="n">
        <v>0</v>
      </c>
      <c r="T421" s="17" t="n">
        <v>0</v>
      </c>
      <c r="U421" s="17" t="n">
        <v>1</v>
      </c>
      <c r="V421" s="17" t="n">
        <v>1</v>
      </c>
      <c r="W421" s="17" t="n">
        <v>0</v>
      </c>
      <c r="X421" s="17" t="n">
        <v>0</v>
      </c>
      <c r="Y421" s="17" t="n">
        <v>3</v>
      </c>
      <c r="Z421" s="17" t="n">
        <v>0</v>
      </c>
      <c r="AA421" s="17" t="n">
        <v>0</v>
      </c>
      <c r="AB421" s="18" t="n">
        <v>0</v>
      </c>
      <c r="AC421" s="16" t="n">
        <v>-5</v>
      </c>
      <c r="AD421" s="17" t="n">
        <v>0</v>
      </c>
      <c r="AE421" s="17" t="n">
        <v>0</v>
      </c>
      <c r="AF421" s="17" t="n">
        <v>-1</v>
      </c>
      <c r="AG421" s="17" t="n">
        <v>-1</v>
      </c>
      <c r="AH421" s="17" t="n">
        <v>0</v>
      </c>
      <c r="AI421" s="17" t="n">
        <v>0</v>
      </c>
      <c r="AJ421" s="17" t="n">
        <v>-3</v>
      </c>
      <c r="AK421" s="17" t="n">
        <v>0</v>
      </c>
      <c r="AL421" s="17" t="n">
        <v>0</v>
      </c>
      <c r="AM421" s="18" t="n">
        <v>0</v>
      </c>
      <c r="AN421" s="16" t="n">
        <v>119</v>
      </c>
      <c r="AO421" s="17" t="n">
        <v>0</v>
      </c>
      <c r="AP421" s="17" t="n">
        <v>0</v>
      </c>
      <c r="AQ421" s="17" t="n">
        <v>40</v>
      </c>
      <c r="AR421" s="17" t="n">
        <v>4</v>
      </c>
      <c r="AS421" s="17" t="n">
        <v>0</v>
      </c>
      <c r="AT421" s="17" t="n">
        <v>0</v>
      </c>
      <c r="AU421" s="17" t="n">
        <v>63</v>
      </c>
      <c r="AV421" s="17" t="n">
        <v>0</v>
      </c>
      <c r="AW421" s="17" t="n">
        <v>0</v>
      </c>
      <c r="AX421" s="18" t="n">
        <v>0</v>
      </c>
      <c r="AY421" s="16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8" t="n">
        <v>0</v>
      </c>
      <c r="BJ421" s="16" t="n">
        <v>119</v>
      </c>
      <c r="BK421" s="17" t="n">
        <v>0</v>
      </c>
      <c r="BL421" s="17" t="n">
        <v>0</v>
      </c>
      <c r="BM421" s="17" t="n">
        <v>40</v>
      </c>
      <c r="BN421" s="17" t="n">
        <v>4</v>
      </c>
      <c r="BO421" s="17" t="n">
        <v>0</v>
      </c>
      <c r="BP421" s="17" t="n">
        <v>0</v>
      </c>
      <c r="BQ421" s="17" t="n">
        <v>63</v>
      </c>
      <c r="BR421" s="17" t="n">
        <v>0</v>
      </c>
      <c r="BS421" s="17" t="n">
        <v>0</v>
      </c>
      <c r="BT421" s="18" t="n">
        <v>0</v>
      </c>
      <c r="BU421" s="17" t="inlineStr">
        <is>
          <t>Unclassified</t>
        </is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0</v>
      </c>
      <c r="J422" s="17" t="n">
        <v>35</v>
      </c>
      <c r="K422" s="17" t="n">
        <v>0</v>
      </c>
      <c r="L422" s="17" t="n">
        <v>0</v>
      </c>
      <c r="M422" s="17" t="n">
        <v>0</v>
      </c>
      <c r="N422" s="17" t="n">
        <v>5</v>
      </c>
      <c r="O422" s="17" t="n">
        <v>0</v>
      </c>
      <c r="P422" s="17" t="n">
        <v>0</v>
      </c>
      <c r="Q422" s="18" t="n">
        <v>0</v>
      </c>
      <c r="R422" s="16" t="n">
        <v>8</v>
      </c>
      <c r="S422" s="17" t="n">
        <v>0</v>
      </c>
      <c r="T422" s="17" t="n">
        <v>0</v>
      </c>
      <c r="U422" s="17" t="n">
        <v>7</v>
      </c>
      <c r="V422" s="17" t="n">
        <v>0</v>
      </c>
      <c r="W422" s="17" t="n">
        <v>0</v>
      </c>
      <c r="X422" s="17" t="n">
        <v>0</v>
      </c>
      <c r="Y422" s="17" t="n">
        <v>1</v>
      </c>
      <c r="Z422" s="17" t="n">
        <v>0</v>
      </c>
      <c r="AA422" s="17" t="n">
        <v>0</v>
      </c>
      <c r="AB422" s="18" t="n">
        <v>0</v>
      </c>
      <c r="AC422" s="16" t="n">
        <v>-8</v>
      </c>
      <c r="AD422" s="17" t="n">
        <v>0</v>
      </c>
      <c r="AE422" s="17" t="n">
        <v>0</v>
      </c>
      <c r="AF422" s="17" t="n">
        <v>-7</v>
      </c>
      <c r="AG422" s="17" t="n">
        <v>0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8" t="n">
        <v>0</v>
      </c>
      <c r="AN422" s="16" t="n">
        <v>102</v>
      </c>
      <c r="AO422" s="17" t="n">
        <v>0</v>
      </c>
      <c r="AP422" s="17" t="n">
        <v>0</v>
      </c>
      <c r="AQ422" s="17" t="n">
        <v>79</v>
      </c>
      <c r="AR422" s="17" t="n">
        <v>0</v>
      </c>
      <c r="AS422" s="17" t="n">
        <v>0</v>
      </c>
      <c r="AT422" s="17" t="n">
        <v>0</v>
      </c>
      <c r="AU422" s="17" t="n">
        <v>18</v>
      </c>
      <c r="AV422" s="17" t="n">
        <v>0</v>
      </c>
      <c r="AW422" s="17" t="n">
        <v>0</v>
      </c>
      <c r="AX422" s="18" t="n">
        <v>0</v>
      </c>
      <c r="AY422" s="16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7" t="n">
        <v>0</v>
      </c>
      <c r="BG422" s="17" t="n">
        <v>0</v>
      </c>
      <c r="BH422" s="17" t="n">
        <v>0</v>
      </c>
      <c r="BI422" s="18" t="n">
        <v>0</v>
      </c>
      <c r="BJ422" s="16" t="n">
        <v>102</v>
      </c>
      <c r="BK422" s="17" t="n">
        <v>0</v>
      </c>
      <c r="BL422" s="17" t="n">
        <v>0</v>
      </c>
      <c r="BM422" s="17" t="n">
        <v>79</v>
      </c>
      <c r="BN422" s="17" t="n">
        <v>0</v>
      </c>
      <c r="BO422" s="17" t="n">
        <v>0</v>
      </c>
      <c r="BP422" s="17" t="n">
        <v>0</v>
      </c>
      <c r="BQ422" s="17" t="n">
        <v>18</v>
      </c>
      <c r="BR422" s="17" t="n">
        <v>0</v>
      </c>
      <c r="BS422" s="17" t="n">
        <v>0</v>
      </c>
      <c r="BT422" s="18" t="n">
        <v>0</v>
      </c>
      <c r="BU422" s="17" t="inlineStr">
        <is>
          <t>Unclassified</t>
        </is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0</v>
      </c>
      <c r="K423" s="17" t="n">
        <v>10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8" t="n">
        <v>0</v>
      </c>
      <c r="R423" s="16" t="n">
        <v>1</v>
      </c>
      <c r="S423" s="17" t="n">
        <v>0</v>
      </c>
      <c r="T423" s="17" t="n">
        <v>0</v>
      </c>
      <c r="U423" s="17" t="n">
        <v>0</v>
      </c>
      <c r="V423" s="17" t="n">
        <v>1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8" t="n">
        <v>0</v>
      </c>
      <c r="AC423" s="16" t="n">
        <v>4</v>
      </c>
      <c r="AD423" s="17" t="n">
        <v>5</v>
      </c>
      <c r="AE423" s="17" t="n">
        <v>5</v>
      </c>
      <c r="AF423" s="17" t="n">
        <v>5</v>
      </c>
      <c r="AG423" s="17" t="n">
        <v>4</v>
      </c>
      <c r="AH423" s="17" t="n">
        <v>5</v>
      </c>
      <c r="AI423" s="17" t="n">
        <v>5</v>
      </c>
      <c r="AJ423" s="17" t="n">
        <v>5</v>
      </c>
      <c r="AK423" s="17" t="n">
        <v>5</v>
      </c>
      <c r="AL423" s="17" t="n">
        <v>5</v>
      </c>
      <c r="AM423" s="18" t="n">
        <v>5</v>
      </c>
      <c r="AN423" s="16" t="n">
        <v>13</v>
      </c>
      <c r="AO423" s="17" t="n">
        <v>0</v>
      </c>
      <c r="AP423" s="17" t="n">
        <v>0</v>
      </c>
      <c r="AQ423" s="17" t="n">
        <v>0</v>
      </c>
      <c r="AR423" s="17" t="n">
        <v>8</v>
      </c>
      <c r="AS423" s="17" t="n">
        <v>0</v>
      </c>
      <c r="AT423" s="17" t="n">
        <v>0</v>
      </c>
      <c r="AU423" s="17" t="n">
        <v>0</v>
      </c>
      <c r="AV423" s="17" t="n">
        <v>0</v>
      </c>
      <c r="AW423" s="17" t="n">
        <v>0</v>
      </c>
      <c r="AX423" s="18" t="n">
        <v>0</v>
      </c>
      <c r="AY423" s="16" t="n">
        <v>10</v>
      </c>
      <c r="AZ423" s="17" t="n">
        <v>0</v>
      </c>
      <c r="BA423" s="17" t="n">
        <v>0</v>
      </c>
      <c r="BB423" s="17" t="n">
        <v>0</v>
      </c>
      <c r="BC423" s="17" t="n">
        <v>10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8" t="n">
        <v>0</v>
      </c>
      <c r="BJ423" s="16" t="n">
        <v>3</v>
      </c>
      <c r="BK423" s="17" t="n">
        <v>0</v>
      </c>
      <c r="BL423" s="17" t="n">
        <v>0</v>
      </c>
      <c r="BM423" s="17" t="n">
        <v>0</v>
      </c>
      <c r="BN423" s="17" t="n">
        <v>-2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8" t="n">
        <v>0</v>
      </c>
      <c r="BU423" s="17" t="inlineStr">
        <is>
          <t>Generic Drug</t>
        </is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0</v>
      </c>
      <c r="J424" s="17" t="n">
        <v>4</v>
      </c>
      <c r="K424" s="17" t="n">
        <v>0</v>
      </c>
      <c r="L424" s="17" t="n">
        <v>0</v>
      </c>
      <c r="M424" s="17" t="n">
        <v>2</v>
      </c>
      <c r="N424" s="17" t="n">
        <v>6</v>
      </c>
      <c r="O424" s="17" t="n">
        <v>2</v>
      </c>
      <c r="P424" s="17" t="n">
        <v>0</v>
      </c>
      <c r="Q424" s="18" t="n">
        <v>0</v>
      </c>
      <c r="R424" s="16" t="n">
        <v>7</v>
      </c>
      <c r="S424" s="17" t="n">
        <v>0</v>
      </c>
      <c r="T424" s="17" t="n">
        <v>0</v>
      </c>
      <c r="U424" s="17" t="n">
        <v>2</v>
      </c>
      <c r="V424" s="17" t="n">
        <v>0</v>
      </c>
      <c r="W424" s="17" t="n">
        <v>0</v>
      </c>
      <c r="X424" s="17" t="n">
        <v>1</v>
      </c>
      <c r="Y424" s="17" t="n">
        <v>3</v>
      </c>
      <c r="Z424" s="17" t="n">
        <v>1</v>
      </c>
      <c r="AA424" s="17" t="n">
        <v>0</v>
      </c>
      <c r="AB424" s="18" t="n">
        <v>0</v>
      </c>
      <c r="AC424" s="16" t="n">
        <v>-4</v>
      </c>
      <c r="AD424" s="17" t="n">
        <v>3</v>
      </c>
      <c r="AE424" s="17" t="n">
        <v>3</v>
      </c>
      <c r="AF424" s="17" t="n">
        <v>1</v>
      </c>
      <c r="AG424" s="17" t="n">
        <v>3</v>
      </c>
      <c r="AH424" s="17" t="n">
        <v>3</v>
      </c>
      <c r="AI424" s="17" t="n">
        <v>2</v>
      </c>
      <c r="AJ424" s="17" t="n">
        <v>0</v>
      </c>
      <c r="AK424" s="17" t="n">
        <v>2</v>
      </c>
      <c r="AL424" s="17" t="n">
        <v>3</v>
      </c>
      <c r="AM424" s="18" t="n">
        <v>3</v>
      </c>
      <c r="AN424" s="16" t="n">
        <v>873</v>
      </c>
      <c r="AO424" s="17" t="n">
        <v>0</v>
      </c>
      <c r="AP424" s="17" t="n">
        <v>0</v>
      </c>
      <c r="AQ424" s="17" t="n">
        <v>229</v>
      </c>
      <c r="AR424" s="17" t="n">
        <v>0</v>
      </c>
      <c r="AS424" s="17" t="n">
        <v>0</v>
      </c>
      <c r="AT424" s="17" t="n">
        <v>119</v>
      </c>
      <c r="AU424" s="17" t="n">
        <v>387</v>
      </c>
      <c r="AV424" s="17" t="n">
        <v>126</v>
      </c>
      <c r="AW424" s="17" t="n">
        <v>0</v>
      </c>
      <c r="AX424" s="18" t="n">
        <v>0</v>
      </c>
      <c r="AY424" s="16" t="n">
        <v>854</v>
      </c>
      <c r="AZ424" s="17" t="n">
        <v>0</v>
      </c>
      <c r="BA424" s="17" t="n">
        <v>0</v>
      </c>
      <c r="BB424" s="17" t="n">
        <v>244</v>
      </c>
      <c r="BC424" s="17" t="n">
        <v>0</v>
      </c>
      <c r="BD424" s="17" t="n">
        <v>0</v>
      </c>
      <c r="BE424" s="17" t="n">
        <v>122</v>
      </c>
      <c r="BF424" s="17" t="n">
        <v>366</v>
      </c>
      <c r="BG424" s="17" t="n">
        <v>122</v>
      </c>
      <c r="BH424" s="17" t="n">
        <v>0</v>
      </c>
      <c r="BI424" s="18" t="n">
        <v>0</v>
      </c>
      <c r="BJ424" s="16" t="n">
        <v>19</v>
      </c>
      <c r="BK424" s="17" t="n">
        <v>0</v>
      </c>
      <c r="BL424" s="17" t="n">
        <v>0</v>
      </c>
      <c r="BM424" s="17" t="n">
        <v>-15</v>
      </c>
      <c r="BN424" s="17" t="n">
        <v>0</v>
      </c>
      <c r="BO424" s="17" t="n">
        <v>0</v>
      </c>
      <c r="BP424" s="17" t="n">
        <v>-3</v>
      </c>
      <c r="BQ424" s="17" t="n">
        <v>21</v>
      </c>
      <c r="BR424" s="17" t="n">
        <v>4</v>
      </c>
      <c r="BS424" s="17" t="n">
        <v>0</v>
      </c>
      <c r="BT424" s="18" t="n">
        <v>0</v>
      </c>
      <c r="BU424" s="17" t="inlineStr">
        <is>
          <t>Branded Drug</t>
        </is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0</v>
      </c>
      <c r="K425" s="17" t="n">
        <v>180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8" t="n">
        <v>0</v>
      </c>
      <c r="R425" s="16" t="n">
        <v>0.36</v>
      </c>
      <c r="S425" s="17" t="n">
        <v>0</v>
      </c>
      <c r="T425" s="17" t="n">
        <v>0</v>
      </c>
      <c r="U425" s="17" t="n">
        <v>0</v>
      </c>
      <c r="V425" s="17" t="n">
        <v>0.36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8" t="n">
        <v>0</v>
      </c>
      <c r="AC425" s="16" t="n">
        <v>-0.36</v>
      </c>
      <c r="AD425" s="17" t="n">
        <v>0</v>
      </c>
      <c r="AE425" s="17" t="n">
        <v>0</v>
      </c>
      <c r="AF425" s="17" t="n">
        <v>0</v>
      </c>
      <c r="AG425" s="17" t="n">
        <v>-0.36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8" t="n">
        <v>0</v>
      </c>
      <c r="AN425" s="16" t="n">
        <v>30</v>
      </c>
      <c r="AO425" s="17" t="n">
        <v>0</v>
      </c>
      <c r="AP425" s="17" t="n">
        <v>0</v>
      </c>
      <c r="AQ425" s="17" t="n">
        <v>0</v>
      </c>
      <c r="AR425" s="17" t="n">
        <v>30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8" t="n">
        <v>0</v>
      </c>
      <c r="AY425" s="16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8" t="n">
        <v>0</v>
      </c>
      <c r="BJ425" s="16" t="n">
        <v>30</v>
      </c>
      <c r="BK425" s="17" t="n">
        <v>0</v>
      </c>
      <c r="BL425" s="17" t="n">
        <v>0</v>
      </c>
      <c r="BM425" s="17" t="n">
        <v>0</v>
      </c>
      <c r="BN425" s="17" t="n">
        <v>30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8" t="n">
        <v>0</v>
      </c>
      <c r="BU425" s="17" t="inlineStr">
        <is>
          <t>Unclassified</t>
        </is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0</v>
      </c>
      <c r="K426" s="17" t="n">
        <v>180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8" t="n">
        <v>0</v>
      </c>
      <c r="R426" s="16" t="n">
        <v>1.8</v>
      </c>
      <c r="S426" s="17" t="n">
        <v>0</v>
      </c>
      <c r="T426" s="17" t="n">
        <v>0</v>
      </c>
      <c r="U426" s="17" t="n">
        <v>0</v>
      </c>
      <c r="V426" s="17" t="n">
        <v>1.8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8" t="n">
        <v>0</v>
      </c>
      <c r="AC426" s="16" t="n">
        <v>-1.8</v>
      </c>
      <c r="AD426" s="17" t="n">
        <v>0</v>
      </c>
      <c r="AE426" s="17" t="n">
        <v>0</v>
      </c>
      <c r="AF426" s="17" t="n">
        <v>0</v>
      </c>
      <c r="AG426" s="17" t="n">
        <v>-1.8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8" t="n">
        <v>0</v>
      </c>
      <c r="AN426" s="16" t="n">
        <v>56</v>
      </c>
      <c r="AO426" s="17" t="n">
        <v>0</v>
      </c>
      <c r="AP426" s="17" t="n">
        <v>0</v>
      </c>
      <c r="AQ426" s="17" t="n">
        <v>0</v>
      </c>
      <c r="AR426" s="17" t="n">
        <v>54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8" t="n">
        <v>0</v>
      </c>
      <c r="AY426" s="16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7" t="n">
        <v>0</v>
      </c>
      <c r="BI426" s="18" t="n">
        <v>0</v>
      </c>
      <c r="BJ426" s="16" t="n">
        <v>56</v>
      </c>
      <c r="BK426" s="17" t="n">
        <v>0</v>
      </c>
      <c r="BL426" s="17" t="n">
        <v>0</v>
      </c>
      <c r="BM426" s="17" t="n">
        <v>0</v>
      </c>
      <c r="BN426" s="17" t="n">
        <v>54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7" t="n">
        <v>0</v>
      </c>
      <c r="BT426" s="18" t="n">
        <v>0</v>
      </c>
      <c r="BU426" s="17" t="inlineStr">
        <is>
          <t>Unclassified</t>
        </is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240</v>
      </c>
      <c r="O427" s="17" t="n">
        <v>0</v>
      </c>
      <c r="P427" s="17" t="n">
        <v>0</v>
      </c>
      <c r="Q427" s="18" t="n">
        <v>0</v>
      </c>
      <c r="R427" s="16" t="n">
        <v>4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4</v>
      </c>
      <c r="Z427" s="17" t="n">
        <v>0</v>
      </c>
      <c r="AA427" s="17" t="n">
        <v>0</v>
      </c>
      <c r="AB427" s="18" t="n">
        <v>0</v>
      </c>
      <c r="AC427" s="16" t="n">
        <v>1</v>
      </c>
      <c r="AD427" s="17" t="n">
        <v>5</v>
      </c>
      <c r="AE427" s="17" t="n">
        <v>5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1</v>
      </c>
      <c r="AK427" s="17" t="n">
        <v>5</v>
      </c>
      <c r="AL427" s="17" t="n">
        <v>5</v>
      </c>
      <c r="AM427" s="18" t="n">
        <v>5</v>
      </c>
      <c r="AN427" s="16" t="n">
        <v>67</v>
      </c>
      <c r="AO427" s="17" t="n">
        <v>0</v>
      </c>
      <c r="AP427" s="17" t="n">
        <v>0</v>
      </c>
      <c r="AQ427" s="17" t="n">
        <v>0</v>
      </c>
      <c r="AR427" s="17" t="n">
        <v>0</v>
      </c>
      <c r="AS427" s="17" t="n">
        <v>0</v>
      </c>
      <c r="AT427" s="17" t="n">
        <v>0</v>
      </c>
      <c r="AU427" s="17" t="n">
        <v>67</v>
      </c>
      <c r="AV427" s="17" t="n">
        <v>0</v>
      </c>
      <c r="AW427" s="17" t="n">
        <v>0</v>
      </c>
      <c r="AX427" s="18" t="n">
        <v>0</v>
      </c>
      <c r="AY427" s="16" t="n">
        <v>80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80</v>
      </c>
      <c r="BG427" s="17" t="n">
        <v>0</v>
      </c>
      <c r="BH427" s="17" t="n">
        <v>0</v>
      </c>
      <c r="BI427" s="18" t="n">
        <v>0</v>
      </c>
      <c r="BJ427" s="16" t="n">
        <v>-13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-13</v>
      </c>
      <c r="BR427" s="17" t="n">
        <v>0</v>
      </c>
      <c r="BS427" s="17" t="n">
        <v>0</v>
      </c>
      <c r="BT427" s="18" t="n">
        <v>0</v>
      </c>
      <c r="BU427" s="17" t="inlineStr">
        <is>
          <t>Generic Drug</t>
        </is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0</v>
      </c>
      <c r="K428" s="17" t="n">
        <v>60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8" t="n">
        <v>0</v>
      </c>
      <c r="R428" s="16" t="n">
        <v>1</v>
      </c>
      <c r="S428" s="17" t="n">
        <v>0</v>
      </c>
      <c r="T428" s="17" t="n">
        <v>0</v>
      </c>
      <c r="U428" s="17" t="n">
        <v>0</v>
      </c>
      <c r="V428" s="17" t="n">
        <v>1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8" t="n">
        <v>0</v>
      </c>
      <c r="AC428" s="16" t="n">
        <v>-1</v>
      </c>
      <c r="AD428" s="17" t="n">
        <v>0</v>
      </c>
      <c r="AE428" s="17" t="n">
        <v>0</v>
      </c>
      <c r="AF428" s="17" t="n">
        <v>0</v>
      </c>
      <c r="AG428" s="17" t="n">
        <v>-1</v>
      </c>
      <c r="AH428" s="17" t="n">
        <v>0</v>
      </c>
      <c r="AI428" s="17" t="n">
        <v>0</v>
      </c>
      <c r="AJ428" s="17" t="n">
        <v>0</v>
      </c>
      <c r="AK428" s="17" t="n">
        <v>0</v>
      </c>
      <c r="AL428" s="17" t="n">
        <v>0</v>
      </c>
      <c r="AM428" s="18" t="n">
        <v>0</v>
      </c>
      <c r="AN428" s="16" t="n">
        <v>17</v>
      </c>
      <c r="AO428" s="17" t="n">
        <v>0</v>
      </c>
      <c r="AP428" s="17" t="n">
        <v>0</v>
      </c>
      <c r="AQ428" s="17" t="n">
        <v>0</v>
      </c>
      <c r="AR428" s="17" t="n">
        <v>17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8" t="n">
        <v>0</v>
      </c>
      <c r="AY428" s="16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7" t="n">
        <v>0</v>
      </c>
      <c r="BI428" s="18" t="n">
        <v>0</v>
      </c>
      <c r="BJ428" s="16" t="n">
        <v>17</v>
      </c>
      <c r="BK428" s="17" t="n">
        <v>0</v>
      </c>
      <c r="BL428" s="17" t="n">
        <v>0</v>
      </c>
      <c r="BM428" s="17" t="n">
        <v>0</v>
      </c>
      <c r="BN428" s="17" t="n">
        <v>17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7" t="n">
        <v>0</v>
      </c>
      <c r="BT428" s="18" t="n">
        <v>0</v>
      </c>
      <c r="BU428" s="17" t="inlineStr">
        <is>
          <t>Unclassified</t>
        </is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120</v>
      </c>
      <c r="O429" s="17" t="n">
        <v>0</v>
      </c>
      <c r="P429" s="17" t="n">
        <v>0</v>
      </c>
      <c r="Q429" s="18" t="n">
        <v>0</v>
      </c>
      <c r="R429" s="16" t="n">
        <v>2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2</v>
      </c>
      <c r="Z429" s="17" t="n">
        <v>0</v>
      </c>
      <c r="AA429" s="17" t="n">
        <v>0</v>
      </c>
      <c r="AB429" s="18" t="n">
        <v>0</v>
      </c>
      <c r="AC429" s="16" t="n">
        <v>2</v>
      </c>
      <c r="AD429" s="17" t="n">
        <v>4</v>
      </c>
      <c r="AE429" s="17" t="n">
        <v>4</v>
      </c>
      <c r="AF429" s="17" t="n">
        <v>4</v>
      </c>
      <c r="AG429" s="17" t="n">
        <v>4</v>
      </c>
      <c r="AH429" s="17" t="n">
        <v>4</v>
      </c>
      <c r="AI429" s="17" t="n">
        <v>4</v>
      </c>
      <c r="AJ429" s="17" t="n">
        <v>2</v>
      </c>
      <c r="AK429" s="17" t="n">
        <v>4</v>
      </c>
      <c r="AL429" s="17" t="n">
        <v>4</v>
      </c>
      <c r="AM429" s="18" t="n">
        <v>4</v>
      </c>
      <c r="AN429" s="16" t="n">
        <v>46</v>
      </c>
      <c r="AO429" s="17" t="n">
        <v>0</v>
      </c>
      <c r="AP429" s="17" t="n">
        <v>0</v>
      </c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46</v>
      </c>
      <c r="AV429" s="17" t="n">
        <v>0</v>
      </c>
      <c r="AW429" s="17" t="n">
        <v>0</v>
      </c>
      <c r="AX429" s="18" t="n">
        <v>0</v>
      </c>
      <c r="AY429" s="16" t="n">
        <v>60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60</v>
      </c>
      <c r="BG429" s="17" t="n">
        <v>0</v>
      </c>
      <c r="BH429" s="17" t="n">
        <v>0</v>
      </c>
      <c r="BI429" s="18" t="n">
        <v>0</v>
      </c>
      <c r="BJ429" s="16" t="n">
        <v>-14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-14</v>
      </c>
      <c r="BR429" s="17" t="n">
        <v>0</v>
      </c>
      <c r="BS429" s="17" t="n">
        <v>0</v>
      </c>
      <c r="BT429" s="18" t="n">
        <v>0</v>
      </c>
      <c r="BU429" s="17" t="inlineStr">
        <is>
          <t>Generic Drug</t>
        </is>
      </c>
    </row>
    <row r="430" ht="20" customHeight="1">
      <c r="A430" s="15" t="inlineStr">
        <is>
          <t>00121087316</t>
        </is>
      </c>
      <c r="B430" s="15" t="inlineStr">
        <is>
          <t>LACTULOSE 10 GM/15ML ORAL SOLUTION</t>
        </is>
      </c>
      <c r="C430" s="16" t="n">
        <v>473</v>
      </c>
      <c r="D430" s="16" t="n">
        <v>0</v>
      </c>
      <c r="E430" s="16" t="n">
        <v>0</v>
      </c>
      <c r="F430" s="16" t="n">
        <v>0</v>
      </c>
      <c r="G430" s="16" t="n">
        <v>473</v>
      </c>
      <c r="H430" s="17" t="n">
        <v>0</v>
      </c>
      <c r="I430" s="17" t="n">
        <v>0</v>
      </c>
      <c r="J430" s="17" t="n">
        <v>473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8" t="n">
        <v>0</v>
      </c>
      <c r="R430" s="16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8" t="n">
        <v>0</v>
      </c>
      <c r="AC430" s="16" t="n">
        <v>-1</v>
      </c>
      <c r="AD430" s="17" t="n">
        <v>0</v>
      </c>
      <c r="AE430" s="17" t="n">
        <v>0</v>
      </c>
      <c r="AF430" s="17" t="n">
        <v>-1</v>
      </c>
      <c r="AG430" s="17" t="n">
        <v>0</v>
      </c>
      <c r="AH430" s="17" t="n">
        <v>0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8" t="n">
        <v>0</v>
      </c>
      <c r="AN430" s="16" t="n">
        <v>11</v>
      </c>
      <c r="AO430" s="17" t="n">
        <v>0</v>
      </c>
      <c r="AP430" s="17" t="n">
        <v>0</v>
      </c>
      <c r="AQ430" s="17" t="n">
        <v>9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8" t="n">
        <v>0</v>
      </c>
      <c r="AY430" s="16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7" t="n">
        <v>0</v>
      </c>
      <c r="BG430" s="17" t="n">
        <v>0</v>
      </c>
      <c r="BH430" s="17" t="n">
        <v>0</v>
      </c>
      <c r="BI430" s="18" t="n">
        <v>0</v>
      </c>
      <c r="BJ430" s="16" t="n">
        <v>11</v>
      </c>
      <c r="BK430" s="17" t="n">
        <v>0</v>
      </c>
      <c r="BL430" s="17" t="n">
        <v>0</v>
      </c>
      <c r="BM430" s="17" t="n">
        <v>9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7" t="n">
        <v>0</v>
      </c>
      <c r="BT430" s="18" t="n">
        <v>0</v>
      </c>
      <c r="BU430" s="17" t="inlineStr">
        <is>
          <t>Unclassified</t>
        </is>
      </c>
    </row>
    <row r="431" ht="20" customHeight="1">
      <c r="A431" s="15" t="inlineStr">
        <is>
          <t>00116400516</t>
        </is>
      </c>
      <c r="B431" s="15" t="inlineStr">
        <is>
          <t>LACTULOSE 10 GM/15ML ORAL SOLUTION</t>
        </is>
      </c>
      <c r="C431" s="16" t="n">
        <v>473</v>
      </c>
      <c r="D431" s="16" t="n">
        <v>5</v>
      </c>
      <c r="E431" s="16" t="n">
        <v>5</v>
      </c>
      <c r="F431" s="16" t="n">
        <v>11</v>
      </c>
      <c r="G431" s="16" t="n">
        <v>946</v>
      </c>
      <c r="H431" s="17" t="n">
        <v>0</v>
      </c>
      <c r="I431" s="17" t="n">
        <v>0</v>
      </c>
      <c r="J431" s="17" t="n">
        <v>473</v>
      </c>
      <c r="K431" s="17" t="n">
        <v>0</v>
      </c>
      <c r="L431" s="17" t="n">
        <v>0</v>
      </c>
      <c r="M431" s="17" t="n">
        <v>0</v>
      </c>
      <c r="N431" s="17" t="n">
        <v>473</v>
      </c>
      <c r="O431" s="17" t="n">
        <v>0</v>
      </c>
      <c r="P431" s="17" t="n">
        <v>0</v>
      </c>
      <c r="Q431" s="18" t="n">
        <v>0</v>
      </c>
      <c r="R431" s="16" t="n">
        <v>2</v>
      </c>
      <c r="S431" s="17" t="n">
        <v>0</v>
      </c>
      <c r="T431" s="17" t="n">
        <v>0</v>
      </c>
      <c r="U431" s="17" t="n">
        <v>1</v>
      </c>
      <c r="V431" s="17" t="n">
        <v>0</v>
      </c>
      <c r="W431" s="17" t="n">
        <v>0</v>
      </c>
      <c r="X431" s="17" t="n">
        <v>0</v>
      </c>
      <c r="Y431" s="17" t="n">
        <v>1</v>
      </c>
      <c r="Z431" s="17" t="n">
        <v>0</v>
      </c>
      <c r="AA431" s="17" t="n">
        <v>0</v>
      </c>
      <c r="AB431" s="18" t="n">
        <v>0</v>
      </c>
      <c r="AC431" s="16" t="n">
        <v>3</v>
      </c>
      <c r="AD431" s="17" t="n">
        <v>5</v>
      </c>
      <c r="AE431" s="17" t="n">
        <v>5</v>
      </c>
      <c r="AF431" s="17" t="n">
        <v>4</v>
      </c>
      <c r="AG431" s="17" t="n">
        <v>5</v>
      </c>
      <c r="AH431" s="17" t="n">
        <v>5</v>
      </c>
      <c r="AI431" s="17" t="n">
        <v>5</v>
      </c>
      <c r="AJ431" s="17" t="n">
        <v>4</v>
      </c>
      <c r="AK431" s="17" t="n">
        <v>5</v>
      </c>
      <c r="AL431" s="17" t="n">
        <v>5</v>
      </c>
      <c r="AM431" s="18" t="n">
        <v>5</v>
      </c>
      <c r="AN431" s="16" t="n">
        <v>22</v>
      </c>
      <c r="AO431" s="17" t="n">
        <v>0</v>
      </c>
      <c r="AP431" s="17" t="n">
        <v>0</v>
      </c>
      <c r="AQ431" s="17" t="n">
        <v>3</v>
      </c>
      <c r="AR431" s="17" t="n">
        <v>0</v>
      </c>
      <c r="AS431" s="17" t="n">
        <v>0</v>
      </c>
      <c r="AT431" s="17" t="n">
        <v>0</v>
      </c>
      <c r="AU431" s="17" t="n">
        <v>19</v>
      </c>
      <c r="AV431" s="17" t="n">
        <v>0</v>
      </c>
      <c r="AW431" s="17" t="n">
        <v>0</v>
      </c>
      <c r="AX431" s="18" t="n">
        <v>0</v>
      </c>
      <c r="AY431" s="16" t="n">
        <v>22</v>
      </c>
      <c r="AZ431" s="17" t="n">
        <v>0</v>
      </c>
      <c r="BA431" s="17" t="n">
        <v>0</v>
      </c>
      <c r="BB431" s="17" t="n">
        <v>11</v>
      </c>
      <c r="BC431" s="17" t="n">
        <v>0</v>
      </c>
      <c r="BD431" s="17" t="n">
        <v>0</v>
      </c>
      <c r="BE431" s="17" t="n">
        <v>0</v>
      </c>
      <c r="BF431" s="17" t="n">
        <v>11</v>
      </c>
      <c r="BG431" s="17" t="n">
        <v>0</v>
      </c>
      <c r="BH431" s="17" t="n">
        <v>0</v>
      </c>
      <c r="BI431" s="18" t="n">
        <v>0</v>
      </c>
      <c r="BJ431" s="16" t="n">
        <v>0</v>
      </c>
      <c r="BK431" s="17" t="n">
        <v>0</v>
      </c>
      <c r="BL431" s="17" t="n">
        <v>0</v>
      </c>
      <c r="BM431" s="17" t="n">
        <v>-8</v>
      </c>
      <c r="BN431" s="17" t="n">
        <v>0</v>
      </c>
      <c r="BO431" s="17" t="n">
        <v>0</v>
      </c>
      <c r="BP431" s="17" t="n">
        <v>0</v>
      </c>
      <c r="BQ431" s="17" t="n">
        <v>8</v>
      </c>
      <c r="BR431" s="17" t="n">
        <v>0</v>
      </c>
      <c r="BS431" s="17" t="n">
        <v>0</v>
      </c>
      <c r="BT431" s="18" t="n">
        <v>0</v>
      </c>
      <c r="BU431" s="17" t="inlineStr">
        <is>
          <t>Generic Drug</t>
        </is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473</v>
      </c>
      <c r="O432" s="17" t="n">
        <v>0</v>
      </c>
      <c r="P432" s="17" t="n">
        <v>0</v>
      </c>
      <c r="Q432" s="18" t="n">
        <v>0</v>
      </c>
      <c r="R432" s="16" t="n">
        <v>1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8" t="n">
        <v>0</v>
      </c>
      <c r="AC432" s="16" t="n">
        <v>-1</v>
      </c>
      <c r="AD432" s="17" t="n">
        <v>0</v>
      </c>
      <c r="AE432" s="17" t="n">
        <v>0</v>
      </c>
      <c r="AF432" s="17" t="n">
        <v>0</v>
      </c>
      <c r="AG432" s="17" t="n">
        <v>0</v>
      </c>
      <c r="AH432" s="17" t="n">
        <v>0</v>
      </c>
      <c r="AI432" s="17" t="n">
        <v>0</v>
      </c>
      <c r="AJ432" s="17" t="n">
        <v>-1</v>
      </c>
      <c r="AK432" s="17" t="n">
        <v>0</v>
      </c>
      <c r="AL432" s="17" t="n">
        <v>0</v>
      </c>
      <c r="AM432" s="18" t="n">
        <v>0</v>
      </c>
      <c r="AN432" s="16" t="n">
        <v>16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16</v>
      </c>
      <c r="AV432" s="17" t="n">
        <v>0</v>
      </c>
      <c r="AW432" s="17" t="n">
        <v>0</v>
      </c>
      <c r="AX432" s="18" t="n">
        <v>0</v>
      </c>
      <c r="AY432" s="16" t="n">
        <v>0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7" t="n">
        <v>0</v>
      </c>
      <c r="BG432" s="17" t="n">
        <v>0</v>
      </c>
      <c r="BH432" s="17" t="n">
        <v>0</v>
      </c>
      <c r="BI432" s="18" t="n">
        <v>0</v>
      </c>
      <c r="BJ432" s="16" t="n">
        <v>16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16</v>
      </c>
      <c r="BR432" s="17" t="n">
        <v>0</v>
      </c>
      <c r="BS432" s="17" t="n">
        <v>0</v>
      </c>
      <c r="BT432" s="18" t="n">
        <v>0</v>
      </c>
      <c r="BU432" s="17" t="inlineStr">
        <is>
          <t>Unclassified</t>
        </is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0</v>
      </c>
      <c r="J433" s="17" t="n">
        <v>30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30</v>
      </c>
      <c r="P433" s="17" t="n">
        <v>0</v>
      </c>
      <c r="Q433" s="18" t="n">
        <v>0</v>
      </c>
      <c r="R433" s="16" t="n">
        <v>0.6</v>
      </c>
      <c r="S433" s="17" t="n">
        <v>0</v>
      </c>
      <c r="T433" s="17" t="n">
        <v>0</v>
      </c>
      <c r="U433" s="17" t="n">
        <v>0.3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0.3</v>
      </c>
      <c r="AA433" s="17" t="n">
        <v>0</v>
      </c>
      <c r="AB433" s="18" t="n">
        <v>0</v>
      </c>
      <c r="AC433" s="16" t="n">
        <v>-0.6</v>
      </c>
      <c r="AD433" s="17" t="n">
        <v>0</v>
      </c>
      <c r="AE433" s="17" t="n">
        <v>0</v>
      </c>
      <c r="AF433" s="17" t="n">
        <v>-0.3</v>
      </c>
      <c r="AG433" s="17" t="n">
        <v>0</v>
      </c>
      <c r="AH433" s="17" t="n">
        <v>0</v>
      </c>
      <c r="AI433" s="17" t="n">
        <v>0</v>
      </c>
      <c r="AJ433" s="17" t="n">
        <v>0</v>
      </c>
      <c r="AK433" s="17" t="n">
        <v>-0.3</v>
      </c>
      <c r="AL433" s="17" t="n">
        <v>0</v>
      </c>
      <c r="AM433" s="18" t="n">
        <v>0</v>
      </c>
      <c r="AN433" s="16" t="n">
        <v>2</v>
      </c>
      <c r="AO433" s="17" t="n">
        <v>0</v>
      </c>
      <c r="AP433" s="17" t="n">
        <v>0</v>
      </c>
      <c r="AQ433" s="17" t="n">
        <v>1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8" t="n">
        <v>0</v>
      </c>
      <c r="AY433" s="16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8" t="n">
        <v>0</v>
      </c>
      <c r="BJ433" s="16" t="n">
        <v>2</v>
      </c>
      <c r="BK433" s="17" t="n">
        <v>0</v>
      </c>
      <c r="BL433" s="17" t="n">
        <v>0</v>
      </c>
      <c r="BM433" s="17" t="n">
        <v>1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8" t="n">
        <v>0</v>
      </c>
      <c r="BU433" s="17" t="inlineStr">
        <is>
          <t>Unclassified</t>
        </is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120</v>
      </c>
      <c r="O434" s="17" t="n">
        <v>0</v>
      </c>
      <c r="P434" s="17" t="n">
        <v>0</v>
      </c>
      <c r="Q434" s="18" t="n">
        <v>0</v>
      </c>
      <c r="R434" s="16" t="n">
        <v>2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2</v>
      </c>
      <c r="Z434" s="17" t="n">
        <v>0</v>
      </c>
      <c r="AA434" s="17" t="n">
        <v>0</v>
      </c>
      <c r="AB434" s="18" t="n">
        <v>0</v>
      </c>
      <c r="AC434" s="16" t="n">
        <v>-2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-2</v>
      </c>
      <c r="AK434" s="17" t="n">
        <v>0</v>
      </c>
      <c r="AL434" s="17" t="n">
        <v>0</v>
      </c>
      <c r="AM434" s="18" t="n">
        <v>0</v>
      </c>
      <c r="AN434" s="16" t="n">
        <v>18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18</v>
      </c>
      <c r="AV434" s="17" t="n">
        <v>0</v>
      </c>
      <c r="AW434" s="17" t="n">
        <v>0</v>
      </c>
      <c r="AX434" s="18" t="n">
        <v>0</v>
      </c>
      <c r="AY434" s="16" t="n">
        <v>0</v>
      </c>
      <c r="AZ434" s="17" t="n">
        <v>0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0</v>
      </c>
      <c r="BF434" s="17" t="n">
        <v>0</v>
      </c>
      <c r="BG434" s="17" t="n">
        <v>0</v>
      </c>
      <c r="BH434" s="17" t="n">
        <v>0</v>
      </c>
      <c r="BI434" s="18" t="n">
        <v>0</v>
      </c>
      <c r="BJ434" s="16" t="n">
        <v>18</v>
      </c>
      <c r="BK434" s="17" t="n">
        <v>0</v>
      </c>
      <c r="BL434" s="17" t="n">
        <v>0</v>
      </c>
      <c r="BM434" s="17" t="n">
        <v>0</v>
      </c>
      <c r="BN434" s="17" t="n">
        <v>0</v>
      </c>
      <c r="BO434" s="17" t="n">
        <v>0</v>
      </c>
      <c r="BP434" s="17" t="n">
        <v>0</v>
      </c>
      <c r="BQ434" s="17" t="n">
        <v>18</v>
      </c>
      <c r="BR434" s="17" t="n">
        <v>0</v>
      </c>
      <c r="BS434" s="17" t="n">
        <v>0</v>
      </c>
      <c r="BT434" s="18" t="n">
        <v>0</v>
      </c>
      <c r="BU434" s="17" t="inlineStr">
        <is>
          <t>Unclassified</t>
        </is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0</v>
      </c>
      <c r="J435" s="17" t="n">
        <v>120</v>
      </c>
      <c r="K435" s="17" t="n">
        <v>540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8" t="n">
        <v>0</v>
      </c>
      <c r="R435" s="16" t="n">
        <v>6.6</v>
      </c>
      <c r="S435" s="17" t="n">
        <v>0</v>
      </c>
      <c r="T435" s="17" t="n">
        <v>0</v>
      </c>
      <c r="U435" s="17" t="n">
        <v>1.2</v>
      </c>
      <c r="V435" s="17" t="n">
        <v>5.4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8" t="n">
        <v>0</v>
      </c>
      <c r="AC435" s="16" t="n">
        <v>3.4</v>
      </c>
      <c r="AD435" s="17" t="n">
        <v>10</v>
      </c>
      <c r="AE435" s="17" t="n">
        <v>10</v>
      </c>
      <c r="AF435" s="17" t="n">
        <v>8.800000000000001</v>
      </c>
      <c r="AG435" s="17" t="n">
        <v>4.6</v>
      </c>
      <c r="AH435" s="17" t="n">
        <v>10</v>
      </c>
      <c r="AI435" s="17" t="n">
        <v>10</v>
      </c>
      <c r="AJ435" s="17" t="n">
        <v>10</v>
      </c>
      <c r="AK435" s="17" t="n">
        <v>10</v>
      </c>
      <c r="AL435" s="17" t="n">
        <v>10</v>
      </c>
      <c r="AM435" s="18" t="n">
        <v>10</v>
      </c>
      <c r="AN435" s="16" t="n">
        <v>21</v>
      </c>
      <c r="AO435" s="17" t="n">
        <v>0</v>
      </c>
      <c r="AP435" s="17" t="n">
        <v>0</v>
      </c>
      <c r="AQ435" s="17" t="n">
        <v>2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8" t="n">
        <v>0</v>
      </c>
      <c r="AY435" s="16" t="n">
        <v>13</v>
      </c>
      <c r="AZ435" s="17" t="n">
        <v>0</v>
      </c>
      <c r="BA435" s="17" t="n">
        <v>0</v>
      </c>
      <c r="BB435" s="17" t="n">
        <v>2</v>
      </c>
      <c r="BC435" s="17" t="n">
        <v>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8" t="n">
        <v>0</v>
      </c>
      <c r="BJ435" s="16" t="n">
        <v>8</v>
      </c>
      <c r="BK435" s="17" t="n">
        <v>0</v>
      </c>
      <c r="BL435" s="17" t="n">
        <v>0</v>
      </c>
      <c r="BM435" s="17" t="n">
        <v>-1</v>
      </c>
      <c r="BN435" s="17" t="n">
        <v>-11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8" t="n">
        <v>0</v>
      </c>
      <c r="BU435" s="17" t="inlineStr">
        <is>
          <t>Generic Drug</t>
        </is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0</v>
      </c>
      <c r="M436" s="17" t="n">
        <v>0</v>
      </c>
      <c r="N436" s="17" t="n">
        <v>1200</v>
      </c>
      <c r="O436" s="17" t="n">
        <v>0</v>
      </c>
      <c r="P436" s="17" t="n">
        <v>0</v>
      </c>
      <c r="Q436" s="18" t="n">
        <v>0</v>
      </c>
      <c r="R436" s="16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12</v>
      </c>
      <c r="Z436" s="17" t="n">
        <v>0</v>
      </c>
      <c r="AA436" s="17" t="n">
        <v>0</v>
      </c>
      <c r="AB436" s="18" t="n">
        <v>0</v>
      </c>
      <c r="AC436" s="16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-12</v>
      </c>
      <c r="AK436" s="17" t="n">
        <v>0</v>
      </c>
      <c r="AL436" s="17" t="n">
        <v>0</v>
      </c>
      <c r="AM436" s="18" t="n">
        <v>0</v>
      </c>
      <c r="AN436" s="16" t="n">
        <v>0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65</v>
      </c>
      <c r="AV436" s="17" t="n">
        <v>0</v>
      </c>
      <c r="AW436" s="17" t="n">
        <v>0</v>
      </c>
      <c r="AX436" s="18" t="n">
        <v>0</v>
      </c>
      <c r="AY436" s="16" t="n">
        <v>0</v>
      </c>
      <c r="AZ436" s="17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0</v>
      </c>
      <c r="BF436" s="17" t="n">
        <v>0</v>
      </c>
      <c r="BG436" s="17" t="n">
        <v>0</v>
      </c>
      <c r="BH436" s="17" t="n">
        <v>0</v>
      </c>
      <c r="BI436" s="18" t="n">
        <v>0</v>
      </c>
      <c r="BJ436" s="16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65</v>
      </c>
      <c r="BR436" s="17" t="n">
        <v>0</v>
      </c>
      <c r="BS436" s="17" t="n">
        <v>0</v>
      </c>
      <c r="BT436" s="18" t="n">
        <v>0</v>
      </c>
      <c r="BU436" s="17" t="inlineStr">
        <is>
          <t>Unclassified</t>
        </is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200</v>
      </c>
      <c r="J437" s="17" t="n">
        <v>4500</v>
      </c>
      <c r="K437" s="17" t="n">
        <v>100</v>
      </c>
      <c r="L437" s="17" t="n">
        <v>0</v>
      </c>
      <c r="M437" s="17" t="n">
        <v>300</v>
      </c>
      <c r="N437" s="17" t="n">
        <v>100</v>
      </c>
      <c r="O437" s="17" t="n">
        <v>200</v>
      </c>
      <c r="P437" s="17" t="n">
        <v>0</v>
      </c>
      <c r="Q437" s="18" t="n">
        <v>0</v>
      </c>
      <c r="R437" s="16" t="n">
        <v>0</v>
      </c>
      <c r="S437" s="17" t="n">
        <v>0</v>
      </c>
      <c r="T437" s="17" t="n">
        <v>2</v>
      </c>
      <c r="U437" s="17" t="n">
        <v>45</v>
      </c>
      <c r="V437" s="17" t="n">
        <v>1</v>
      </c>
      <c r="W437" s="17" t="n">
        <v>0</v>
      </c>
      <c r="X437" s="17" t="n">
        <v>3</v>
      </c>
      <c r="Y437" s="17" t="n">
        <v>1</v>
      </c>
      <c r="Z437" s="17" t="n">
        <v>2</v>
      </c>
      <c r="AA437" s="17" t="n">
        <v>0</v>
      </c>
      <c r="AB437" s="18" t="n">
        <v>0</v>
      </c>
      <c r="AC437" s="16" t="n">
        <v>0</v>
      </c>
      <c r="AD437" s="17" t="n">
        <v>0</v>
      </c>
      <c r="AE437" s="17" t="n">
        <v>-2</v>
      </c>
      <c r="AF437" s="17" t="n">
        <v>-45</v>
      </c>
      <c r="AG437" s="17" t="n">
        <v>-1</v>
      </c>
      <c r="AH437" s="17" t="n">
        <v>0</v>
      </c>
      <c r="AI437" s="17" t="n">
        <v>-3</v>
      </c>
      <c r="AJ437" s="17" t="n">
        <v>-1</v>
      </c>
      <c r="AK437" s="17" t="n">
        <v>-2</v>
      </c>
      <c r="AL437" s="17" t="n">
        <v>0</v>
      </c>
      <c r="AM437" s="18" t="n">
        <v>0</v>
      </c>
      <c r="AN437" s="16" t="n">
        <v>0</v>
      </c>
      <c r="AO437" s="17" t="n">
        <v>0</v>
      </c>
      <c r="AP437" s="17" t="n">
        <v>3</v>
      </c>
      <c r="AQ437" s="17" t="n">
        <v>1607</v>
      </c>
      <c r="AR437" s="17" t="n">
        <v>35</v>
      </c>
      <c r="AS437" s="17" t="n">
        <v>0</v>
      </c>
      <c r="AT437" s="17" t="n">
        <v>36</v>
      </c>
      <c r="AU437" s="17" t="n">
        <v>5</v>
      </c>
      <c r="AV437" s="17" t="n">
        <v>79</v>
      </c>
      <c r="AW437" s="17" t="n">
        <v>0</v>
      </c>
      <c r="AX437" s="18" t="n">
        <v>0</v>
      </c>
      <c r="AY437" s="16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8" t="n">
        <v>0</v>
      </c>
      <c r="BJ437" s="16" t="n">
        <v>0</v>
      </c>
      <c r="BK437" s="17" t="n">
        <v>0</v>
      </c>
      <c r="BL437" s="17" t="n">
        <v>3</v>
      </c>
      <c r="BM437" s="17" t="n">
        <v>1607</v>
      </c>
      <c r="BN437" s="17" t="n">
        <v>35</v>
      </c>
      <c r="BO437" s="17" t="n">
        <v>0</v>
      </c>
      <c r="BP437" s="17" t="n">
        <v>36</v>
      </c>
      <c r="BQ437" s="17" t="n">
        <v>5</v>
      </c>
      <c r="BR437" s="17" t="n">
        <v>79</v>
      </c>
      <c r="BS437" s="17" t="n">
        <v>0</v>
      </c>
      <c r="BT437" s="18" t="n">
        <v>0</v>
      </c>
      <c r="BU437" s="17" t="inlineStr">
        <is>
          <t>Unclassified</t>
        </is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0</v>
      </c>
      <c r="K438" s="17" t="n">
        <v>300</v>
      </c>
      <c r="L438" s="17" t="n">
        <v>0</v>
      </c>
      <c r="M438" s="17" t="n">
        <v>300</v>
      </c>
      <c r="N438" s="17" t="n">
        <v>0</v>
      </c>
      <c r="O438" s="17" t="n">
        <v>100</v>
      </c>
      <c r="P438" s="17" t="n">
        <v>0</v>
      </c>
      <c r="Q438" s="18" t="n">
        <v>0</v>
      </c>
      <c r="R438" s="16" t="n">
        <v>7</v>
      </c>
      <c r="S438" s="17" t="n">
        <v>0</v>
      </c>
      <c r="T438" s="17" t="n">
        <v>0</v>
      </c>
      <c r="U438" s="17" t="n">
        <v>0</v>
      </c>
      <c r="V438" s="17" t="n">
        <v>3</v>
      </c>
      <c r="W438" s="17" t="n">
        <v>0</v>
      </c>
      <c r="X438" s="17" t="n">
        <v>3</v>
      </c>
      <c r="Y438" s="17" t="n">
        <v>0</v>
      </c>
      <c r="Z438" s="17" t="n">
        <v>1</v>
      </c>
      <c r="AA438" s="17" t="n">
        <v>0</v>
      </c>
      <c r="AB438" s="18" t="n">
        <v>0</v>
      </c>
      <c r="AC438" s="16" t="n">
        <v>-7</v>
      </c>
      <c r="AD438" s="17" t="n">
        <v>0</v>
      </c>
      <c r="AE438" s="17" t="n">
        <v>0</v>
      </c>
      <c r="AF438" s="17" t="n">
        <v>0</v>
      </c>
      <c r="AG438" s="17" t="n">
        <v>-3</v>
      </c>
      <c r="AH438" s="17" t="n">
        <v>0</v>
      </c>
      <c r="AI438" s="17" t="n">
        <v>-3</v>
      </c>
      <c r="AJ438" s="17" t="n">
        <v>0</v>
      </c>
      <c r="AK438" s="17" t="n">
        <v>-1</v>
      </c>
      <c r="AL438" s="17" t="n">
        <v>0</v>
      </c>
      <c r="AM438" s="18" t="n">
        <v>0</v>
      </c>
      <c r="AN438" s="16" t="n">
        <v>207</v>
      </c>
      <c r="AO438" s="17" t="n">
        <v>0</v>
      </c>
      <c r="AP438" s="17" t="n">
        <v>0</v>
      </c>
      <c r="AQ438" s="17" t="n">
        <v>0</v>
      </c>
      <c r="AR438" s="17" t="n">
        <v>115</v>
      </c>
      <c r="AS438" s="17" t="n">
        <v>0</v>
      </c>
      <c r="AT438" s="17" t="n">
        <v>39</v>
      </c>
      <c r="AU438" s="17" t="n">
        <v>0</v>
      </c>
      <c r="AV438" s="17" t="n">
        <v>15</v>
      </c>
      <c r="AW438" s="17" t="n">
        <v>0</v>
      </c>
      <c r="AX438" s="18" t="n">
        <v>0</v>
      </c>
      <c r="AY438" s="16" t="n">
        <v>0</v>
      </c>
      <c r="AZ438" s="17" t="n">
        <v>0</v>
      </c>
      <c r="BA438" s="17" t="n">
        <v>0</v>
      </c>
      <c r="BB438" s="17" t="n">
        <v>0</v>
      </c>
      <c r="BC438" s="17" t="n">
        <v>0</v>
      </c>
      <c r="BD438" s="17" t="n">
        <v>0</v>
      </c>
      <c r="BE438" s="17" t="n">
        <v>0</v>
      </c>
      <c r="BF438" s="17" t="n">
        <v>0</v>
      </c>
      <c r="BG438" s="17" t="n">
        <v>0</v>
      </c>
      <c r="BH438" s="17" t="n">
        <v>0</v>
      </c>
      <c r="BI438" s="18" t="n">
        <v>0</v>
      </c>
      <c r="BJ438" s="16" t="n">
        <v>207</v>
      </c>
      <c r="BK438" s="17" t="n">
        <v>0</v>
      </c>
      <c r="BL438" s="17" t="n">
        <v>0</v>
      </c>
      <c r="BM438" s="17" t="n">
        <v>0</v>
      </c>
      <c r="BN438" s="17" t="n">
        <v>115</v>
      </c>
      <c r="BO438" s="17" t="n">
        <v>0</v>
      </c>
      <c r="BP438" s="17" t="n">
        <v>39</v>
      </c>
      <c r="BQ438" s="17" t="n">
        <v>0</v>
      </c>
      <c r="BR438" s="17" t="n">
        <v>15</v>
      </c>
      <c r="BS438" s="17" t="n">
        <v>0</v>
      </c>
      <c r="BT438" s="18" t="n">
        <v>0</v>
      </c>
      <c r="BU438" s="17" t="inlineStr">
        <is>
          <t>Unclassified</t>
        </is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0</v>
      </c>
      <c r="J439" s="17" t="n">
        <v>300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8" t="n">
        <v>0</v>
      </c>
      <c r="R439" s="16" t="n">
        <v>3</v>
      </c>
      <c r="S439" s="17" t="n">
        <v>0</v>
      </c>
      <c r="T439" s="17" t="n">
        <v>0</v>
      </c>
      <c r="U439" s="17" t="n">
        <v>3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8" t="n">
        <v>0</v>
      </c>
      <c r="AC439" s="16" t="n">
        <v>-3</v>
      </c>
      <c r="AD439" s="17" t="n">
        <v>0</v>
      </c>
      <c r="AE439" s="17" t="n">
        <v>0</v>
      </c>
      <c r="AF439" s="17" t="n">
        <v>-3</v>
      </c>
      <c r="AG439" s="17" t="n">
        <v>0</v>
      </c>
      <c r="AH439" s="17" t="n">
        <v>0</v>
      </c>
      <c r="AI439" s="17" t="n">
        <v>0</v>
      </c>
      <c r="AJ439" s="17" t="n">
        <v>0</v>
      </c>
      <c r="AK439" s="17" t="n">
        <v>0</v>
      </c>
      <c r="AL439" s="17" t="n">
        <v>0</v>
      </c>
      <c r="AM439" s="18" t="n">
        <v>0</v>
      </c>
      <c r="AN439" s="16" t="n">
        <v>111</v>
      </c>
      <c r="AO439" s="17" t="n">
        <v>0</v>
      </c>
      <c r="AP439" s="17" t="n">
        <v>0</v>
      </c>
      <c r="AQ439" s="17" t="n">
        <v>111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8" t="n">
        <v>0</v>
      </c>
      <c r="AY439" s="16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8" t="n">
        <v>0</v>
      </c>
      <c r="BJ439" s="16" t="n">
        <v>111</v>
      </c>
      <c r="BK439" s="17" t="n">
        <v>0</v>
      </c>
      <c r="BL439" s="17" t="n">
        <v>0</v>
      </c>
      <c r="BM439" s="17" t="n">
        <v>111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8" t="n">
        <v>0</v>
      </c>
      <c r="BU439" s="17" t="inlineStr">
        <is>
          <t>Unclassified</t>
        </is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0</v>
      </c>
      <c r="J440" s="17" t="n">
        <v>200</v>
      </c>
      <c r="K440" s="17" t="n">
        <v>200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100</v>
      </c>
      <c r="Q440" s="18" t="n">
        <v>0</v>
      </c>
      <c r="R440" s="16" t="n">
        <v>5</v>
      </c>
      <c r="S440" s="17" t="n">
        <v>0</v>
      </c>
      <c r="T440" s="17" t="n">
        <v>0</v>
      </c>
      <c r="U440" s="17" t="n">
        <v>2</v>
      </c>
      <c r="V440" s="17" t="n">
        <v>2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1</v>
      </c>
      <c r="AB440" s="18" t="n">
        <v>0</v>
      </c>
      <c r="AC440" s="16" t="n">
        <v>-5</v>
      </c>
      <c r="AD440" s="17" t="n">
        <v>0</v>
      </c>
      <c r="AE440" s="17" t="n">
        <v>0</v>
      </c>
      <c r="AF440" s="17" t="n">
        <v>-2</v>
      </c>
      <c r="AG440" s="17" t="n">
        <v>-2</v>
      </c>
      <c r="AH440" s="17" t="n">
        <v>0</v>
      </c>
      <c r="AI440" s="17" t="n">
        <v>0</v>
      </c>
      <c r="AJ440" s="17" t="n">
        <v>0</v>
      </c>
      <c r="AK440" s="17" t="n">
        <v>0</v>
      </c>
      <c r="AL440" s="17" t="n">
        <v>-1</v>
      </c>
      <c r="AM440" s="18" t="n">
        <v>0</v>
      </c>
      <c r="AN440" s="16" t="n">
        <v>45</v>
      </c>
      <c r="AO440" s="17" t="n">
        <v>0</v>
      </c>
      <c r="AP440" s="17" t="n">
        <v>0</v>
      </c>
      <c r="AQ440" s="17" t="n">
        <v>19</v>
      </c>
      <c r="AR440" s="17" t="n">
        <v>7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9</v>
      </c>
      <c r="AX440" s="18" t="n">
        <v>0</v>
      </c>
      <c r="AY440" s="16" t="n">
        <v>0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7" t="n">
        <v>0</v>
      </c>
      <c r="BG440" s="17" t="n">
        <v>0</v>
      </c>
      <c r="BH440" s="17" t="n">
        <v>0</v>
      </c>
      <c r="BI440" s="18" t="n">
        <v>0</v>
      </c>
      <c r="BJ440" s="16" t="n">
        <v>45</v>
      </c>
      <c r="BK440" s="17" t="n">
        <v>0</v>
      </c>
      <c r="BL440" s="17" t="n">
        <v>0</v>
      </c>
      <c r="BM440" s="17" t="n">
        <v>19</v>
      </c>
      <c r="BN440" s="17" t="n">
        <v>7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7" t="n">
        <v>9</v>
      </c>
      <c r="BT440" s="18" t="n">
        <v>0</v>
      </c>
      <c r="BU440" s="17" t="inlineStr">
        <is>
          <t>Unclassified</t>
        </is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0</v>
      </c>
      <c r="J441" s="17" t="n">
        <v>1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8" t="n">
        <v>0</v>
      </c>
      <c r="R441" s="16" t="n">
        <v>1</v>
      </c>
      <c r="S441" s="17" t="n">
        <v>0</v>
      </c>
      <c r="T441" s="17" t="n">
        <v>0</v>
      </c>
      <c r="U441" s="17" t="n">
        <v>1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8" t="n">
        <v>0</v>
      </c>
      <c r="AC441" s="16" t="n">
        <v>-1</v>
      </c>
      <c r="AD441" s="17" t="n">
        <v>0</v>
      </c>
      <c r="AE441" s="17" t="n">
        <v>0</v>
      </c>
      <c r="AF441" s="17" t="n">
        <v>-1</v>
      </c>
      <c r="AG441" s="17" t="n">
        <v>0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8" t="n">
        <v>0</v>
      </c>
      <c r="AN441" s="16" t="n">
        <v>13</v>
      </c>
      <c r="AO441" s="17" t="n">
        <v>0</v>
      </c>
      <c r="AP441" s="17" t="n">
        <v>0</v>
      </c>
      <c r="AQ441" s="17" t="n">
        <v>13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8" t="n">
        <v>0</v>
      </c>
      <c r="AY441" s="16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8" t="n">
        <v>0</v>
      </c>
      <c r="BJ441" s="16" t="n">
        <v>13</v>
      </c>
      <c r="BK441" s="17" t="n">
        <v>0</v>
      </c>
      <c r="BL441" s="17" t="n">
        <v>0</v>
      </c>
      <c r="BM441" s="17" t="n">
        <v>13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8" t="n">
        <v>0</v>
      </c>
      <c r="BU441" s="17" t="inlineStr">
        <is>
          <t>Unclassified</t>
        </is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0</v>
      </c>
      <c r="J442" s="17" t="n">
        <v>327</v>
      </c>
      <c r="K442" s="17" t="n">
        <v>0</v>
      </c>
      <c r="L442" s="17" t="n">
        <v>0</v>
      </c>
      <c r="M442" s="17" t="n">
        <v>12</v>
      </c>
      <c r="N442" s="17" t="n">
        <v>57</v>
      </c>
      <c r="O442" s="17" t="n">
        <v>0</v>
      </c>
      <c r="P442" s="17" t="n">
        <v>0</v>
      </c>
      <c r="Q442" s="18" t="n">
        <v>0</v>
      </c>
      <c r="R442" s="16" t="n">
        <v>26.4</v>
      </c>
      <c r="S442" s="17" t="n">
        <v>0</v>
      </c>
      <c r="T442" s="17" t="n">
        <v>0</v>
      </c>
      <c r="U442" s="17" t="n">
        <v>21.8</v>
      </c>
      <c r="V442" s="17" t="n">
        <v>0</v>
      </c>
      <c r="W442" s="17" t="n">
        <v>0</v>
      </c>
      <c r="X442" s="17" t="n">
        <v>0.8</v>
      </c>
      <c r="Y442" s="17" t="n">
        <v>3.8</v>
      </c>
      <c r="Z442" s="17" t="n">
        <v>0</v>
      </c>
      <c r="AA442" s="17" t="n">
        <v>0</v>
      </c>
      <c r="AB442" s="18" t="n">
        <v>0</v>
      </c>
      <c r="AC442" s="16" t="n">
        <v>-7.4</v>
      </c>
      <c r="AD442" s="17" t="n">
        <v>19</v>
      </c>
      <c r="AE442" s="17" t="n">
        <v>19</v>
      </c>
      <c r="AF442" s="17" t="n">
        <v>-2.8</v>
      </c>
      <c r="AG442" s="17" t="n">
        <v>19</v>
      </c>
      <c r="AH442" s="17" t="n">
        <v>19</v>
      </c>
      <c r="AI442" s="17" t="n">
        <v>18.2</v>
      </c>
      <c r="AJ442" s="17" t="n">
        <v>15.2</v>
      </c>
      <c r="AK442" s="17" t="n">
        <v>19</v>
      </c>
      <c r="AL442" s="17" t="n">
        <v>19</v>
      </c>
      <c r="AM442" s="18" t="n">
        <v>19</v>
      </c>
      <c r="AN442" s="16" t="n">
        <v>2441</v>
      </c>
      <c r="AO442" s="17" t="n">
        <v>0</v>
      </c>
      <c r="AP442" s="17" t="n">
        <v>0</v>
      </c>
      <c r="AQ442" s="17" t="n">
        <v>1893</v>
      </c>
      <c r="AR442" s="17" t="n">
        <v>0</v>
      </c>
      <c r="AS442" s="17" t="n">
        <v>0</v>
      </c>
      <c r="AT442" s="17" t="n">
        <v>69</v>
      </c>
      <c r="AU442" s="17" t="n">
        <v>401</v>
      </c>
      <c r="AV442" s="17" t="n">
        <v>0</v>
      </c>
      <c r="AW442" s="17" t="n">
        <v>0</v>
      </c>
      <c r="AX442" s="18" t="n">
        <v>0</v>
      </c>
      <c r="AY442" s="16" t="n">
        <v>2482</v>
      </c>
      <c r="AZ442" s="17" t="n">
        <v>0</v>
      </c>
      <c r="BA442" s="17" t="n">
        <v>0</v>
      </c>
      <c r="BB442" s="17" t="n">
        <v>2049</v>
      </c>
      <c r="BC442" s="17" t="n">
        <v>0</v>
      </c>
      <c r="BD442" s="17" t="n">
        <v>0</v>
      </c>
      <c r="BE442" s="17" t="n">
        <v>75</v>
      </c>
      <c r="BF442" s="17" t="n">
        <v>357</v>
      </c>
      <c r="BG442" s="17" t="n">
        <v>0</v>
      </c>
      <c r="BH442" s="17" t="n">
        <v>0</v>
      </c>
      <c r="BI442" s="18" t="n">
        <v>0</v>
      </c>
      <c r="BJ442" s="16" t="n">
        <v>-40</v>
      </c>
      <c r="BK442" s="17" t="n">
        <v>0</v>
      </c>
      <c r="BL442" s="17" t="n">
        <v>0</v>
      </c>
      <c r="BM442" s="17" t="n">
        <v>-156</v>
      </c>
      <c r="BN442" s="17" t="n">
        <v>0</v>
      </c>
      <c r="BO442" s="17" t="n">
        <v>0</v>
      </c>
      <c r="BP442" s="17" t="n">
        <v>-6</v>
      </c>
      <c r="BQ442" s="17" t="n">
        <v>44</v>
      </c>
      <c r="BR442" s="17" t="n">
        <v>0</v>
      </c>
      <c r="BS442" s="17" t="n">
        <v>0</v>
      </c>
      <c r="BT442" s="18" t="n">
        <v>0</v>
      </c>
      <c r="BU442" s="17" t="inlineStr">
        <is>
          <t>Branded Drug</t>
        </is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0</v>
      </c>
      <c r="J443" s="17" t="n">
        <v>102.5</v>
      </c>
      <c r="K443" s="17" t="n">
        <v>5</v>
      </c>
      <c r="L443" s="17" t="n">
        <v>0</v>
      </c>
      <c r="M443" s="17" t="n">
        <v>27.5</v>
      </c>
      <c r="N443" s="17" t="n">
        <v>32.5</v>
      </c>
      <c r="O443" s="17" t="n">
        <v>0</v>
      </c>
      <c r="P443" s="17" t="n">
        <v>0</v>
      </c>
      <c r="Q443" s="18" t="n">
        <v>0</v>
      </c>
      <c r="R443" s="16" t="n">
        <v>67</v>
      </c>
      <c r="S443" s="17" t="n">
        <v>0</v>
      </c>
      <c r="T443" s="17" t="n">
        <v>0</v>
      </c>
      <c r="U443" s="17" t="n">
        <v>41</v>
      </c>
      <c r="V443" s="17" t="n">
        <v>2</v>
      </c>
      <c r="W443" s="17" t="n">
        <v>0</v>
      </c>
      <c r="X443" s="17" t="n">
        <v>11</v>
      </c>
      <c r="Y443" s="17" t="n">
        <v>13</v>
      </c>
      <c r="Z443" s="17" t="n">
        <v>0</v>
      </c>
      <c r="AA443" s="17" t="n">
        <v>0</v>
      </c>
      <c r="AB443" s="18" t="n">
        <v>0</v>
      </c>
      <c r="AC443" s="16" t="n">
        <v>-23</v>
      </c>
      <c r="AD443" s="17" t="n">
        <v>44</v>
      </c>
      <c r="AE443" s="17" t="n">
        <v>44</v>
      </c>
      <c r="AF443" s="17" t="n">
        <v>3</v>
      </c>
      <c r="AG443" s="17" t="n">
        <v>42</v>
      </c>
      <c r="AH443" s="17" t="n">
        <v>44</v>
      </c>
      <c r="AI443" s="17" t="n">
        <v>33</v>
      </c>
      <c r="AJ443" s="17" t="n">
        <v>31</v>
      </c>
      <c r="AK443" s="17" t="n">
        <v>44</v>
      </c>
      <c r="AL443" s="17" t="n">
        <v>44</v>
      </c>
      <c r="AM443" s="18" t="n">
        <v>44</v>
      </c>
      <c r="AN443" s="16" t="n">
        <v>365</v>
      </c>
      <c r="AO443" s="17" t="n">
        <v>0</v>
      </c>
      <c r="AP443" s="17" t="n">
        <v>0</v>
      </c>
      <c r="AQ443" s="17" t="n">
        <v>98</v>
      </c>
      <c r="AR443" s="17" t="n">
        <v>5</v>
      </c>
      <c r="AS443" s="17" t="n">
        <v>0</v>
      </c>
      <c r="AT443" s="17" t="n">
        <v>69</v>
      </c>
      <c r="AU443" s="17" t="n">
        <v>147</v>
      </c>
      <c r="AV443" s="17" t="n">
        <v>0</v>
      </c>
      <c r="AW443" s="17" t="n">
        <v>0</v>
      </c>
      <c r="AX443" s="18" t="n">
        <v>0</v>
      </c>
      <c r="AY443" s="16" t="n">
        <v>268</v>
      </c>
      <c r="AZ443" s="17" t="n">
        <v>0</v>
      </c>
      <c r="BA443" s="17" t="n">
        <v>0</v>
      </c>
      <c r="BB443" s="17" t="n">
        <v>164</v>
      </c>
      <c r="BC443" s="17" t="n">
        <v>8</v>
      </c>
      <c r="BD443" s="17" t="n">
        <v>0</v>
      </c>
      <c r="BE443" s="17" t="n">
        <v>44</v>
      </c>
      <c r="BF443" s="17" t="n">
        <v>52</v>
      </c>
      <c r="BG443" s="17" t="n">
        <v>0</v>
      </c>
      <c r="BH443" s="17" t="n">
        <v>0</v>
      </c>
      <c r="BI443" s="18" t="n">
        <v>0</v>
      </c>
      <c r="BJ443" s="16" t="n">
        <v>97</v>
      </c>
      <c r="BK443" s="17" t="n">
        <v>0</v>
      </c>
      <c r="BL443" s="17" t="n">
        <v>0</v>
      </c>
      <c r="BM443" s="17" t="n">
        <v>-66</v>
      </c>
      <c r="BN443" s="17" t="n">
        <v>-3</v>
      </c>
      <c r="BO443" s="17" t="n">
        <v>0</v>
      </c>
      <c r="BP443" s="17" t="n">
        <v>25</v>
      </c>
      <c r="BQ443" s="17" t="n">
        <v>95</v>
      </c>
      <c r="BR443" s="17" t="n">
        <v>0</v>
      </c>
      <c r="BS443" s="17" t="n">
        <v>0</v>
      </c>
      <c r="BT443" s="18" t="n">
        <v>0</v>
      </c>
      <c r="BU443" s="17" t="inlineStr">
        <is>
          <t>Generic Drug</t>
        </is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0</v>
      </c>
      <c r="J444" s="17" t="n">
        <v>24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8" t="n">
        <v>0</v>
      </c>
      <c r="R444" s="16" t="n">
        <v>0.8</v>
      </c>
      <c r="S444" s="17" t="n">
        <v>0</v>
      </c>
      <c r="T444" s="17" t="n">
        <v>0</v>
      </c>
      <c r="U444" s="17" t="n">
        <v>0.8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8" t="n">
        <v>0</v>
      </c>
      <c r="AC444" s="16" t="n">
        <v>-0.8</v>
      </c>
      <c r="AD444" s="17" t="n">
        <v>0</v>
      </c>
      <c r="AE444" s="17" t="n">
        <v>0</v>
      </c>
      <c r="AF444" s="17" t="n">
        <v>-0.8</v>
      </c>
      <c r="AG444" s="17" t="n">
        <v>0</v>
      </c>
      <c r="AH444" s="17" t="n">
        <v>0</v>
      </c>
      <c r="AI444" s="17" t="n">
        <v>0</v>
      </c>
      <c r="AJ444" s="17" t="n">
        <v>0</v>
      </c>
      <c r="AK444" s="17" t="n">
        <v>0</v>
      </c>
      <c r="AL444" s="17" t="n">
        <v>0</v>
      </c>
      <c r="AM444" s="18" t="n">
        <v>0</v>
      </c>
      <c r="AN444" s="16" t="n">
        <v>6</v>
      </c>
      <c r="AO444" s="17" t="n">
        <v>0</v>
      </c>
      <c r="AP444" s="17" t="n">
        <v>0</v>
      </c>
      <c r="AQ444" s="17" t="n">
        <v>6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8" t="n">
        <v>0</v>
      </c>
      <c r="AY444" s="16" t="n">
        <v>0</v>
      </c>
      <c r="AZ444" s="17" t="n">
        <v>0</v>
      </c>
      <c r="BA444" s="17" t="n">
        <v>0</v>
      </c>
      <c r="BB444" s="17" t="n">
        <v>0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7" t="n">
        <v>0</v>
      </c>
      <c r="BI444" s="18" t="n">
        <v>0</v>
      </c>
      <c r="BJ444" s="16" t="n">
        <v>6</v>
      </c>
      <c r="BK444" s="17" t="n">
        <v>0</v>
      </c>
      <c r="BL444" s="17" t="n">
        <v>0</v>
      </c>
      <c r="BM444" s="17" t="n">
        <v>6</v>
      </c>
      <c r="BN444" s="17" t="n">
        <v>0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</v>
      </c>
      <c r="BT444" s="18" t="n">
        <v>0</v>
      </c>
      <c r="BU444" s="17" t="inlineStr">
        <is>
          <t>Unclassified</t>
        </is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0</v>
      </c>
      <c r="J445" s="17" t="n">
        <v>225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8" t="n">
        <v>0</v>
      </c>
      <c r="R445" s="16" t="n">
        <v>3</v>
      </c>
      <c r="S445" s="17" t="n">
        <v>0</v>
      </c>
      <c r="T445" s="17" t="n">
        <v>0</v>
      </c>
      <c r="U445" s="17" t="n">
        <v>3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8" t="n">
        <v>0</v>
      </c>
      <c r="AC445" s="16" t="n">
        <v>-3</v>
      </c>
      <c r="AD445" s="17" t="n">
        <v>0</v>
      </c>
      <c r="AE445" s="17" t="n">
        <v>0</v>
      </c>
      <c r="AF445" s="17" t="n">
        <v>-3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8" t="n">
        <v>0</v>
      </c>
      <c r="AN445" s="16" t="n">
        <v>40</v>
      </c>
      <c r="AO445" s="17" t="n">
        <v>0</v>
      </c>
      <c r="AP445" s="17" t="n">
        <v>0</v>
      </c>
      <c r="AQ445" s="17" t="n">
        <v>32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8" t="n">
        <v>0</v>
      </c>
      <c r="AY445" s="16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8" t="n">
        <v>0</v>
      </c>
      <c r="BJ445" s="16" t="n">
        <v>40</v>
      </c>
      <c r="BK445" s="17" t="n">
        <v>0</v>
      </c>
      <c r="BL445" s="17" t="n">
        <v>0</v>
      </c>
      <c r="BM445" s="17" t="n">
        <v>32</v>
      </c>
      <c r="BN445" s="17" t="n">
        <v>0</v>
      </c>
      <c r="BO445" s="17" t="n">
        <v>0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8" t="n">
        <v>0</v>
      </c>
      <c r="BU445" s="17" t="inlineStr">
        <is>
          <t>Unclassified</t>
        </is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0</v>
      </c>
      <c r="J446" s="17" t="n">
        <v>15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8" t="n">
        <v>0</v>
      </c>
      <c r="R446" s="16" t="n">
        <v>1</v>
      </c>
      <c r="S446" s="17" t="n">
        <v>0</v>
      </c>
      <c r="T446" s="17" t="n">
        <v>0</v>
      </c>
      <c r="U446" s="17" t="n">
        <v>1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8" t="n">
        <v>0</v>
      </c>
      <c r="AC446" s="16" t="n">
        <v>1</v>
      </c>
      <c r="AD446" s="17" t="n">
        <v>2</v>
      </c>
      <c r="AE446" s="17" t="n">
        <v>2</v>
      </c>
      <c r="AF446" s="17" t="n">
        <v>1</v>
      </c>
      <c r="AG446" s="17" t="n">
        <v>2</v>
      </c>
      <c r="AH446" s="17" t="n">
        <v>2</v>
      </c>
      <c r="AI446" s="17" t="n">
        <v>2</v>
      </c>
      <c r="AJ446" s="17" t="n">
        <v>2</v>
      </c>
      <c r="AK446" s="17" t="n">
        <v>2</v>
      </c>
      <c r="AL446" s="17" t="n">
        <v>2</v>
      </c>
      <c r="AM446" s="18" t="n">
        <v>2</v>
      </c>
      <c r="AN446" s="16" t="n">
        <v>33</v>
      </c>
      <c r="AO446" s="17" t="n">
        <v>0</v>
      </c>
      <c r="AP446" s="17" t="n">
        <v>0</v>
      </c>
      <c r="AQ446" s="17" t="n">
        <v>31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8" t="n">
        <v>0</v>
      </c>
      <c r="AY446" s="16" t="n">
        <v>57</v>
      </c>
      <c r="AZ446" s="17" t="n">
        <v>0</v>
      </c>
      <c r="BA446" s="17" t="n">
        <v>0</v>
      </c>
      <c r="BB446" s="17" t="n">
        <v>57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8" t="n">
        <v>0</v>
      </c>
      <c r="BJ446" s="16" t="n">
        <v>-24</v>
      </c>
      <c r="BK446" s="17" t="n">
        <v>0</v>
      </c>
      <c r="BL446" s="17" t="n">
        <v>0</v>
      </c>
      <c r="BM446" s="17" t="n">
        <v>-26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</v>
      </c>
      <c r="BT446" s="18" t="n">
        <v>0</v>
      </c>
      <c r="BU446" s="17" t="inlineStr">
        <is>
          <t>Generic Drug</t>
        </is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0</v>
      </c>
      <c r="J447" s="17" t="n">
        <v>60</v>
      </c>
      <c r="K447" s="17" t="n">
        <v>0</v>
      </c>
      <c r="L447" s="17" t="n">
        <v>0</v>
      </c>
      <c r="M447" s="17" t="n">
        <v>0</v>
      </c>
      <c r="N447" s="17" t="n">
        <v>120</v>
      </c>
      <c r="O447" s="17" t="n">
        <v>0</v>
      </c>
      <c r="P447" s="17" t="n">
        <v>0</v>
      </c>
      <c r="Q447" s="18" t="n">
        <v>0</v>
      </c>
      <c r="R447" s="16" t="n">
        <v>3</v>
      </c>
      <c r="S447" s="17" t="n">
        <v>0</v>
      </c>
      <c r="T447" s="17" t="n">
        <v>0</v>
      </c>
      <c r="U447" s="17" t="n">
        <v>1</v>
      </c>
      <c r="V447" s="17" t="n">
        <v>0</v>
      </c>
      <c r="W447" s="17" t="n">
        <v>0</v>
      </c>
      <c r="X447" s="17" t="n">
        <v>0</v>
      </c>
      <c r="Y447" s="17" t="n">
        <v>2</v>
      </c>
      <c r="Z447" s="17" t="n">
        <v>0</v>
      </c>
      <c r="AA447" s="17" t="n">
        <v>0</v>
      </c>
      <c r="AB447" s="18" t="n">
        <v>0</v>
      </c>
      <c r="AC447" s="16" t="n">
        <v>-3</v>
      </c>
      <c r="AD447" s="17" t="n">
        <v>0</v>
      </c>
      <c r="AE447" s="17" t="n">
        <v>0</v>
      </c>
      <c r="AF447" s="17" t="n">
        <v>-1</v>
      </c>
      <c r="AG447" s="17" t="n">
        <v>0</v>
      </c>
      <c r="AH447" s="17" t="n">
        <v>0</v>
      </c>
      <c r="AI447" s="17" t="n">
        <v>0</v>
      </c>
      <c r="AJ447" s="17" t="n">
        <v>-2</v>
      </c>
      <c r="AK447" s="17" t="n">
        <v>0</v>
      </c>
      <c r="AL447" s="17" t="n">
        <v>0</v>
      </c>
      <c r="AM447" s="18" t="n">
        <v>0</v>
      </c>
      <c r="AN447" s="16" t="n">
        <v>34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29</v>
      </c>
      <c r="AV447" s="17" t="n">
        <v>0</v>
      </c>
      <c r="AW447" s="17" t="n">
        <v>0</v>
      </c>
      <c r="AX447" s="18" t="n">
        <v>0</v>
      </c>
      <c r="AY447" s="16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8" t="n">
        <v>0</v>
      </c>
      <c r="BJ447" s="16" t="n">
        <v>34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0</v>
      </c>
      <c r="BP447" s="17" t="n">
        <v>0</v>
      </c>
      <c r="BQ447" s="17" t="n">
        <v>29</v>
      </c>
      <c r="BR447" s="17" t="n">
        <v>0</v>
      </c>
      <c r="BS447" s="17" t="n">
        <v>0</v>
      </c>
      <c r="BT447" s="18" t="n">
        <v>0</v>
      </c>
      <c r="BU447" s="17" t="inlineStr">
        <is>
          <t>Unclassified</t>
        </is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30</v>
      </c>
      <c r="O448" s="17" t="n">
        <v>0</v>
      </c>
      <c r="P448" s="17" t="n">
        <v>0</v>
      </c>
      <c r="Q448" s="18" t="n">
        <v>0</v>
      </c>
      <c r="R448" s="16" t="n">
        <v>0.25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0.25</v>
      </c>
      <c r="Z448" s="17" t="n">
        <v>0</v>
      </c>
      <c r="AA448" s="17" t="n">
        <v>0</v>
      </c>
      <c r="AB448" s="18" t="n">
        <v>0</v>
      </c>
      <c r="AC448" s="16" t="n">
        <v>-0.25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-0.25</v>
      </c>
      <c r="AK448" s="17" t="n">
        <v>0</v>
      </c>
      <c r="AL448" s="17" t="n">
        <v>0</v>
      </c>
      <c r="AM448" s="18" t="n">
        <v>0</v>
      </c>
      <c r="AN448" s="16" t="n">
        <v>11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11</v>
      </c>
      <c r="AV448" s="17" t="n">
        <v>0</v>
      </c>
      <c r="AW448" s="17" t="n">
        <v>0</v>
      </c>
      <c r="AX448" s="18" t="n">
        <v>0</v>
      </c>
      <c r="AY448" s="16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8" t="n">
        <v>0</v>
      </c>
      <c r="BJ448" s="16" t="n">
        <v>11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11</v>
      </c>
      <c r="BR448" s="17" t="n">
        <v>0</v>
      </c>
      <c r="BS448" s="17" t="n">
        <v>0</v>
      </c>
      <c r="BT448" s="18" t="n">
        <v>0</v>
      </c>
      <c r="BU448" s="17" t="inlineStr">
        <is>
          <t>Unclassified</t>
        </is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0</v>
      </c>
      <c r="J449" s="17" t="n">
        <v>180</v>
      </c>
      <c r="K449" s="17" t="n">
        <v>180</v>
      </c>
      <c r="L449" s="17" t="n">
        <v>0</v>
      </c>
      <c r="M449" s="17" t="n">
        <v>180</v>
      </c>
      <c r="N449" s="17" t="n">
        <v>60</v>
      </c>
      <c r="O449" s="17" t="n">
        <v>0</v>
      </c>
      <c r="P449" s="17" t="n">
        <v>0</v>
      </c>
      <c r="Q449" s="18" t="n">
        <v>0</v>
      </c>
      <c r="R449" s="16" t="n">
        <v>1.2</v>
      </c>
      <c r="S449" s="17" t="n">
        <v>0</v>
      </c>
      <c r="T449" s="17" t="n">
        <v>0</v>
      </c>
      <c r="U449" s="17" t="n">
        <v>0.36</v>
      </c>
      <c r="V449" s="17" t="n">
        <v>0.36</v>
      </c>
      <c r="W449" s="17" t="n">
        <v>0</v>
      </c>
      <c r="X449" s="17" t="n">
        <v>0.36</v>
      </c>
      <c r="Y449" s="17" t="n">
        <v>0.12</v>
      </c>
      <c r="Z449" s="17" t="n">
        <v>0</v>
      </c>
      <c r="AA449" s="17" t="n">
        <v>0</v>
      </c>
      <c r="AB449" s="18" t="n">
        <v>0</v>
      </c>
      <c r="AC449" s="16" t="n">
        <v>-1.2</v>
      </c>
      <c r="AD449" s="17" t="n">
        <v>0</v>
      </c>
      <c r="AE449" s="17" t="n">
        <v>0</v>
      </c>
      <c r="AF449" s="17" t="n">
        <v>-0.36</v>
      </c>
      <c r="AG449" s="17" t="n">
        <v>-0.36</v>
      </c>
      <c r="AH449" s="17" t="n">
        <v>0</v>
      </c>
      <c r="AI449" s="17" t="n">
        <v>-0.36</v>
      </c>
      <c r="AJ449" s="17" t="n">
        <v>-0.12</v>
      </c>
      <c r="AK449" s="17" t="n">
        <v>0</v>
      </c>
      <c r="AL449" s="17" t="n">
        <v>0</v>
      </c>
      <c r="AM449" s="18" t="n">
        <v>0</v>
      </c>
      <c r="AN449" s="16" t="n">
        <v>68</v>
      </c>
      <c r="AO449" s="17" t="n">
        <v>0</v>
      </c>
      <c r="AP449" s="17" t="n">
        <v>0</v>
      </c>
      <c r="AQ449" s="17" t="n">
        <v>7</v>
      </c>
      <c r="AR449" s="17" t="n">
        <v>22</v>
      </c>
      <c r="AS449" s="17" t="n">
        <v>0</v>
      </c>
      <c r="AT449" s="17" t="n">
        <v>25</v>
      </c>
      <c r="AU449" s="17" t="n">
        <v>14</v>
      </c>
      <c r="AV449" s="17" t="n">
        <v>0</v>
      </c>
      <c r="AW449" s="17" t="n">
        <v>0</v>
      </c>
      <c r="AX449" s="18" t="n">
        <v>0</v>
      </c>
      <c r="AY449" s="16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8" t="n">
        <v>0</v>
      </c>
      <c r="BJ449" s="16" t="n">
        <v>68</v>
      </c>
      <c r="BK449" s="17" t="n">
        <v>0</v>
      </c>
      <c r="BL449" s="17" t="n">
        <v>0</v>
      </c>
      <c r="BM449" s="17" t="n">
        <v>7</v>
      </c>
      <c r="BN449" s="17" t="n">
        <v>22</v>
      </c>
      <c r="BO449" s="17" t="n">
        <v>0</v>
      </c>
      <c r="BP449" s="17" t="n">
        <v>25</v>
      </c>
      <c r="BQ449" s="17" t="n">
        <v>14</v>
      </c>
      <c r="BR449" s="17" t="n">
        <v>0</v>
      </c>
      <c r="BS449" s="17" t="n">
        <v>0</v>
      </c>
      <c r="BT449" s="18" t="n">
        <v>0</v>
      </c>
      <c r="BU449" s="17" t="inlineStr">
        <is>
          <t>Unclassified</t>
        </is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0</v>
      </c>
      <c r="J450" s="17" t="n">
        <v>60</v>
      </c>
      <c r="K450" s="17" t="n">
        <v>0</v>
      </c>
      <c r="L450" s="17" t="n">
        <v>0</v>
      </c>
      <c r="M450" s="17" t="n">
        <v>0</v>
      </c>
      <c r="N450" s="17" t="n">
        <v>120</v>
      </c>
      <c r="O450" s="17" t="n">
        <v>0</v>
      </c>
      <c r="P450" s="17" t="n">
        <v>0</v>
      </c>
      <c r="Q450" s="18" t="n">
        <v>0</v>
      </c>
      <c r="R450" s="16" t="n">
        <v>1.5</v>
      </c>
      <c r="S450" s="17" t="n">
        <v>0</v>
      </c>
      <c r="T450" s="17" t="n">
        <v>0</v>
      </c>
      <c r="U450" s="17" t="n">
        <v>0.5</v>
      </c>
      <c r="V450" s="17" t="n">
        <v>0</v>
      </c>
      <c r="W450" s="17" t="n">
        <v>0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8" t="n">
        <v>0</v>
      </c>
      <c r="AC450" s="16" t="n">
        <v>-1.5</v>
      </c>
      <c r="AD450" s="17" t="n">
        <v>0</v>
      </c>
      <c r="AE450" s="17" t="n">
        <v>0</v>
      </c>
      <c r="AF450" s="17" t="n">
        <v>-0.5</v>
      </c>
      <c r="AG450" s="17" t="n">
        <v>0</v>
      </c>
      <c r="AH450" s="17" t="n">
        <v>0</v>
      </c>
      <c r="AI450" s="17" t="n">
        <v>0</v>
      </c>
      <c r="AJ450" s="17" t="n">
        <v>-1</v>
      </c>
      <c r="AK450" s="17" t="n">
        <v>0</v>
      </c>
      <c r="AL450" s="17" t="n">
        <v>0</v>
      </c>
      <c r="AM450" s="18" t="n">
        <v>0</v>
      </c>
      <c r="AN450" s="16" t="n">
        <v>26</v>
      </c>
      <c r="AO450" s="17" t="n">
        <v>0</v>
      </c>
      <c r="AP450" s="17" t="n">
        <v>0</v>
      </c>
      <c r="AQ450" s="17" t="n">
        <v>4</v>
      </c>
      <c r="AR450" s="17" t="n">
        <v>0</v>
      </c>
      <c r="AS450" s="17" t="n">
        <v>0</v>
      </c>
      <c r="AT450" s="17" t="n">
        <v>0</v>
      </c>
      <c r="AU450" s="17" t="n">
        <v>22</v>
      </c>
      <c r="AV450" s="17" t="n">
        <v>0</v>
      </c>
      <c r="AW450" s="17" t="n">
        <v>0</v>
      </c>
      <c r="AX450" s="18" t="n">
        <v>0</v>
      </c>
      <c r="AY450" s="16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8" t="n">
        <v>0</v>
      </c>
      <c r="BJ450" s="16" t="n">
        <v>26</v>
      </c>
      <c r="BK450" s="17" t="n">
        <v>0</v>
      </c>
      <c r="BL450" s="17" t="n">
        <v>0</v>
      </c>
      <c r="BM450" s="17" t="n">
        <v>4</v>
      </c>
      <c r="BN450" s="17" t="n">
        <v>0</v>
      </c>
      <c r="BO450" s="17" t="n">
        <v>0</v>
      </c>
      <c r="BP450" s="17" t="n">
        <v>0</v>
      </c>
      <c r="BQ450" s="17" t="n">
        <v>22</v>
      </c>
      <c r="BR450" s="17" t="n">
        <v>0</v>
      </c>
      <c r="BS450" s="17" t="n">
        <v>0</v>
      </c>
      <c r="BT450" s="18" t="n">
        <v>0</v>
      </c>
      <c r="BU450" s="17" t="inlineStr">
        <is>
          <t>Unclassified</t>
        </is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0</v>
      </c>
      <c r="J451" s="17" t="n">
        <v>120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8" t="n">
        <v>0</v>
      </c>
      <c r="R451" s="16" t="n">
        <v>1.333</v>
      </c>
      <c r="S451" s="17" t="n">
        <v>0</v>
      </c>
      <c r="T451" s="17" t="n">
        <v>0</v>
      </c>
      <c r="U451" s="17" t="n">
        <v>1.333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8" t="n">
        <v>0</v>
      </c>
      <c r="AC451" s="16" t="n">
        <v>-1.333</v>
      </c>
      <c r="AD451" s="17" t="n">
        <v>0</v>
      </c>
      <c r="AE451" s="17" t="n">
        <v>0</v>
      </c>
      <c r="AF451" s="17" t="n">
        <v>-1.333</v>
      </c>
      <c r="AG451" s="17" t="n">
        <v>0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0</v>
      </c>
      <c r="AM451" s="18" t="n">
        <v>0</v>
      </c>
      <c r="AN451" s="16" t="n">
        <v>7</v>
      </c>
      <c r="AO451" s="17" t="n">
        <v>0</v>
      </c>
      <c r="AP451" s="17" t="n">
        <v>0</v>
      </c>
      <c r="AQ451" s="17" t="n">
        <v>6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8" t="n">
        <v>0</v>
      </c>
      <c r="AY451" s="16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8" t="n">
        <v>0</v>
      </c>
      <c r="BJ451" s="16" t="n">
        <v>7</v>
      </c>
      <c r="BK451" s="17" t="n">
        <v>0</v>
      </c>
      <c r="BL451" s="17" t="n">
        <v>0</v>
      </c>
      <c r="BM451" s="17" t="n">
        <v>6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7" t="n">
        <v>0</v>
      </c>
      <c r="BT451" s="18" t="n">
        <v>0</v>
      </c>
      <c r="BU451" s="17" t="inlineStr">
        <is>
          <t>Unclassified</t>
        </is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0</v>
      </c>
      <c r="J452" 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/c>
      <c r="O452" s="17" t="n">
        <v>0</v>
      </c>
      <c r="P452" s="17" t="n">
        <v>0</v>
      </c>
      <c r="Q452" s="18" t="n">
        <v>0</v>
      </c>
      <c r="R452" s="16" t="n">
        <v>0.88</v>
      </c>
      <c r="S452" s="17" t="n">
        <v>0</v>
      </c>
      <c r="T452" s="17" t="n">
        <v>0</v>
      </c>
      <c r="U452" s="17" t="n">
        <v>0.48</v>
      </c>
      <c r="V452" s="17" t="n">
        <v>0</v>
      </c>
      <c r="W452" s="17" t="n">
        <v>0</v>
      </c>
      <c r="X452" s="17" t="n">
        <v>0</v>
      </c>
      <c r="Y452" s="17" t="n">
        <v>0.4</v>
      </c>
      <c r="Z452" s="17" t="n">
        <v>0</v>
      </c>
      <c r="AA452" s="17" t="n">
        <v>0</v>
      </c>
      <c r="AB452" s="18" t="n">
        <v>0</v>
      </c>
      <c r="AC452" s="16" t="n">
        <v>-0.88</v>
      </c>
      <c r="AD452" s="17" t="n">
        <v>0</v>
      </c>
      <c r="AE452" s="17" t="n">
        <v>0</v>
      </c>
      <c r="AF452" s="17" t="n">
        <v>-0.48</v>
      </c>
      <c r="AG452" s="17" t="n">
        <v>0</v>
      </c>
      <c r="AH452" s="17" t="n">
        <v>0</v>
      </c>
      <c r="AI452" s="17" t="n">
        <v>0</v>
      </c>
      <c r="AJ452" s="17" t="n">
        <v>-0.4</v>
      </c>
      <c r="AK452" s="17" t="n">
        <v>0</v>
      </c>
      <c r="AL452" s="17" t="n">
        <v>0</v>
      </c>
      <c r="AM452" s="18" t="n">
        <v>0</v>
      </c>
      <c r="AN452" s="16" t="n">
        <v>25</v>
      </c>
      <c r="AO452" s="17" t="n">
        <v>0</v>
      </c>
      <c r="AP452" s="17" t="n">
        <v>0</v>
      </c>
      <c r="AQ452" s="17" t="n">
        <v>1</v>
      </c>
      <c r="AR452" s="17" t="n">
        <v>0</v>
      </c>
      <c r="AS452" s="17" t="n">
        <v>0</v>
      </c>
      <c r="AT452" s="17" t="n">
        <v>0</v>
      </c>
      <c r="AU452" s="17" t="n">
        <v>23</v>
      </c>
      <c r="AV452" s="17" t="n">
        <v>0</v>
      </c>
      <c r="AW452" s="17" t="n">
        <v>0</v>
      </c>
      <c r="AX452" s="18" t="n">
        <v>0</v>
      </c>
      <c r="AY452" s="16" t="n">
        <v>0</v>
      </c>
      <c r="AZ452" s="17" t="n">
        <v>0</v>
      </c>
      <c r="BA452" s="17" t="n">
        <v>0</v>
      </c>
      <c r="BB452" s="17" t="n">
        <v>0</v>
      </c>
      <c r="BC452" s="17" t="n">
        <v>0</v>
      </c>
      <c r="BD452" s="17" t="n">
        <v>0</v>
      </c>
      <c r="BE452" s="17" t="n">
        <v>0</v>
      </c>
      <c r="BF452" s="17" t="n">
        <v>0</v>
      </c>
      <c r="BG452" s="17" t="n">
        <v>0</v>
      </c>
      <c r="BH452" s="17" t="n">
        <v>0</v>
      </c>
      <c r="BI452" s="18" t="n">
        <v>0</v>
      </c>
      <c r="BJ452" s="16" t="n">
        <v>25</v>
      </c>
      <c r="BK452" s="17" t="n">
        <v>0</v>
      </c>
      <c r="BL452" s="17" t="n">
        <v>0</v>
      </c>
      <c r="BM452" s="17" t="n">
        <v>1</v>
      </c>
      <c r="BN452" s="17" t="n">
        <v>0</v>
      </c>
      <c r="BO452" s="17" t="n">
        <v>0</v>
      </c>
      <c r="BP452" s="17" t="n">
        <v>0</v>
      </c>
      <c r="BQ452" s="17" t="n">
        <v>23</v>
      </c>
      <c r="BR452" s="17" t="n">
        <v>0</v>
      </c>
      <c r="BS452" s="17" t="n">
        <v>0</v>
      </c>
      <c r="BT452" s="18" t="n">
        <v>0</v>
      </c>
      <c r="BU452" s="17" t="inlineStr">
        <is>
          <t>Unclassified</t>
        </is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14</v>
      </c>
      <c r="O453" s="17" t="n">
        <v>0</v>
      </c>
      <c r="P453" s="17" t="n">
        <v>0</v>
      </c>
      <c r="Q453" s="18" t="n">
        <v>0</v>
      </c>
      <c r="R453" s="16" t="n">
        <v>0.7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0.7</v>
      </c>
      <c r="Z453" s="17" t="n">
        <v>0</v>
      </c>
      <c r="AA453" s="17" t="n">
        <v>0</v>
      </c>
      <c r="AB453" s="18" t="n">
        <v>0</v>
      </c>
      <c r="AC453" s="16" t="n">
        <v>-0.7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-0.7</v>
      </c>
      <c r="AK453" s="17" t="n">
        <v>0</v>
      </c>
      <c r="AL453" s="17" t="n">
        <v>0</v>
      </c>
      <c r="AM453" s="18" t="n">
        <v>0</v>
      </c>
      <c r="AN453" s="16" t="n">
        <v>14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13</v>
      </c>
      <c r="AV453" s="17" t="n">
        <v>0</v>
      </c>
      <c r="AW453" s="17" t="n">
        <v>0</v>
      </c>
      <c r="AX453" s="18" t="n">
        <v>0</v>
      </c>
      <c r="AY453" s="16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8" t="n">
        <v>0</v>
      </c>
      <c r="BJ453" s="16" t="n">
        <v>14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13</v>
      </c>
      <c r="BR453" s="17" t="n">
        <v>0</v>
      </c>
      <c r="BS453" s="17" t="n">
        <v>0</v>
      </c>
      <c r="BT453" s="18" t="n">
        <v>0</v>
      </c>
      <c r="BU453" s="17" t="inlineStr">
        <is>
          <t>Unclassified</t>
        </is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0</v>
      </c>
      <c r="J454" s="17" t="n">
        <v>210</v>
      </c>
      <c r="K454" s="17" t="n">
        <v>90</v>
      </c>
      <c r="L454" s="17" t="n">
        <v>0</v>
      </c>
      <c r="M454" s="17" t="n">
        <v>0</v>
      </c>
      <c r="N454" s="17" t="n">
        <v>150</v>
      </c>
      <c r="O454" s="17" t="n">
        <v>30</v>
      </c>
      <c r="P454" s="17" t="n">
        <v>0</v>
      </c>
      <c r="Q454" s="18" t="n">
        <v>0</v>
      </c>
      <c r="R454" s="16" t="n">
        <v>0.48</v>
      </c>
      <c r="S454" s="17" t="n">
        <v>0</v>
      </c>
      <c r="T454" s="17" t="n">
        <v>0</v>
      </c>
      <c r="U454" s="17" t="n">
        <v>0.21</v>
      </c>
      <c r="V454" s="17" t="n">
        <v>0.09</v>
      </c>
      <c r="W454" s="17" t="n">
        <v>0</v>
      </c>
      <c r="X454" s="17" t="n">
        <v>0</v>
      </c>
      <c r="Y454" s="17" t="n">
        <v>0.15</v>
      </c>
      <c r="Z454" s="17" t="n">
        <v>0.03</v>
      </c>
      <c r="AA454" s="17" t="n">
        <v>0</v>
      </c>
      <c r="AB454" s="18" t="n">
        <v>0</v>
      </c>
      <c r="AC454" s="16" t="n">
        <v>-0.48</v>
      </c>
      <c r="AD454" s="17" t="n">
        <v>0</v>
      </c>
      <c r="AE454" s="17" t="n">
        <v>0</v>
      </c>
      <c r="AF454" s="17" t="n">
        <v>-0.21</v>
      </c>
      <c r="AG454" s="17" t="n">
        <v>-0.09</v>
      </c>
      <c r="AH454" s="17" t="n">
        <v>0</v>
      </c>
      <c r="AI454" s="17" t="n">
        <v>0</v>
      </c>
      <c r="AJ454" s="17" t="n">
        <v>-0.15</v>
      </c>
      <c r="AK454" s="17" t="n">
        <v>-0.03</v>
      </c>
      <c r="AL454" s="17" t="n">
        <v>0</v>
      </c>
      <c r="AM454" s="18" t="n">
        <v>0</v>
      </c>
      <c r="AN454" s="16" t="n">
        <v>104</v>
      </c>
      <c r="AO454" s="17" t="n">
        <v>0</v>
      </c>
      <c r="AP454" s="17" t="n">
        <v>0</v>
      </c>
      <c r="AQ454" s="17" t="n">
        <v>51</v>
      </c>
      <c r="AR454" s="17" t="n">
        <v>4</v>
      </c>
      <c r="AS454" s="17" t="n">
        <v>0</v>
      </c>
      <c r="AT454" s="17" t="n">
        <v>0</v>
      </c>
      <c r="AU454" s="17" t="n">
        <v>38</v>
      </c>
      <c r="AV454" s="17" t="n">
        <v>0</v>
      </c>
      <c r="AW454" s="17" t="n">
        <v>0</v>
      </c>
      <c r="AX454" s="18" t="n">
        <v>0</v>
      </c>
      <c r="AY454" s="16" t="n">
        <v>0</v>
      </c>
      <c r="AZ454" s="17" t="n">
        <v>0</v>
      </c>
      <c r="BA454" s="17" t="n">
        <v>0</v>
      </c>
      <c r="BB454" s="17" t="n">
        <v>0</v>
      </c>
      <c r="BC454" s="17" t="n">
        <v>0</v>
      </c>
      <c r="BD454" s="17" t="n">
        <v>0</v>
      </c>
      <c r="BE454" s="17" t="n">
        <v>0</v>
      </c>
      <c r="BF454" s="17" t="n">
        <v>0</v>
      </c>
      <c r="BG454" s="17" t="n">
        <v>0</v>
      </c>
      <c r="BH454" s="17" t="n">
        <v>0</v>
      </c>
      <c r="BI454" s="18" t="n">
        <v>0</v>
      </c>
      <c r="BJ454" s="16" t="n">
        <v>104</v>
      </c>
      <c r="BK454" s="17" t="n">
        <v>0</v>
      </c>
      <c r="BL454" s="17" t="n">
        <v>0</v>
      </c>
      <c r="BM454" s="17" t="n">
        <v>51</v>
      </c>
      <c r="BN454" s="17" t="n">
        <v>4</v>
      </c>
      <c r="BO454" s="17" t="n">
        <v>0</v>
      </c>
      <c r="BP454" s="17" t="n">
        <v>0</v>
      </c>
      <c r="BQ454" s="17" t="n">
        <v>38</v>
      </c>
      <c r="BR454" s="17" t="n">
        <v>0</v>
      </c>
      <c r="BS454" s="17" t="n">
        <v>0</v>
      </c>
      <c r="BT454" s="18" t="n">
        <v>0</v>
      </c>
      <c r="BU454" s="17" t="inlineStr">
        <is>
          <t>Unclassified</t>
        </is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0</v>
      </c>
      <c r="J455" s="17" t="n">
        <v>90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8" t="n">
        <v>0</v>
      </c>
      <c r="R455" s="16" t="n">
        <v>0.09</v>
      </c>
      <c r="S455" s="17" t="n">
        <v>0</v>
      </c>
      <c r="T455" s="17" t="n">
        <v>0</v>
      </c>
      <c r="U455" s="17" t="n">
        <v>0.09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8" t="n">
        <v>0</v>
      </c>
      <c r="AC455" s="16" t="n">
        <v>-0.09</v>
      </c>
      <c r="AD455" s="17" t="n">
        <v>0</v>
      </c>
      <c r="AE455" s="17" t="n">
        <v>0</v>
      </c>
      <c r="AF455" s="17" t="n">
        <v>-0.09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0</v>
      </c>
      <c r="AM455" s="18" t="n">
        <v>0</v>
      </c>
      <c r="AN455" s="16" t="n">
        <v>26</v>
      </c>
      <c r="AO455" s="17" t="n">
        <v>0</v>
      </c>
      <c r="AP455" s="17" t="n">
        <v>0</v>
      </c>
      <c r="AQ455" s="17" t="n">
        <v>26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8" t="n">
        <v>0</v>
      </c>
      <c r="AY455" s="16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8" t="n">
        <v>0</v>
      </c>
      <c r="BJ455" s="16" t="n">
        <v>26</v>
      </c>
      <c r="BK455" s="17" t="n">
        <v>0</v>
      </c>
      <c r="BL455" s="17" t="n">
        <v>0</v>
      </c>
      <c r="BM455" s="17" t="n">
        <v>26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</v>
      </c>
      <c r="BT455" s="18" t="n">
        <v>0</v>
      </c>
      <c r="BU455" s="17" t="inlineStr">
        <is>
          <t>Unclassified</t>
        </is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0</v>
      </c>
      <c r="J456" s="17" t="n">
        <v>210</v>
      </c>
      <c r="K456" s="17" t="n">
        <v>30</v>
      </c>
      <c r="L456" s="17" t="n">
        <v>0</v>
      </c>
      <c r="M456" s="17" t="n">
        <v>0</v>
      </c>
      <c r="N456" s="17" t="n">
        <v>90</v>
      </c>
      <c r="O456" s="17" t="n">
        <v>0</v>
      </c>
      <c r="P456" s="17" t="n">
        <v>0</v>
      </c>
      <c r="Q456" s="18" t="n">
        <v>0</v>
      </c>
      <c r="R456" s="16" t="n">
        <v>0.33</v>
      </c>
      <c r="S456" s="17" t="n">
        <v>0</v>
      </c>
      <c r="T456" s="17" t="n">
        <v>0</v>
      </c>
      <c r="U456" s="17" t="n">
        <v>0.21</v>
      </c>
      <c r="V456" s="17" t="n">
        <v>0.03</v>
      </c>
      <c r="W456" s="17" t="n">
        <v>0</v>
      </c>
      <c r="X456" s="17" t="n">
        <v>0</v>
      </c>
      <c r="Y456" s="17" t="n">
        <v>0.09</v>
      </c>
      <c r="Z456" s="17" t="n">
        <v>0</v>
      </c>
      <c r="AA456" s="17" t="n">
        <v>0</v>
      </c>
      <c r="AB456" s="18" t="n">
        <v>0</v>
      </c>
      <c r="AC456" s="16" t="n">
        <v>-0.33</v>
      </c>
      <c r="AD456" s="17" t="n">
        <v>0</v>
      </c>
      <c r="AE456" s="17" t="n">
        <v>0</v>
      </c>
      <c r="AF456" s="17" t="n">
        <v>-0.21</v>
      </c>
      <c r="AG456" s="17" t="n">
        <v>-0.03</v>
      </c>
      <c r="AH456" s="17" t="n">
        <v>0</v>
      </c>
      <c r="AI456" s="17" t="n">
        <v>0</v>
      </c>
      <c r="AJ456" s="17" t="n">
        <v>-0.09</v>
      </c>
      <c r="AK456" s="17" t="n">
        <v>0</v>
      </c>
      <c r="AL456" s="17" t="n">
        <v>0</v>
      </c>
      <c r="AM456" s="18" t="n">
        <v>0</v>
      </c>
      <c r="AN456" s="16" t="n">
        <v>74</v>
      </c>
      <c r="AO456" s="17" t="n">
        <v>0</v>
      </c>
      <c r="AP456" s="17" t="n">
        <v>0</v>
      </c>
      <c r="AQ456" s="17" t="n">
        <v>54</v>
      </c>
      <c r="AR456" s="17" t="n">
        <v>4</v>
      </c>
      <c r="AS456" s="17" t="n">
        <v>0</v>
      </c>
      <c r="AT456" s="17" t="n">
        <v>0</v>
      </c>
      <c r="AU456" s="17" t="n">
        <v>16</v>
      </c>
      <c r="AV456" s="17" t="n">
        <v>0</v>
      </c>
      <c r="AW456" s="17" t="n">
        <v>0</v>
      </c>
      <c r="AX456" s="18" t="n">
        <v>0</v>
      </c>
      <c r="AY456" s="16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8" t="n">
        <v>0</v>
      </c>
      <c r="BJ456" s="16" t="n">
        <v>74</v>
      </c>
      <c r="BK456" s="17" t="n">
        <v>0</v>
      </c>
      <c r="BL456" s="17" t="n">
        <v>0</v>
      </c>
      <c r="BM456" s="17" t="n">
        <v>54</v>
      </c>
      <c r="BN456" s="17" t="n">
        <v>4</v>
      </c>
      <c r="BO456" s="17" t="n">
        <v>0</v>
      </c>
      <c r="BP456" s="17" t="n">
        <v>0</v>
      </c>
      <c r="BQ456" s="17" t="n">
        <v>16</v>
      </c>
      <c r="BR456" s="17" t="n">
        <v>0</v>
      </c>
      <c r="BS456" s="17" t="n">
        <v>0</v>
      </c>
      <c r="BT456" s="18" t="n">
        <v>0</v>
      </c>
      <c r="BU456" s="17" t="inlineStr">
        <is>
          <t>Unclassified</t>
        </is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40</v>
      </c>
      <c r="O457" s="17" t="n">
        <v>0</v>
      </c>
      <c r="P457" s="17" t="n">
        <v>0</v>
      </c>
      <c r="Q457" s="18" t="n">
        <v>0</v>
      </c>
      <c r="R457" s="16" t="n">
        <v>0.04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0.04</v>
      </c>
      <c r="Z457" s="17" t="n">
        <v>0</v>
      </c>
      <c r="AA457" s="17" t="n">
        <v>0</v>
      </c>
      <c r="AB457" s="18" t="n">
        <v>0</v>
      </c>
      <c r="AC457" s="16" t="n">
        <v>-0.04</v>
      </c>
      <c r="AD457" s="17" t="n">
        <v>0</v>
      </c>
      <c r="AE457" s="17" t="n">
        <v>0</v>
      </c>
      <c r="AF457" s="17" t="n">
        <v>0</v>
      </c>
      <c r="AG457" s="17" t="n">
        <v>0</v>
      </c>
      <c r="AH457" s="17" t="n">
        <v>0</v>
      </c>
      <c r="AI457" s="17" t="n">
        <v>0</v>
      </c>
      <c r="AJ457" s="17" t="n">
        <v>-0.04</v>
      </c>
      <c r="AK457" s="17" t="n">
        <v>0</v>
      </c>
      <c r="AL457" s="17" t="n">
        <v>0</v>
      </c>
      <c r="AM457" s="18" t="n">
        <v>0</v>
      </c>
      <c r="AN457" s="16" t="n">
        <v>12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12</v>
      </c>
      <c r="AV457" s="17" t="n">
        <v>0</v>
      </c>
      <c r="AW457" s="17" t="n">
        <v>0</v>
      </c>
      <c r="AX457" s="18" t="n">
        <v>0</v>
      </c>
      <c r="AY457" s="16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8" t="n">
        <v>0</v>
      </c>
      <c r="BJ457" s="16" t="n">
        <v>12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12</v>
      </c>
      <c r="BR457" s="17" t="n">
        <v>0</v>
      </c>
      <c r="BS457" s="17" t="n">
        <v>0</v>
      </c>
      <c r="BT457" s="18" t="n">
        <v>0</v>
      </c>
      <c r="BU457" s="17" t="inlineStr">
        <is>
          <t>Unclassified</t>
        </is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0</v>
      </c>
      <c r="J458" s="17" t="n">
        <v>210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30</v>
      </c>
      <c r="P458" s="17" t="n">
        <v>0</v>
      </c>
      <c r="Q458" s="18" t="n">
        <v>0</v>
      </c>
      <c r="R458" s="16" t="n">
        <v>0.24</v>
      </c>
      <c r="S458" s="17" t="n">
        <v>0</v>
      </c>
      <c r="T458" s="17" t="n">
        <v>0</v>
      </c>
      <c r="U458" s="17" t="n">
        <v>0.21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0.03</v>
      </c>
      <c r="AA458" s="17" t="n">
        <v>0</v>
      </c>
      <c r="AB458" s="18" t="n">
        <v>0</v>
      </c>
      <c r="AC458" s="16" t="n">
        <v>-0.24</v>
      </c>
      <c r="AD458" s="17" t="n">
        <v>0</v>
      </c>
      <c r="AE458" s="17" t="n">
        <v>0</v>
      </c>
      <c r="AF458" s="17" t="n">
        <v>-0.21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-0.03</v>
      </c>
      <c r="AL458" s="17" t="n">
        <v>0</v>
      </c>
      <c r="AM458" s="18" t="n">
        <v>0</v>
      </c>
      <c r="AN458" s="16" t="n">
        <v>39</v>
      </c>
      <c r="AO458" s="17" t="n">
        <v>0</v>
      </c>
      <c r="AP458" s="17" t="n">
        <v>0</v>
      </c>
      <c r="AQ458" s="17" t="n">
        <v>31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3</v>
      </c>
      <c r="AW458" s="17" t="n">
        <v>0</v>
      </c>
      <c r="AX458" s="18" t="n">
        <v>0</v>
      </c>
      <c r="AY458" s="16" t="n">
        <v>0</v>
      </c>
      <c r="AZ458" s="17" t="n">
        <v>0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7" t="n">
        <v>0</v>
      </c>
      <c r="BG458" s="17" t="n">
        <v>0</v>
      </c>
      <c r="BH458" s="17" t="n">
        <v>0</v>
      </c>
      <c r="BI458" s="18" t="n">
        <v>0</v>
      </c>
      <c r="BJ458" s="16" t="n">
        <v>39</v>
      </c>
      <c r="BK458" s="17" t="n">
        <v>0</v>
      </c>
      <c r="BL458" s="17" t="n">
        <v>0</v>
      </c>
      <c r="BM458" s="17" t="n">
        <v>31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3</v>
      </c>
      <c r="BS458" s="17" t="n">
        <v>0</v>
      </c>
      <c r="BT458" s="18" t="n">
        <v>0</v>
      </c>
      <c r="BU458" s="17" t="inlineStr">
        <is>
          <t>Unclassified</t>
        </is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0</v>
      </c>
      <c r="J459" s="17" t="n">
        <v>150</v>
      </c>
      <c r="K459" s="17" t="n">
        <v>30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8" t="n">
        <v>0</v>
      </c>
      <c r="R459" s="16" t="n">
        <v>0.18</v>
      </c>
      <c r="S459" s="17" t="n">
        <v>0</v>
      </c>
      <c r="T459" s="17" t="n">
        <v>0</v>
      </c>
      <c r="U459" s="17" t="n">
        <v>0.15</v>
      </c>
      <c r="V459" s="17" t="n">
        <v>0.03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8" t="n">
        <v>0</v>
      </c>
      <c r="AC459" s="16" t="n">
        <v>-0.18</v>
      </c>
      <c r="AD459" s="17" t="n">
        <v>0</v>
      </c>
      <c r="AE459" s="17" t="n">
        <v>0</v>
      </c>
      <c r="AF459" s="17" t="n">
        <v>-0.15</v>
      </c>
      <c r="AG459" s="17" t="n">
        <v>-0.03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8" t="n">
        <v>0</v>
      </c>
      <c r="AN459" s="16" t="n">
        <v>44</v>
      </c>
      <c r="AO459" s="17" t="n">
        <v>0</v>
      </c>
      <c r="AP459" s="17" t="n">
        <v>0</v>
      </c>
      <c r="AQ459" s="17" t="n">
        <v>26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8" t="n">
        <v>0</v>
      </c>
      <c r="AY459" s="16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8" t="n">
        <v>0</v>
      </c>
      <c r="BJ459" s="16" t="n">
        <v>44</v>
      </c>
      <c r="BK459" s="17" t="n">
        <v>0</v>
      </c>
      <c r="BL459" s="17" t="n">
        <v>0</v>
      </c>
      <c r="BM459" s="17" t="n">
        <v>26</v>
      </c>
      <c r="BN459" s="17" t="n">
        <v>0</v>
      </c>
      <c r="BO459" s="17" t="n">
        <v>0</v>
      </c>
      <c r="BP459" s="17" t="n">
        <v>0</v>
      </c>
      <c r="BQ459" s="17" t="n">
        <v>0</v>
      </c>
      <c r="BR459" s="17" t="n">
        <v>0</v>
      </c>
      <c r="BS459" s="17" t="n">
        <v>0</v>
      </c>
      <c r="BT459" s="18" t="n">
        <v>0</v>
      </c>
      <c r="BU459" s="17" t="inlineStr">
        <is>
          <t>Unclassified</t>
        </is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0</v>
      </c>
      <c r="J460" s="17" t="n">
        <v>330</v>
      </c>
      <c r="K460" s="17" t="n">
        <v>0</v>
      </c>
      <c r="L460" s="17" t="n">
        <v>0</v>
      </c>
      <c r="M460" s="17" t="n">
        <v>0</v>
      </c>
      <c r="N460" s="17" t="n">
        <v>90</v>
      </c>
      <c r="O460" s="17" t="n">
        <v>0</v>
      </c>
      <c r="P460" s="17" t="n">
        <v>0</v>
      </c>
      <c r="Q460" s="18" t="n">
        <v>0</v>
      </c>
      <c r="R460" s="16" t="n">
        <v>0.42</v>
      </c>
      <c r="S460" s="17" t="n">
        <v>0</v>
      </c>
      <c r="T460" s="17" t="n">
        <v>0</v>
      </c>
      <c r="U460" s="17" t="n">
        <v>0.33</v>
      </c>
      <c r="V460" s="17" t="n">
        <v>0</v>
      </c>
      <c r="W460" s="17" t="n">
        <v>0</v>
      </c>
      <c r="X460" s="17" t="n">
        <v>0</v>
      </c>
      <c r="Y460" s="17" t="n">
        <v>0.09</v>
      </c>
      <c r="Z460" s="17" t="n">
        <v>0</v>
      </c>
      <c r="AA460" s="17" t="n">
        <v>0</v>
      </c>
      <c r="AB460" s="18" t="n">
        <v>0</v>
      </c>
      <c r="AC460" s="16" t="n">
        <v>-0.42</v>
      </c>
      <c r="AD460" s="17" t="n">
        <v>0</v>
      </c>
      <c r="AE460" s="17" t="n">
        <v>0</v>
      </c>
      <c r="AF460" s="17" t="n">
        <v>-0.33</v>
      </c>
      <c r="AG460" s="17" t="n">
        <v>0</v>
      </c>
      <c r="AH460" s="17" t="n">
        <v>0</v>
      </c>
      <c r="AI460" s="17" t="n">
        <v>0</v>
      </c>
      <c r="AJ460" s="17" t="n">
        <v>-0.09</v>
      </c>
      <c r="AK460" s="17" t="n">
        <v>0</v>
      </c>
      <c r="AL460" s="17" t="n">
        <v>0</v>
      </c>
      <c r="AM460" s="18" t="n">
        <v>0</v>
      </c>
      <c r="AN460" s="16" t="n">
        <v>89</v>
      </c>
      <c r="AO460" s="17" t="n">
        <v>0</v>
      </c>
      <c r="AP460" s="17" t="n">
        <v>0</v>
      </c>
      <c r="AQ460" s="17" t="n">
        <v>68</v>
      </c>
      <c r="AR460" s="17" t="n">
        <v>0</v>
      </c>
      <c r="AS460" s="17" t="n">
        <v>0</v>
      </c>
      <c r="AT460" s="17" t="n">
        <v>0</v>
      </c>
      <c r="AU460" s="17" t="n">
        <v>15</v>
      </c>
      <c r="AV460" s="17" t="n">
        <v>0</v>
      </c>
      <c r="AW460" s="17" t="n">
        <v>0</v>
      </c>
      <c r="AX460" s="18" t="n">
        <v>0</v>
      </c>
      <c r="AY460" s="16" t="n">
        <v>0</v>
      </c>
      <c r="AZ460" s="17" t="n">
        <v>0</v>
      </c>
      <c r="BA460" s="17" t="n">
        <v>0</v>
      </c>
      <c r="BB460" s="17" t="n">
        <v>0</v>
      </c>
      <c r="BC460" s="17" t="n">
        <v>0</v>
      </c>
      <c r="BD460" s="17" t="n">
        <v>0</v>
      </c>
      <c r="BE460" s="17" t="n">
        <v>0</v>
      </c>
      <c r="BF460" s="17" t="n">
        <v>0</v>
      </c>
      <c r="BG460" s="17" t="n">
        <v>0</v>
      </c>
      <c r="BH460" s="17" t="n">
        <v>0</v>
      </c>
      <c r="BI460" s="18" t="n">
        <v>0</v>
      </c>
      <c r="BJ460" s="16" t="n">
        <v>89</v>
      </c>
      <c r="BK460" s="17" t="n">
        <v>0</v>
      </c>
      <c r="BL460" s="17" t="n">
        <v>0</v>
      </c>
      <c r="BM460" s="17" t="n">
        <v>68</v>
      </c>
      <c r="BN460" s="17" t="n">
        <v>0</v>
      </c>
      <c r="BO460" s="17" t="n">
        <v>0</v>
      </c>
      <c r="BP460" s="17" t="n">
        <v>0</v>
      </c>
      <c r="BQ460" s="17" t="n">
        <v>15</v>
      </c>
      <c r="BR460" s="17" t="n">
        <v>0</v>
      </c>
      <c r="BS460" s="17" t="n">
        <v>0</v>
      </c>
      <c r="BT460" s="18" t="n">
        <v>0</v>
      </c>
      <c r="BU460" s="17" t="inlineStr">
        <is>
          <t>Unclassified</t>
        </is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0</v>
      </c>
      <c r="K461" s="17" t="n">
        <v>30</v>
      </c>
      <c r="L461" s="17" t="n">
        <v>0</v>
      </c>
      <c r="M461" s="17" t="n">
        <v>0</v>
      </c>
      <c r="N461" s="17" t="n">
        <v>0</v>
      </c>
      <c r="O461" s="17" t="n">
        <v>30</v>
      </c>
      <c r="P461" s="17" t="n">
        <v>0</v>
      </c>
      <c r="Q461" s="18" t="n">
        <v>0</v>
      </c>
      <c r="R461" s="16" t="n">
        <v>0.06</v>
      </c>
      <c r="S461" s="17" t="n">
        <v>0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7" t="n">
        <v>0</v>
      </c>
      <c r="Y461" s="17" t="n">
        <v>0</v>
      </c>
      <c r="Z461" s="17" t="n">
        <v>0.03</v>
      </c>
      <c r="AA461" s="17" t="n">
        <v>0</v>
      </c>
      <c r="AB461" s="18" t="n">
        <v>0</v>
      </c>
      <c r="AC461" s="16" t="n">
        <v>-0.06</v>
      </c>
      <c r="AD461" s="17" t="n">
        <v>0</v>
      </c>
      <c r="AE461" s="17" t="n">
        <v>0</v>
      </c>
      <c r="AF461" s="17" t="n">
        <v>0</v>
      </c>
      <c r="AG461" s="17" t="n">
        <v>-0.03</v>
      </c>
      <c r="AH461" s="17" t="n">
        <v>0</v>
      </c>
      <c r="AI461" s="17" t="n">
        <v>0</v>
      </c>
      <c r="AJ461" s="17" t="n">
        <v>0</v>
      </c>
      <c r="AK461" s="17" t="n">
        <v>-0.03</v>
      </c>
      <c r="AL461" s="17" t="n">
        <v>0</v>
      </c>
      <c r="AM461" s="18" t="n">
        <v>0</v>
      </c>
      <c r="AN461" s="16" t="n">
        <v>5</v>
      </c>
      <c r="AO461" s="17" t="n">
        <v>0</v>
      </c>
      <c r="AP461" s="17" t="n">
        <v>0</v>
      </c>
      <c r="AQ461" s="17" t="n">
        <v>0</v>
      </c>
      <c r="AR461" s="17" t="n">
        <v>1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8" t="n">
        <v>0</v>
      </c>
      <c r="AY461" s="16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8" t="n">
        <v>0</v>
      </c>
      <c r="BJ461" s="16" t="n">
        <v>5</v>
      </c>
      <c r="BK461" s="17" t="n">
        <v>0</v>
      </c>
      <c r="BL461" s="17" t="n">
        <v>0</v>
      </c>
      <c r="BM461" s="17" t="n">
        <v>0</v>
      </c>
      <c r="BN461" s="17" t="n">
        <v>1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7" t="n">
        <v>0</v>
      </c>
      <c r="BT461" s="18" t="n">
        <v>0</v>
      </c>
      <c r="BU461" s="17" t="inlineStr">
        <is>
          <t>Unclassified</t>
        </is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90</v>
      </c>
      <c r="O462" s="17" t="n">
        <v>0</v>
      </c>
      <c r="P462" s="17" t="n">
        <v>0</v>
      </c>
      <c r="Q462" s="18" t="n">
        <v>0</v>
      </c>
      <c r="R462" s="16" t="n">
        <v>0.09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0.09</v>
      </c>
      <c r="Z462" s="17" t="n">
        <v>0</v>
      </c>
      <c r="AA462" s="17" t="n">
        <v>0</v>
      </c>
      <c r="AB462" s="18" t="n">
        <v>0</v>
      </c>
      <c r="AC462" s="16" t="n">
        <v>0.91</v>
      </c>
      <c r="AD462" s="17" t="n">
        <v>1</v>
      </c>
      <c r="AE462" s="17" t="n">
        <v>1</v>
      </c>
      <c r="AF462" s="17" t="n">
        <v>1</v>
      </c>
      <c r="AG462" s="17" t="n">
        <v>1</v>
      </c>
      <c r="AH462" s="17" t="n">
        <v>1</v>
      </c>
      <c r="AI462" s="17" t="n">
        <v>1</v>
      </c>
      <c r="AJ462" s="17" t="n">
        <v>0.91</v>
      </c>
      <c r="AK462" s="17" t="n">
        <v>1</v>
      </c>
      <c r="AL462" s="17" t="n">
        <v>1</v>
      </c>
      <c r="AM462" s="18" t="n">
        <v>1</v>
      </c>
      <c r="AN462" s="16" t="n">
        <v>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17</v>
      </c>
      <c r="AV462" s="17" t="n">
        <v>0</v>
      </c>
      <c r="AW462" s="17" t="n">
        <v>0</v>
      </c>
      <c r="AX462" s="18" t="n">
        <v>0</v>
      </c>
      <c r="AY462" s="16" t="n">
        <v>4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7" t="n">
        <v>4</v>
      </c>
      <c r="BG462" s="17" t="n">
        <v>0</v>
      </c>
      <c r="BH462" s="17" t="n">
        <v>0</v>
      </c>
      <c r="BI462" s="18" t="n">
        <v>0</v>
      </c>
      <c r="BJ462" s="16" t="n">
        <v>13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13</v>
      </c>
      <c r="BR462" s="17" t="n">
        <v>0</v>
      </c>
      <c r="BS462" s="17" t="n">
        <v>0</v>
      </c>
      <c r="BT462" s="18" t="n">
        <v>0</v>
      </c>
      <c r="BU462" s="17" t="inlineStr">
        <is>
          <t>Generic Drug</t>
        </is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306</v>
      </c>
      <c r="O463" s="17" t="n">
        <v>0</v>
      </c>
      <c r="P463" s="17" t="n">
        <v>0</v>
      </c>
      <c r="Q463" s="18" t="n">
        <v>0</v>
      </c>
      <c r="R463" s="16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4</v>
      </c>
      <c r="Z463" s="17" t="n">
        <v>0</v>
      </c>
      <c r="AA463" s="17" t="n">
        <v>0</v>
      </c>
      <c r="AB463" s="18" t="n">
        <v>0</v>
      </c>
      <c r="AC463" s="16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-4</v>
      </c>
      <c r="AK463" s="17" t="n">
        <v>0</v>
      </c>
      <c r="AL463" s="17" t="n">
        <v>0</v>
      </c>
      <c r="AM463" s="18" t="n">
        <v>0</v>
      </c>
      <c r="AN463" s="16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56</v>
      </c>
      <c r="AV463" s="17" t="n">
        <v>0</v>
      </c>
      <c r="AW463" s="17" t="n">
        <v>0</v>
      </c>
      <c r="AX463" s="18" t="n">
        <v>0</v>
      </c>
      <c r="AY463" s="16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8" t="n">
        <v>0</v>
      </c>
      <c r="BJ463" s="16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56</v>
      </c>
      <c r="BR463" s="17" t="n">
        <v>0</v>
      </c>
      <c r="BS463" s="17" t="n">
        <v>0</v>
      </c>
      <c r="BT463" s="18" t="n">
        <v>0</v>
      </c>
      <c r="BU463" s="17" t="inlineStr">
        <is>
          <t>Unclassified</t>
        </is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0</v>
      </c>
      <c r="J464" s="17" t="n">
        <v>50</v>
      </c>
      <c r="K464" s="17" t="n">
        <v>0</v>
      </c>
      <c r="L464" s="17" t="n">
        <v>0</v>
      </c>
      <c r="M464" s="17" t="n">
        <v>0</v>
      </c>
      <c r="N464" s="17" t="n">
        <v>50</v>
      </c>
      <c r="O464" s="17" t="n">
        <v>0</v>
      </c>
      <c r="P464" s="17" t="n">
        <v>0</v>
      </c>
      <c r="Q464" s="18" t="n">
        <v>0</v>
      </c>
      <c r="R464" s="16" t="n">
        <v>2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7" t="n">
        <v>0</v>
      </c>
      <c r="Y464" s="17" t="n">
        <v>1</v>
      </c>
      <c r="Z464" s="17" t="n">
        <v>0</v>
      </c>
      <c r="AA464" s="17" t="n">
        <v>0</v>
      </c>
      <c r="AB464" s="18" t="n">
        <v>0</v>
      </c>
      <c r="AC464" s="16" t="n">
        <v>-2</v>
      </c>
      <c r="AD464" s="17" t="n">
        <v>0</v>
      </c>
      <c r="AE464" s="17" t="n">
        <v>0</v>
      </c>
      <c r="AF464" s="17" t="n">
        <v>-1</v>
      </c>
      <c r="AG464" s="17" t="n">
        <v>0</v>
      </c>
      <c r="AH464" s="17" t="n">
        <v>0</v>
      </c>
      <c r="AI464" s="17" t="n">
        <v>0</v>
      </c>
      <c r="AJ464" s="17" t="n">
        <v>-1</v>
      </c>
      <c r="AK464" s="17" t="n">
        <v>0</v>
      </c>
      <c r="AL464" s="17" t="n">
        <v>0</v>
      </c>
      <c r="AM464" s="18" t="n">
        <v>0</v>
      </c>
      <c r="AN464" s="16" t="n">
        <v>22</v>
      </c>
      <c r="AO464" s="17" t="n">
        <v>0</v>
      </c>
      <c r="AP464" s="17" t="n">
        <v>0</v>
      </c>
      <c r="AQ464" s="17" t="n">
        <v>5</v>
      </c>
      <c r="AR464" s="17" t="n">
        <v>0</v>
      </c>
      <c r="AS464" s="17" t="n">
        <v>0</v>
      </c>
      <c r="AT464" s="17" t="n">
        <v>0</v>
      </c>
      <c r="AU464" s="17" t="n">
        <v>17</v>
      </c>
      <c r="AV464" s="17" t="n">
        <v>0</v>
      </c>
      <c r="AW464" s="17" t="n">
        <v>0</v>
      </c>
      <c r="AX464" s="18" t="n">
        <v>0</v>
      </c>
      <c r="AY464" s="16" t="n">
        <v>0</v>
      </c>
      <c r="AZ464" s="17" t="n">
        <v>0</v>
      </c>
      <c r="BA464" s="17" t="n">
        <v>0</v>
      </c>
      <c r="BB464" s="17" t="n">
        <v>0</v>
      </c>
      <c r="BC464" s="17" t="n">
        <v>0</v>
      </c>
      <c r="BD464" s="17" t="n">
        <v>0</v>
      </c>
      <c r="BE464" s="17" t="n">
        <v>0</v>
      </c>
      <c r="BF464" s="17" t="n">
        <v>0</v>
      </c>
      <c r="BG464" s="17" t="n">
        <v>0</v>
      </c>
      <c r="BH464" s="17" t="n">
        <v>0</v>
      </c>
      <c r="BI464" s="18" t="n">
        <v>0</v>
      </c>
      <c r="BJ464" s="16" t="n">
        <v>22</v>
      </c>
      <c r="BK464" s="17" t="n">
        <v>0</v>
      </c>
      <c r="BL464" s="17" t="n">
        <v>0</v>
      </c>
      <c r="BM464" s="17" t="n">
        <v>5</v>
      </c>
      <c r="BN464" s="17" t="n">
        <v>0</v>
      </c>
      <c r="BO464" s="17" t="n">
        <v>0</v>
      </c>
      <c r="BP464" s="17" t="n">
        <v>0</v>
      </c>
      <c r="BQ464" s="17" t="n">
        <v>17</v>
      </c>
      <c r="BR464" s="17" t="n">
        <v>0</v>
      </c>
      <c r="BS464" s="17" t="n">
        <v>0</v>
      </c>
      <c r="BT464" s="18" t="n">
        <v>0</v>
      </c>
      <c r="BU464" s="17" t="inlineStr">
        <is>
          <t>Unclassified</t>
        </is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0</v>
      </c>
      <c r="J465" s="17" t="n">
        <v>120</v>
      </c>
      <c r="K465" s="17" t="n">
        <v>0</v>
      </c>
      <c r="L465" s="17" t="n">
        <v>0</v>
      </c>
      <c r="M465" s="17" t="n">
        <v>0</v>
      </c>
      <c r="N465" s="17" t="n">
        <v>30</v>
      </c>
      <c r="O465" s="17" t="n">
        <v>0</v>
      </c>
      <c r="P465" s="17" t="n">
        <v>0</v>
      </c>
      <c r="Q465" s="18" t="n">
        <v>0</v>
      </c>
      <c r="R465" s="16" t="n">
        <v>5</v>
      </c>
      <c r="S465" s="17" t="n">
        <v>0</v>
      </c>
      <c r="T465" s="17" t="n">
        <v>0</v>
      </c>
      <c r="U465" s="17" t="n">
        <v>4</v>
      </c>
      <c r="V465" s="17" t="n">
        <v>0</v>
      </c>
      <c r="W465" s="17" t="n">
        <v>0</v>
      </c>
      <c r="X465" s="17" t="n">
        <v>0</v>
      </c>
      <c r="Y465" s="17" t="n">
        <v>1</v>
      </c>
      <c r="Z465" s="17" t="n">
        <v>0</v>
      </c>
      <c r="AA465" s="17" t="n">
        <v>0</v>
      </c>
      <c r="AB465" s="18" t="n">
        <v>0</v>
      </c>
      <c r="AC465" s="16" t="n">
        <v>-5</v>
      </c>
      <c r="AD465" s="17" t="n">
        <v>0</v>
      </c>
      <c r="AE465" s="17" t="n">
        <v>0</v>
      </c>
      <c r="AF465" s="17" t="n">
        <v>-4</v>
      </c>
      <c r="AG465" s="17" t="n">
        <v>0</v>
      </c>
      <c r="AH465" s="17" t="n">
        <v>0</v>
      </c>
      <c r="AI465" s="17" t="n">
        <v>0</v>
      </c>
      <c r="AJ465" s="17" t="n">
        <v>-1</v>
      </c>
      <c r="AK465" s="17" t="n">
        <v>0</v>
      </c>
      <c r="AL465" s="17" t="n">
        <v>0</v>
      </c>
      <c r="AM465" s="18" t="n">
        <v>0</v>
      </c>
      <c r="AN465" s="16" t="n">
        <v>392</v>
      </c>
      <c r="AO465" s="17" t="n">
        <v>0</v>
      </c>
      <c r="AP465" s="17" t="n">
        <v>0</v>
      </c>
      <c r="AQ465" s="17" t="n">
        <v>304</v>
      </c>
      <c r="AR465" s="17" t="n">
        <v>0</v>
      </c>
      <c r="AS465" s="17" t="n">
        <v>0</v>
      </c>
      <c r="AT465" s="17" t="n">
        <v>0</v>
      </c>
      <c r="AU465" s="17" t="n">
        <v>74</v>
      </c>
      <c r="AV465" s="17" t="n">
        <v>0</v>
      </c>
      <c r="AW465" s="17" t="n">
        <v>0</v>
      </c>
      <c r="AX465" s="18" t="n">
        <v>0</v>
      </c>
      <c r="AY465" s="16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8" t="n">
        <v>0</v>
      </c>
      <c r="BJ465" s="16" t="n">
        <v>392</v>
      </c>
      <c r="BK465" s="17" t="n">
        <v>0</v>
      </c>
      <c r="BL465" s="17" t="n">
        <v>0</v>
      </c>
      <c r="BM465" s="17" t="n">
        <v>304</v>
      </c>
      <c r="BN465" s="17" t="n">
        <v>0</v>
      </c>
      <c r="BO465" s="17" t="n">
        <v>0</v>
      </c>
      <c r="BP465" s="17" t="n">
        <v>0</v>
      </c>
      <c r="BQ465" s="17" t="n">
        <v>74</v>
      </c>
      <c r="BR465" s="17" t="n">
        <v>0</v>
      </c>
      <c r="BS465" s="17" t="n">
        <v>0</v>
      </c>
      <c r="BT465" s="18" t="n">
        <v>0</v>
      </c>
      <c r="BU465" s="17" t="inlineStr">
        <is>
          <t>Unclassified</t>
        </is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0</v>
      </c>
      <c r="J466" s="17" t="n">
        <v>90</v>
      </c>
      <c r="K466" s="17" t="n">
        <v>0</v>
      </c>
      <c r="L466" s="17" t="n">
        <v>0</v>
      </c>
      <c r="M466" s="17" t="n">
        <v>0</v>
      </c>
      <c r="N466" s="17" t="n">
        <v>780</v>
      </c>
      <c r="O466" s="17" t="n">
        <v>0</v>
      </c>
      <c r="P466" s="17" t="n">
        <v>0</v>
      </c>
      <c r="Q466" s="18" t="n">
        <v>0</v>
      </c>
      <c r="R466" s="16" t="n">
        <v>0</v>
      </c>
      <c r="S466" s="17" t="n">
        <v>0</v>
      </c>
      <c r="T466" s="17" t="n">
        <v>0</v>
      </c>
      <c r="U466" s="17" t="n">
        <v>3</v>
      </c>
      <c r="V466" s="17" t="n">
        <v>0</v>
      </c>
      <c r="W466" s="17" t="n">
        <v>0</v>
      </c>
      <c r="X466" s="17" t="n">
        <v>0</v>
      </c>
      <c r="Y466" s="17" t="n">
        <v>26</v>
      </c>
      <c r="Z466" s="17" t="n">
        <v>0</v>
      </c>
      <c r="AA466" s="17" t="n">
        <v>0</v>
      </c>
      <c r="AB466" s="18" t="n">
        <v>0</v>
      </c>
      <c r="AC466" s="16" t="n">
        <v>21</v>
      </c>
      <c r="AD466" s="17" t="n">
        <v>21</v>
      </c>
      <c r="AE466" s="17" t="n">
        <v>21</v>
      </c>
      <c r="AF466" s="17" t="n">
        <v>18</v>
      </c>
      <c r="AG466" s="17" t="n">
        <v>21</v>
      </c>
      <c r="AH466" s="17" t="n">
        <v>21</v>
      </c>
      <c r="AI466" s="17" t="n">
        <v>21</v>
      </c>
      <c r="AJ466" s="17" t="n">
        <v>-5</v>
      </c>
      <c r="AK466" s="17" t="n">
        <v>21</v>
      </c>
      <c r="AL466" s="17" t="n">
        <v>21</v>
      </c>
      <c r="AM466" s="18" t="n">
        <v>21</v>
      </c>
      <c r="AN466" s="16" t="n">
        <v>0</v>
      </c>
      <c r="AO466" s="17" t="n">
        <v>0</v>
      </c>
      <c r="AP466" s="17" t="n">
        <v>0</v>
      </c>
      <c r="AQ466" s="17" t="n">
        <v>54</v>
      </c>
      <c r="AR466" s="17" t="n">
        <v>0</v>
      </c>
      <c r="AS466" s="17" t="n">
        <v>0</v>
      </c>
      <c r="AT466" s="17" t="n">
        <v>0</v>
      </c>
      <c r="AU466" s="17" t="n">
        <v>820</v>
      </c>
      <c r="AV466" s="17" t="n">
        <v>0</v>
      </c>
      <c r="AW466" s="17" t="n">
        <v>0</v>
      </c>
      <c r="AX466" s="18" t="n">
        <v>0</v>
      </c>
      <c r="AY466" s="16" t="n">
        <v>0</v>
      </c>
      <c r="AZ466" s="17" t="n">
        <v>0</v>
      </c>
      <c r="BA466" s="17" t="n">
        <v>0</v>
      </c>
      <c r="BB466" s="17" t="n">
        <v>96</v>
      </c>
      <c r="BC466" s="17" t="n">
        <v>0</v>
      </c>
      <c r="BD466" s="17" t="n">
        <v>0</v>
      </c>
      <c r="BE466" s="17" t="n">
        <v>0</v>
      </c>
      <c r="BF466" s="17" t="n">
        <v>832</v>
      </c>
      <c r="BG466" s="17" t="n">
        <v>0</v>
      </c>
      <c r="BH466" s="17" t="n">
        <v>0</v>
      </c>
      <c r="BI466" s="18" t="n">
        <v>0</v>
      </c>
      <c r="BJ466" s="16" t="n">
        <v>0</v>
      </c>
      <c r="BK466" s="17" t="n">
        <v>0</v>
      </c>
      <c r="BL466" s="17" t="n">
        <v>0</v>
      </c>
      <c r="BM466" s="17" t="n">
        <v>-42</v>
      </c>
      <c r="BN466" s="17" t="n">
        <v>0</v>
      </c>
      <c r="BO466" s="17" t="n">
        <v>0</v>
      </c>
      <c r="BP466" s="17" t="n">
        <v>0</v>
      </c>
      <c r="BQ466" s="17" t="n">
        <v>-12</v>
      </c>
      <c r="BR466" s="17" t="n">
        <v>0</v>
      </c>
      <c r="BS466" s="17" t="n">
        <v>0</v>
      </c>
      <c r="BT466" s="18" t="n">
        <v>0</v>
      </c>
      <c r="BU466" s="17" t="inlineStr">
        <is>
          <t>OTC Drug</t>
        </is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0</v>
      </c>
      <c r="J467" s="17" t="n">
        <v>400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8" t="n">
        <v>0</v>
      </c>
      <c r="R467" s="16" t="n">
        <v>4</v>
      </c>
      <c r="S467" s="17" t="n">
        <v>0</v>
      </c>
      <c r="T467" s="17" t="n">
        <v>0</v>
      </c>
      <c r="U467" s="17" t="n">
        <v>4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8" t="n">
        <v>0</v>
      </c>
      <c r="AC467" s="16" t="n">
        <v>-1</v>
      </c>
      <c r="AD467" s="17" t="n">
        <v>3</v>
      </c>
      <c r="AE467" s="17" t="n">
        <v>3</v>
      </c>
      <c r="AF467" s="17" t="n">
        <v>-1</v>
      </c>
      <c r="AG467" s="17" t="n">
        <v>3</v>
      </c>
      <c r="AH467" s="17" t="n">
        <v>3</v>
      </c>
      <c r="AI467" s="17" t="n">
        <v>3</v>
      </c>
      <c r="AJ467" s="17" t="n">
        <v>3</v>
      </c>
      <c r="AK467" s="17" t="n">
        <v>3</v>
      </c>
      <c r="AL467" s="17" t="n">
        <v>3</v>
      </c>
      <c r="AM467" s="18" t="n">
        <v>3</v>
      </c>
      <c r="AN467" s="16" t="n">
        <v>23</v>
      </c>
      <c r="AO467" s="17" t="n">
        <v>0</v>
      </c>
      <c r="AP467" s="17" t="n">
        <v>0</v>
      </c>
      <c r="AQ467" s="17" t="n">
        <v>17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8" t="n">
        <v>0</v>
      </c>
      <c r="AY467" s="16" t="n">
        <v>36</v>
      </c>
      <c r="AZ467" s="17" t="n">
        <v>0</v>
      </c>
      <c r="BA467" s="17" t="n">
        <v>0</v>
      </c>
      <c r="BB467" s="17" t="n">
        <v>36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8" t="n">
        <v>0</v>
      </c>
      <c r="BJ467" s="16" t="n">
        <v>-13</v>
      </c>
      <c r="BK467" s="17" t="n">
        <v>0</v>
      </c>
      <c r="BL467" s="17" t="n">
        <v>0</v>
      </c>
      <c r="BM467" s="17" t="n">
        <v>-19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8" t="n">
        <v>0</v>
      </c>
      <c r="BU467" s="17" t="inlineStr">
        <is>
          <t>Generic Drug</t>
        </is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0</v>
      </c>
      <c r="J468" s="17" t="n">
        <v>30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8" t="n">
        <v>0</v>
      </c>
      <c r="R468" s="16" t="n">
        <v>1</v>
      </c>
      <c r="S468" s="17" t="n">
        <v>0</v>
      </c>
      <c r="T468" s="17" t="n">
        <v>0</v>
      </c>
      <c r="U468" s="17" t="n">
        <v>1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8" t="n">
        <v>0</v>
      </c>
      <c r="AC468" s="16" t="n">
        <v>-1</v>
      </c>
      <c r="AD468" s="17" t="n">
        <v>0</v>
      </c>
      <c r="AE468" s="17" t="n">
        <v>0</v>
      </c>
      <c r="AF468" s="17" t="n">
        <v>-1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8" t="n">
        <v>0</v>
      </c>
      <c r="AN468" s="16" t="n">
        <v>8</v>
      </c>
      <c r="AO468" s="17" t="n">
        <v>0</v>
      </c>
      <c r="AP468" s="17" t="n">
        <v>0</v>
      </c>
      <c r="AQ468" s="17" t="n">
        <v>8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8" t="n">
        <v>0</v>
      </c>
      <c r="AY468" s="16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8" t="n">
        <v>0</v>
      </c>
      <c r="BJ468" s="16" t="n">
        <v>8</v>
      </c>
      <c r="BK468" s="17" t="n">
        <v>0</v>
      </c>
      <c r="BL468" s="17" t="n">
        <v>0</v>
      </c>
      <c r="BM468" s="17" t="n">
        <v>8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8" t="n">
        <v>0</v>
      </c>
      <c r="BU468" s="17" t="inlineStr">
        <is>
          <t>Unclassified</t>
        </is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0</v>
      </c>
      <c r="J469" s="17" t="n">
        <v>480</v>
      </c>
      <c r="K469" s="17" t="n">
        <v>0</v>
      </c>
      <c r="L469" s="17" t="n">
        <v>0</v>
      </c>
      <c r="M469" s="17" t="n">
        <v>180</v>
      </c>
      <c r="N469" s="17" t="n">
        <v>60</v>
      </c>
      <c r="O469" s="17" t="n">
        <v>30</v>
      </c>
      <c r="P469" s="17" t="n">
        <v>0</v>
      </c>
      <c r="Q469" s="18" t="n">
        <v>0</v>
      </c>
      <c r="R469" s="16" t="n">
        <v>25</v>
      </c>
      <c r="S469" s="17" t="n">
        <v>0</v>
      </c>
      <c r="T469" s="17" t="n">
        <v>0</v>
      </c>
      <c r="U469" s="17" t="n">
        <v>16</v>
      </c>
      <c r="V469" s="17" t="n">
        <v>0</v>
      </c>
      <c r="W469" s="17" t="n">
        <v>0</v>
      </c>
      <c r="X469" s="17" t="n">
        <v>6</v>
      </c>
      <c r="Y469" s="17" t="n">
        <v>2</v>
      </c>
      <c r="Z469" s="17" t="n">
        <v>1</v>
      </c>
      <c r="AA469" s="17" t="n">
        <v>0</v>
      </c>
      <c r="AB469" s="18" t="n">
        <v>0</v>
      </c>
      <c r="AC469" s="16" t="n">
        <v>-13</v>
      </c>
      <c r="AD469" s="17" t="n">
        <v>12</v>
      </c>
      <c r="AE469" s="17" t="n">
        <v>12</v>
      </c>
      <c r="AF469" s="17" t="n">
        <v>-4</v>
      </c>
      <c r="AG469" s="17" t="n">
        <v>12</v>
      </c>
      <c r="AH469" s="17" t="n">
        <v>12</v>
      </c>
      <c r="AI469" s="17" t="n">
        <v>6</v>
      </c>
      <c r="AJ469" s="17" t="n">
        <v>10</v>
      </c>
      <c r="AK469" s="17" t="n">
        <v>11</v>
      </c>
      <c r="AL469" s="17" t="n">
        <v>12</v>
      </c>
      <c r="AM469" s="18" t="n">
        <v>12</v>
      </c>
      <c r="AN469" s="16" t="n">
        <v>6630</v>
      </c>
      <c r="AO469" s="17" t="n">
        <v>0</v>
      </c>
      <c r="AP469" s="17" t="n">
        <v>0</v>
      </c>
      <c r="AQ469" s="17" t="n">
        <v>4237</v>
      </c>
      <c r="AR469" s="17" t="n">
        <v>0</v>
      </c>
      <c r="AS469" s="17" t="n">
        <v>0</v>
      </c>
      <c r="AT469" s="17" t="n">
        <v>1503</v>
      </c>
      <c r="AU469" s="17" t="n">
        <v>562</v>
      </c>
      <c r="AV469" s="17" t="n">
        <v>279</v>
      </c>
      <c r="AW469" s="17" t="n">
        <v>0</v>
      </c>
      <c r="AX469" s="18" t="n">
        <v>0</v>
      </c>
      <c r="AY469" s="16" t="n">
        <v>6875</v>
      </c>
      <c r="AZ469" s="17" t="n">
        <v>0</v>
      </c>
      <c r="BA469" s="17" t="n">
        <v>0</v>
      </c>
      <c r="BB469" s="17" t="n">
        <v>4400</v>
      </c>
      <c r="BC469" s="17" t="n">
        <v>0</v>
      </c>
      <c r="BD469" s="17" t="n">
        <v>0</v>
      </c>
      <c r="BE469" s="17" t="n">
        <v>1650</v>
      </c>
      <c r="BF469" s="17" t="n">
        <v>550</v>
      </c>
      <c r="BG469" s="17" t="n">
        <v>275</v>
      </c>
      <c r="BH469" s="17" t="n">
        <v>0</v>
      </c>
      <c r="BI469" s="18" t="n">
        <v>0</v>
      </c>
      <c r="BJ469" s="16" t="n">
        <v>-245</v>
      </c>
      <c r="BK469" s="17" t="n">
        <v>0</v>
      </c>
      <c r="BL469" s="17" t="n">
        <v>0</v>
      </c>
      <c r="BM469" s="17" t="n">
        <v>-163</v>
      </c>
      <c r="BN469" s="17" t="n">
        <v>0</v>
      </c>
      <c r="BO469" s="17" t="n">
        <v>0</v>
      </c>
      <c r="BP469" s="17" t="n">
        <v>-147</v>
      </c>
      <c r="BQ469" s="17" t="n">
        <v>12</v>
      </c>
      <c r="BR469" s="17" t="n">
        <v>4</v>
      </c>
      <c r="BS469" s="17" t="n">
        <v>0</v>
      </c>
      <c r="BT469" s="18" t="n">
        <v>0</v>
      </c>
      <c r="BU469" s="17" t="inlineStr">
        <is>
          <t>Branded Drug</t>
        </is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0</v>
      </c>
      <c r="J470" s="17" t="n">
        <v>180</v>
      </c>
      <c r="K470" s="17" t="n">
        <v>30</v>
      </c>
      <c r="L470" s="17" t="n">
        <v>0</v>
      </c>
      <c r="M470" s="17" t="n">
        <v>0</v>
      </c>
      <c r="N470" s="17" t="n">
        <v>120</v>
      </c>
      <c r="O470" s="17" t="n">
        <v>0</v>
      </c>
      <c r="P470" s="17" t="n">
        <v>0</v>
      </c>
      <c r="Q470" s="18" t="n">
        <v>0</v>
      </c>
      <c r="R470" s="16" t="n">
        <v>11</v>
      </c>
      <c r="S470" s="17" t="n">
        <v>0</v>
      </c>
      <c r="T470" s="17" t="n">
        <v>0</v>
      </c>
      <c r="U470" s="17" t="n">
        <v>6</v>
      </c>
      <c r="V470" s="17" t="n">
        <v>1</v>
      </c>
      <c r="W470" s="17" t="n">
        <v>0</v>
      </c>
      <c r="X470" s="17" t="n">
        <v>0</v>
      </c>
      <c r="Y470" s="17" t="n">
        <v>4</v>
      </c>
      <c r="Z470" s="17" t="n">
        <v>0</v>
      </c>
      <c r="AA470" s="17" t="n">
        <v>0</v>
      </c>
      <c r="AB470" s="18" t="n">
        <v>0</v>
      </c>
      <c r="AC470" s="16" t="n">
        <v>1</v>
      </c>
      <c r="AD470" s="17" t="n">
        <v>12</v>
      </c>
      <c r="AE470" s="17" t="n">
        <v>12</v>
      </c>
      <c r="AF470" s="17" t="n">
        <v>6</v>
      </c>
      <c r="AG470" s="17" t="n">
        <v>11</v>
      </c>
      <c r="AH470" s="17" t="n">
        <v>12</v>
      </c>
      <c r="AI470" s="17" t="n">
        <v>12</v>
      </c>
      <c r="AJ470" s="17" t="n">
        <v>8</v>
      </c>
      <c r="AK470" s="17" t="n">
        <v>12</v>
      </c>
      <c r="AL470" s="17" t="n">
        <v>12</v>
      </c>
      <c r="AM470" s="18" t="n">
        <v>12</v>
      </c>
      <c r="AN470" s="16" t="n">
        <v>2963</v>
      </c>
      <c r="AO470" s="17" t="n">
        <v>0</v>
      </c>
      <c r="AP470" s="17" t="n">
        <v>0</v>
      </c>
      <c r="AQ470" s="17" t="n">
        <v>1601</v>
      </c>
      <c r="AR470" s="17" t="n">
        <v>245</v>
      </c>
      <c r="AS470" s="17" t="n">
        <v>0</v>
      </c>
      <c r="AT470" s="17" t="n">
        <v>0</v>
      </c>
      <c r="AU470" s="17" t="n">
        <v>1100</v>
      </c>
      <c r="AV470" s="17" t="n">
        <v>0</v>
      </c>
      <c r="AW470" s="17" t="n">
        <v>0</v>
      </c>
      <c r="AX470" s="18" t="n">
        <v>0</v>
      </c>
      <c r="AY470" s="16" t="n">
        <v>3025</v>
      </c>
      <c r="AZ470" s="17" t="n">
        <v>0</v>
      </c>
      <c r="BA470" s="17" t="n">
        <v>0</v>
      </c>
      <c r="BB470" s="17" t="n">
        <v>1650</v>
      </c>
      <c r="BC470" s="17" t="n">
        <v>275</v>
      </c>
      <c r="BD470" s="17" t="n">
        <v>0</v>
      </c>
      <c r="BE470" s="17" t="n">
        <v>0</v>
      </c>
      <c r="BF470" s="17" t="n">
        <v>1100</v>
      </c>
      <c r="BG470" s="17" t="n">
        <v>0</v>
      </c>
      <c r="BH470" s="17" t="n">
        <v>0</v>
      </c>
      <c r="BI470" s="18" t="n">
        <v>0</v>
      </c>
      <c r="BJ470" s="16" t="n">
        <v>-62</v>
      </c>
      <c r="BK470" s="17" t="n">
        <v>0</v>
      </c>
      <c r="BL470" s="17" t="n">
        <v>0</v>
      </c>
      <c r="BM470" s="17" t="n">
        <v>-49</v>
      </c>
      <c r="BN470" s="17" t="n">
        <v>-30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7" t="n">
        <v>0</v>
      </c>
      <c r="BT470" s="18" t="n">
        <v>0</v>
      </c>
      <c r="BU470" s="17" t="inlineStr">
        <is>
          <t>Branded Drug</t>
        </is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0</v>
      </c>
      <c r="J471" s="17" t="n">
        <v>30</v>
      </c>
      <c r="K471" s="17" t="n">
        <v>0</v>
      </c>
      <c r="L471" s="17" t="n">
        <v>0</v>
      </c>
      <c r="M471" s="17" t="n">
        <v>0</v>
      </c>
      <c r="N471" s="17" t="n">
        <v>120</v>
      </c>
      <c r="O471" s="17" t="n">
        <v>0</v>
      </c>
      <c r="P471" s="17" t="n">
        <v>0</v>
      </c>
      <c r="Q471" s="18" t="n">
        <v>0</v>
      </c>
      <c r="R471" s="16" t="n">
        <v>5</v>
      </c>
      <c r="S471" s="17" t="n">
        <v>0</v>
      </c>
      <c r="T471" s="17" t="n">
        <v>0</v>
      </c>
      <c r="U471" s="17" t="n">
        <v>1</v>
      </c>
      <c r="V471" s="17" t="n">
        <v>0</v>
      </c>
      <c r="W471" s="17" t="n">
        <v>0</v>
      </c>
      <c r="X471" s="17" t="n">
        <v>0</v>
      </c>
      <c r="Y471" s="17" t="n">
        <v>4</v>
      </c>
      <c r="Z471" s="17" t="n">
        <v>0</v>
      </c>
      <c r="AA471" s="17" t="n">
        <v>0</v>
      </c>
      <c r="AB471" s="18" t="n">
        <v>0</v>
      </c>
      <c r="AC471" s="16" t="n">
        <v>-5</v>
      </c>
      <c r="AD471" s="17" t="n">
        <v>0</v>
      </c>
      <c r="AE471" s="17" t="n">
        <v>0</v>
      </c>
      <c r="AF471" s="17" t="n">
        <v>-1</v>
      </c>
      <c r="AG471" s="17" t="n">
        <v>0</v>
      </c>
      <c r="AH471" s="17" t="n">
        <v>0</v>
      </c>
      <c r="AI471" s="17" t="n">
        <v>0</v>
      </c>
      <c r="AJ471" s="17" t="n">
        <v>-4</v>
      </c>
      <c r="AK471" s="17" t="n">
        <v>0</v>
      </c>
      <c r="AL471" s="17" t="n">
        <v>0</v>
      </c>
      <c r="AM471" s="18" t="n">
        <v>0</v>
      </c>
      <c r="AN471" s="16" t="n">
        <v>1366</v>
      </c>
      <c r="AO471" s="17" t="n">
        <v>0</v>
      </c>
      <c r="AP471" s="17" t="n">
        <v>0</v>
      </c>
      <c r="AQ471" s="17" t="n">
        <v>263</v>
      </c>
      <c r="AR471" s="17" t="n">
        <v>0</v>
      </c>
      <c r="AS471" s="17" t="n">
        <v>0</v>
      </c>
      <c r="AT471" s="17" t="n">
        <v>0</v>
      </c>
      <c r="AU471" s="17" t="n">
        <v>1103</v>
      </c>
      <c r="AV471" s="17" t="n">
        <v>0</v>
      </c>
      <c r="AW471" s="17" t="n">
        <v>0</v>
      </c>
      <c r="AX471" s="18" t="n">
        <v>0</v>
      </c>
      <c r="AY471" s="16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8" t="n">
        <v>0</v>
      </c>
      <c r="BJ471" s="16" t="n">
        <v>1366</v>
      </c>
      <c r="BK471" s="17" t="n">
        <v>0</v>
      </c>
      <c r="BL471" s="17" t="n">
        <v>0</v>
      </c>
      <c r="BM471" s="17" t="n">
        <v>263</v>
      </c>
      <c r="BN471" s="17" t="n">
        <v>0</v>
      </c>
      <c r="BO471" s="17" t="n">
        <v>0</v>
      </c>
      <c r="BP471" s="17" t="n">
        <v>0</v>
      </c>
      <c r="BQ471" s="17" t="n">
        <v>1103</v>
      </c>
      <c r="BR471" s="17" t="n">
        <v>0</v>
      </c>
      <c r="BS471" s="17" t="n">
        <v>0</v>
      </c>
      <c r="BT471" s="18" t="n">
        <v>0</v>
      </c>
      <c r="BU471" s="17" t="inlineStr">
        <is>
          <t>Unclassified</t>
        </is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0</v>
      </c>
      <c r="J472" s="17" t="n">
        <v>90</v>
      </c>
      <c r="K472" s="17" t="n">
        <v>90</v>
      </c>
      <c r="L472" s="17" t="n">
        <v>0</v>
      </c>
      <c r="M472" s="17" t="n">
        <v>0</v>
      </c>
      <c r="N472" s="17" t="n">
        <v>90</v>
      </c>
      <c r="O472" s="17" t="n">
        <v>0</v>
      </c>
      <c r="P472" s="17" t="n">
        <v>0</v>
      </c>
      <c r="Q472" s="18" t="n">
        <v>0</v>
      </c>
      <c r="R472" s="16" t="n">
        <v>0.27</v>
      </c>
      <c r="S472" s="17" t="n">
        <v>0</v>
      </c>
      <c r="T472" s="17" t="n">
        <v>0</v>
      </c>
      <c r="U472" s="17" t="n">
        <v>0.09</v>
      </c>
      <c r="V472" s="17" t="n">
        <v>0.09</v>
      </c>
      <c r="W472" s="17" t="n">
        <v>0</v>
      </c>
      <c r="X472" s="17" t="n">
        <v>0</v>
      </c>
      <c r="Y472" s="17" t="n">
        <v>0.09</v>
      </c>
      <c r="Z472" s="17" t="n">
        <v>0</v>
      </c>
      <c r="AA472" s="17" t="n">
        <v>0</v>
      </c>
      <c r="AB472" s="18" t="n">
        <v>0</v>
      </c>
      <c r="AC472" s="16" t="n">
        <v>-0.27</v>
      </c>
      <c r="AD472" s="17" t="n">
        <v>0</v>
      </c>
      <c r="AE472" s="17" t="n">
        <v>0</v>
      </c>
      <c r="AF472" s="17" t="n">
        <v>-0.09</v>
      </c>
      <c r="AG472" s="17" t="n">
        <v>-0.09</v>
      </c>
      <c r="AH472" s="17" t="n">
        <v>0</v>
      </c>
      <c r="AI472" s="17" t="n">
        <v>0</v>
      </c>
      <c r="AJ472" s="17" t="n">
        <v>-0.09</v>
      </c>
      <c r="AK472" s="17" t="n">
        <v>0</v>
      </c>
      <c r="AL472" s="17" t="n">
        <v>0</v>
      </c>
      <c r="AM472" s="18" t="n">
        <v>0</v>
      </c>
      <c r="AN472" s="16" t="n">
        <v>15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11</v>
      </c>
      <c r="AV472" s="17" t="n">
        <v>0</v>
      </c>
      <c r="AW472" s="17" t="n">
        <v>0</v>
      </c>
      <c r="AX472" s="18" t="n">
        <v>0</v>
      </c>
      <c r="AY472" s="16" t="n">
        <v>0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7" t="n">
        <v>0</v>
      </c>
      <c r="BG472" s="17" t="n">
        <v>0</v>
      </c>
      <c r="BH472" s="17" t="n">
        <v>0</v>
      </c>
      <c r="BI472" s="18" t="n">
        <v>0</v>
      </c>
      <c r="BJ472" s="16" t="n">
        <v>15</v>
      </c>
      <c r="BK472" s="17" t="n">
        <v>0</v>
      </c>
      <c r="BL472" s="17" t="n">
        <v>0</v>
      </c>
      <c r="BM472" s="17" t="n">
        <v>1</v>
      </c>
      <c r="BN472" s="17" t="n">
        <v>0</v>
      </c>
      <c r="BO472" s="17" t="n">
        <v>0</v>
      </c>
      <c r="BP472" s="17" t="n">
        <v>0</v>
      </c>
      <c r="BQ472" s="17" t="n">
        <v>11</v>
      </c>
      <c r="BR472" s="17" t="n">
        <v>0</v>
      </c>
      <c r="BS472" s="17" t="n">
        <v>0</v>
      </c>
      <c r="BT472" s="18" t="n">
        <v>0</v>
      </c>
      <c r="BU472" s="17" t="inlineStr">
        <is>
          <t>Unclassified</t>
        </is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90</v>
      </c>
      <c r="O473" s="17" t="n">
        <v>0</v>
      </c>
      <c r="P473" s="17" t="n">
        <v>0</v>
      </c>
      <c r="Q473" s="18" t="n">
        <v>0</v>
      </c>
      <c r="R473" s="16" t="n">
        <v>0.18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0.18</v>
      </c>
      <c r="Z473" s="17" t="n">
        <v>0</v>
      </c>
      <c r="AA473" s="17" t="n">
        <v>0</v>
      </c>
      <c r="AB473" s="18" t="n">
        <v>0</v>
      </c>
      <c r="AC473" s="16" t="n">
        <v>-0.18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-0.18</v>
      </c>
      <c r="AK473" s="17" t="n">
        <v>0</v>
      </c>
      <c r="AL473" s="17" t="n">
        <v>0</v>
      </c>
      <c r="AM473" s="18" t="n">
        <v>0</v>
      </c>
      <c r="AN473" s="16" t="n">
        <v>11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11</v>
      </c>
      <c r="AV473" s="17" t="n">
        <v>0</v>
      </c>
      <c r="AW473" s="17" t="n">
        <v>0</v>
      </c>
      <c r="AX473" s="18" t="n">
        <v>0</v>
      </c>
      <c r="AY473" s="16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8" t="n">
        <v>0</v>
      </c>
      <c r="BJ473" s="16" t="n">
        <v>11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11</v>
      </c>
      <c r="BR473" s="17" t="n">
        <v>0</v>
      </c>
      <c r="BS473" s="17" t="n">
        <v>0</v>
      </c>
      <c r="BT473" s="18" t="n">
        <v>0</v>
      </c>
      <c r="BU473" s="17" t="inlineStr">
        <is>
          <t>Unclassified</t>
        </is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0</v>
      </c>
      <c r="J474" s="17" t="n">
        <v>630</v>
      </c>
      <c r="K474" s="17" t="n">
        <v>90</v>
      </c>
      <c r="L474" s="17" t="n">
        <v>0</v>
      </c>
      <c r="M474" s="17" t="n">
        <v>0</v>
      </c>
      <c r="N474" s="17" t="n">
        <v>60</v>
      </c>
      <c r="O474" s="17" t="n">
        <v>0</v>
      </c>
      <c r="P474" s="17" t="n">
        <v>0</v>
      </c>
      <c r="Q474" s="18" t="n">
        <v>0</v>
      </c>
      <c r="R474" s="16" t="n">
        <v>0.78</v>
      </c>
      <c r="S474" s="17" t="n">
        <v>0</v>
      </c>
      <c r="T474" s="17" t="n">
        <v>0</v>
      </c>
      <c r="U474" s="17" t="n">
        <v>0.63</v>
      </c>
      <c r="V474" s="17" t="n">
        <v>0.09</v>
      </c>
      <c r="W474" s="17" t="n">
        <v>0</v>
      </c>
      <c r="X474" s="17" t="n">
        <v>0</v>
      </c>
      <c r="Y474" s="17" t="n">
        <v>0.06</v>
      </c>
      <c r="Z474" s="17" t="n">
        <v>0</v>
      </c>
      <c r="AA474" s="17" t="n">
        <v>0</v>
      </c>
      <c r="AB474" s="18" t="n">
        <v>0</v>
      </c>
      <c r="AC474" s="16" t="n">
        <v>-0.78</v>
      </c>
      <c r="AD474" s="17" t="n">
        <v>0</v>
      </c>
      <c r="AE474" s="17" t="n">
        <v>0</v>
      </c>
      <c r="AF474" s="17" t="n">
        <v>-0.63</v>
      </c>
      <c r="AG474" s="17" t="n">
        <v>-0.09</v>
      </c>
      <c r="AH474" s="17" t="n">
        <v>0</v>
      </c>
      <c r="AI474" s="17" t="n">
        <v>0</v>
      </c>
      <c r="AJ474" s="17" t="n">
        <v>-0.06</v>
      </c>
      <c r="AK474" s="17" t="n">
        <v>0</v>
      </c>
      <c r="AL474" s="17" t="n">
        <v>0</v>
      </c>
      <c r="AM474" s="18" t="n">
        <v>0</v>
      </c>
      <c r="AN474" s="16" t="n">
        <v>32</v>
      </c>
      <c r="AO474" s="17" t="n">
        <v>0</v>
      </c>
      <c r="AP474" s="17" t="n">
        <v>0</v>
      </c>
      <c r="AQ474" s="17" t="n">
        <v>7</v>
      </c>
      <c r="AR474" s="17" t="n">
        <v>1</v>
      </c>
      <c r="AS474" s="17" t="n">
        <v>0</v>
      </c>
      <c r="AT474" s="17" t="n">
        <v>0</v>
      </c>
      <c r="AU474" s="17" t="n">
        <v>22</v>
      </c>
      <c r="AV474" s="17" t="n">
        <v>0</v>
      </c>
      <c r="AW474" s="17" t="n">
        <v>0</v>
      </c>
      <c r="AX474" s="18" t="n">
        <v>0</v>
      </c>
      <c r="AY474" s="16" t="n">
        <v>0</v>
      </c>
      <c r="AZ474" s="17" t="n">
        <v>0</v>
      </c>
      <c r="BA474" s="17" t="n">
        <v>0</v>
      </c>
      <c r="BB474" s="17" t="n">
        <v>0</v>
      </c>
      <c r="BC474" s="17" t="n">
        <v>0</v>
      </c>
      <c r="BD474" s="17" t="n">
        <v>0</v>
      </c>
      <c r="BE474" s="17" t="n">
        <v>0</v>
      </c>
      <c r="BF474" s="17" t="n">
        <v>0</v>
      </c>
      <c r="BG474" s="17" t="n">
        <v>0</v>
      </c>
      <c r="BH474" s="17" t="n">
        <v>0</v>
      </c>
      <c r="BI474" s="18" t="n">
        <v>0</v>
      </c>
      <c r="BJ474" s="16" t="n">
        <v>32</v>
      </c>
      <c r="BK474" s="17" t="n">
        <v>0</v>
      </c>
      <c r="BL474" s="17" t="n">
        <v>0</v>
      </c>
      <c r="BM474" s="17" t="n">
        <v>7</v>
      </c>
      <c r="BN474" s="17" t="n">
        <v>1</v>
      </c>
      <c r="BO474" s="17" t="n">
        <v>0</v>
      </c>
      <c r="BP474" s="17" t="n">
        <v>0</v>
      </c>
      <c r="BQ474" s="17" t="n">
        <v>22</v>
      </c>
      <c r="BR474" s="17" t="n">
        <v>0</v>
      </c>
      <c r="BS474" s="17" t="n">
        <v>0</v>
      </c>
      <c r="BT474" s="18" t="n">
        <v>0</v>
      </c>
      <c r="BU474" s="17" t="inlineStr">
        <is>
          <t>Unclassified</t>
        </is>
      </c>
    </row>
    <row r="475" ht="20" customHeight="1">
      <c r="A475" s="15" t="inlineStr">
        <is>
          <t>68180098202</t>
        </is>
      </c>
      <c r="B475" s="15" t="inlineStr">
        <is>
          <t>LISINOPRIL 30MG TABLET</t>
        </is>
      </c>
      <c r="C475" s="16" t="n">
        <v>500</v>
      </c>
      <c r="D475" s="16" t="n">
        <v>0</v>
      </c>
      <c r="E475" s="16" t="n">
        <v>0</v>
      </c>
      <c r="F475" s="16" t="n">
        <v>0</v>
      </c>
      <c r="G475" s="16" t="n">
        <v>90</v>
      </c>
      <c r="H475" s="17" t="n">
        <v>0</v>
      </c>
      <c r="I475" s="17" t="n">
        <v>90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8" t="n">
        <v>0</v>
      </c>
      <c r="R475" s="16" t="n">
        <v>0.18</v>
      </c>
      <c r="S475" s="17" t="n">
        <v>0</v>
      </c>
      <c r="T475" s="17" t="n">
        <v>0.18</v>
      </c>
      <c r="U475" s="17" t="n">
        <v>0</v>
      </c>
      <c r="V475" s="17" t="n">
        <v>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8" t="n">
        <v>0</v>
      </c>
      <c r="AC475" s="16" t="n">
        <v>-0.18</v>
      </c>
      <c r="AD475" s="17" t="n">
        <v>0</v>
      </c>
      <c r="AE475" s="17" t="n">
        <v>-0.18</v>
      </c>
      <c r="AF475" s="17" t="n">
        <v>0</v>
      </c>
      <c r="AG475" s="17" t="n">
        <v>0</v>
      </c>
      <c r="AH475" s="17" t="n">
        <v>0</v>
      </c>
      <c r="AI475" s="17" t="n">
        <v>0</v>
      </c>
      <c r="AJ475" s="17" t="n">
        <v>0</v>
      </c>
      <c r="AK475" s="17" t="n">
        <v>0</v>
      </c>
      <c r="AL475" s="17" t="n">
        <v>0</v>
      </c>
      <c r="AM475" s="18" t="n">
        <v>0</v>
      </c>
      <c r="AN475" s="16" t="n">
        <v>9</v>
      </c>
      <c r="AO475" s="17" t="n">
        <v>0</v>
      </c>
      <c r="AP475" s="17" t="n">
        <v>9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8" t="n">
        <v>0</v>
      </c>
      <c r="AY475" s="16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8" t="n">
        <v>0</v>
      </c>
      <c r="BJ475" s="16" t="n">
        <v>9</v>
      </c>
      <c r="BK475" s="17" t="n">
        <v>0</v>
      </c>
      <c r="BL475" s="17" t="n">
        <v>9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</v>
      </c>
      <c r="BT475" s="18" t="n">
        <v>0</v>
      </c>
      <c r="BU475" s="17" t="inlineStr">
        <is>
          <t>Unclassified</t>
        </is>
      </c>
    </row>
    <row r="476" ht="20" customHeight="1">
      <c r="A476" s="15" t="inlineStr">
        <is>
          <t>68180097903</t>
        </is>
      </c>
      <c r="B476" s="15" t="inlineStr">
        <is>
          <t>LISINOPRIL 40MG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330</v>
      </c>
      <c r="H476" s="17" t="n">
        <v>0</v>
      </c>
      <c r="I476" s="17" t="n">
        <v>0</v>
      </c>
      <c r="J476" s="17" t="n">
        <v>180</v>
      </c>
      <c r="K476" s="17" t="n">
        <v>0</v>
      </c>
      <c r="L476" s="17" t="n">
        <v>0</v>
      </c>
      <c r="M476" s="17" t="n">
        <v>90</v>
      </c>
      <c r="N476" s="17" t="n">
        <v>30</v>
      </c>
      <c r="O476" s="17" t="n">
        <v>30</v>
      </c>
      <c r="P476" s="17" t="n">
        <v>0</v>
      </c>
      <c r="Q476" s="18" t="n">
        <v>0</v>
      </c>
      <c r="R476" s="16" t="n">
        <v>0.33</v>
      </c>
      <c r="S476" s="17" t="n">
        <v>0</v>
      </c>
      <c r="T476" s="17" t="n">
        <v>0</v>
      </c>
      <c r="U476" s="17" t="n">
        <v>0.18</v>
      </c>
      <c r="V476" s="17" t="n">
        <v>0</v>
      </c>
      <c r="W476" s="17" t="n">
        <v>0</v>
      </c>
      <c r="X476" s="17" t="n">
        <v>0.09</v>
      </c>
      <c r="Y476" s="17" t="n">
        <v>0.03</v>
      </c>
      <c r="Z476" s="17" t="n">
        <v>0.03</v>
      </c>
      <c r="AA476" s="17" t="n">
        <v>0</v>
      </c>
      <c r="AB476" s="18" t="n">
        <v>0</v>
      </c>
      <c r="AC476" s="16" t="n">
        <v>-0.33</v>
      </c>
      <c r="AD476" s="17" t="n">
        <v>0</v>
      </c>
      <c r="AE476" s="17" t="n">
        <v>0</v>
      </c>
      <c r="AF476" s="17" t="n">
        <v>-0.18</v>
      </c>
      <c r="AG476" s="17" t="n">
        <v>0</v>
      </c>
      <c r="AH476" s="17" t="n">
        <v>0</v>
      </c>
      <c r="AI476" s="17" t="n">
        <v>-0.09</v>
      </c>
      <c r="AJ476" s="17" t="n">
        <v>-0.03</v>
      </c>
      <c r="AK476" s="17" t="n">
        <v>-0.03</v>
      </c>
      <c r="AL476" s="17" t="n">
        <v>0</v>
      </c>
      <c r="AM476" s="18" t="n">
        <v>0</v>
      </c>
      <c r="AN476" s="16" t="n">
        <v>24</v>
      </c>
      <c r="AO476" s="17" t="n">
        <v>0</v>
      </c>
      <c r="AP476" s="17" t="n">
        <v>0</v>
      </c>
      <c r="AQ476" s="17" t="n">
        <v>4</v>
      </c>
      <c r="AR476" s="17" t="n">
        <v>0</v>
      </c>
      <c r="AS476" s="17" t="n">
        <v>0</v>
      </c>
      <c r="AT476" s="17" t="n">
        <v>7</v>
      </c>
      <c r="AU476" s="17" t="n">
        <v>11</v>
      </c>
      <c r="AV476" s="17" t="n">
        <v>0</v>
      </c>
      <c r="AW476" s="17" t="n">
        <v>0</v>
      </c>
      <c r="AX476" s="18" t="n">
        <v>0</v>
      </c>
      <c r="AY476" s="16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8" t="n">
        <v>0</v>
      </c>
      <c r="BJ476" s="16" t="n">
        <v>24</v>
      </c>
      <c r="BK476" s="17" t="n">
        <v>0</v>
      </c>
      <c r="BL476" s="17" t="n">
        <v>0</v>
      </c>
      <c r="BM476" s="17" t="n">
        <v>4</v>
      </c>
      <c r="BN476" s="17" t="n">
        <v>0</v>
      </c>
      <c r="BO476" s="17" t="n">
        <v>0</v>
      </c>
      <c r="BP476" s="17" t="n">
        <v>7</v>
      </c>
      <c r="BQ476" s="17" t="n">
        <v>11</v>
      </c>
      <c r="BR476" s="17" t="n">
        <v>0</v>
      </c>
      <c r="BS476" s="17" t="n">
        <v>0</v>
      </c>
      <c r="BT476" s="18" t="n">
        <v>0</v>
      </c>
      <c r="BU476" s="17" t="inlineStr">
        <is>
          <t>Unclassified</t>
        </is>
      </c>
    </row>
    <row r="477" ht="20" customHeight="1">
      <c r="A477" s="15" t="inlineStr">
        <is>
          <t>68180051303</t>
        </is>
      </c>
      <c r="B477" s="15" t="inlineStr">
        <is>
          <t>LISINOPRIL 5MG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450</v>
      </c>
      <c r="H477" s="17" t="n">
        <v>0</v>
      </c>
      <c r="I477" s="17" t="n">
        <v>0</v>
      </c>
      <c r="J477" s="17" t="n">
        <v>360</v>
      </c>
      <c r="K477" s="17" t="n">
        <v>0</v>
      </c>
      <c r="L477" s="17" t="n">
        <v>0</v>
      </c>
      <c r="M477" s="17" t="n">
        <v>0</v>
      </c>
      <c r="N477" s="17" t="n">
        <v>90</v>
      </c>
      <c r="O477" s="17" t="n">
        <v>0</v>
      </c>
      <c r="P477" s="17" t="n">
        <v>0</v>
      </c>
      <c r="Q477" s="18" t="n">
        <v>0</v>
      </c>
      <c r="R477" s="16" t="n">
        <v>0.45</v>
      </c>
      <c r="S477" s="17" t="n">
        <v>0</v>
      </c>
      <c r="T477" s="17" t="n">
        <v>0</v>
      </c>
      <c r="U477" s="17" t="n">
        <v>0.36</v>
      </c>
      <c r="V477" s="17" t="n">
        <v>0</v>
      </c>
      <c r="W477" s="17" t="n">
        <v>0</v>
      </c>
      <c r="X477" s="17" t="n">
        <v>0</v>
      </c>
      <c r="Y477" s="17" t="n">
        <v>0.09</v>
      </c>
      <c r="Z477" s="17" t="n">
        <v>0</v>
      </c>
      <c r="AA477" s="17" t="n">
        <v>0</v>
      </c>
      <c r="AB477" s="18" t="n">
        <v>0</v>
      </c>
      <c r="AC477" s="16" t="n">
        <v>-0.45</v>
      </c>
      <c r="AD477" s="17" t="n">
        <v>0</v>
      </c>
      <c r="AE477" s="17" t="n">
        <v>0</v>
      </c>
      <c r="AF477" s="17" t="n">
        <v>-0.36</v>
      </c>
      <c r="AG477" s="17" t="n">
        <v>0</v>
      </c>
      <c r="AH477" s="17" t="n">
        <v>0</v>
      </c>
      <c r="AI477" s="17" t="n">
        <v>0</v>
      </c>
      <c r="AJ477" s="17" t="n">
        <v>-0.09</v>
      </c>
      <c r="AK477" s="17" t="n">
        <v>0</v>
      </c>
      <c r="AL477" s="17" t="n">
        <v>0</v>
      </c>
      <c r="AM477" s="18" t="n">
        <v>0</v>
      </c>
      <c r="AN477" s="16" t="n">
        <v>12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11</v>
      </c>
      <c r="AV477" s="17" t="n">
        <v>0</v>
      </c>
      <c r="AW477" s="17" t="n">
        <v>0</v>
      </c>
      <c r="AX477" s="18" t="n">
        <v>0</v>
      </c>
      <c r="AY477" s="16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8" t="n">
        <v>0</v>
      </c>
      <c r="BJ477" s="16" t="n">
        <v>12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11</v>
      </c>
      <c r="BR477" s="17" t="n">
        <v>0</v>
      </c>
      <c r="BS477" s="17" t="n">
        <v>0</v>
      </c>
      <c r="BT477" s="18" t="n">
        <v>0</v>
      </c>
      <c r="BU477" s="17" t="inlineStr">
        <is>
          <t>Unclassified</t>
        </is>
      </c>
    </row>
    <row r="478" ht="20" customHeight="1">
      <c r="A478" s="15" t="inlineStr">
        <is>
          <t>68180051802</t>
        </is>
      </c>
      <c r="B478" s="15" t="inlineStr">
        <is>
          <t xml:space="preserve">LISINOPRIL-HCTZ 10-12.5MG TAB </t>
        </is>
      </c>
      <c r="C478" s="16" t="n">
        <v>500</v>
      </c>
      <c r="D478" s="16" t="n">
        <v>2</v>
      </c>
      <c r="E478" s="16" t="n">
        <v>2</v>
      </c>
      <c r="F478" s="16" t="n">
        <v>7</v>
      </c>
      <c r="G478" s="16" t="n">
        <v>450</v>
      </c>
      <c r="H478" s="17" t="n">
        <v>0</v>
      </c>
      <c r="I478" s="17" t="n">
        <v>0</v>
      </c>
      <c r="J478" s="17" t="n">
        <v>180</v>
      </c>
      <c r="K478" s="17" t="n">
        <v>90</v>
      </c>
      <c r="L478" s="17" t="n">
        <v>0</v>
      </c>
      <c r="M478" s="17" t="n">
        <v>0</v>
      </c>
      <c r="N478" s="17" t="n">
        <v>150</v>
      </c>
      <c r="O478" s="17" t="n">
        <v>30</v>
      </c>
      <c r="P478" s="17" t="n">
        <v>0</v>
      </c>
      <c r="Q478" s="18" t="n">
        <v>0</v>
      </c>
      <c r="R478" s="16" t="n">
        <v>0.9</v>
      </c>
      <c r="S478" s="17" t="n">
        <v>0</v>
      </c>
      <c r="T478" s="17" t="n">
        <v>0</v>
      </c>
      <c r="U478" s="17" t="n">
        <v>0.36</v>
      </c>
      <c r="V478" s="17" t="n">
        <v>0.18</v>
      </c>
      <c r="W478" s="17" t="n">
        <v>0</v>
      </c>
      <c r="X478" s="17" t="n">
        <v>0</v>
      </c>
      <c r="Y478" s="17" t="n">
        <v>0.3</v>
      </c>
      <c r="Z478" s="17" t="n">
        <v>0.06</v>
      </c>
      <c r="AA478" s="17" t="n">
        <v>0</v>
      </c>
      <c r="AB478" s="18" t="n">
        <v>0</v>
      </c>
      <c r="AC478" s="16" t="n">
        <v>1.1</v>
      </c>
      <c r="AD478" s="17" t="n">
        <v>2</v>
      </c>
      <c r="AE478" s="17" t="n">
        <v>2</v>
      </c>
      <c r="AF478" s="17" t="n">
        <v>1.64</v>
      </c>
      <c r="AG478" s="17" t="n">
        <v>1.82</v>
      </c>
      <c r="AH478" s="17" t="n">
        <v>2</v>
      </c>
      <c r="AI478" s="17" t="n">
        <v>2</v>
      </c>
      <c r="AJ478" s="17" t="n">
        <v>1.7</v>
      </c>
      <c r="AK478" s="17" t="n">
        <v>1.94</v>
      </c>
      <c r="AL478" s="17" t="n">
        <v>2</v>
      </c>
      <c r="AM478" s="18" t="n">
        <v>2</v>
      </c>
      <c r="AN478" s="16" t="n">
        <v>51</v>
      </c>
      <c r="AO478" s="17" t="n">
        <v>0</v>
      </c>
      <c r="AP478" s="17" t="n">
        <v>0</v>
      </c>
      <c r="AQ478" s="17" t="n">
        <v>14</v>
      </c>
      <c r="AR478" s="17" t="n">
        <v>3</v>
      </c>
      <c r="AS478" s="17" t="n">
        <v>0</v>
      </c>
      <c r="AT478" s="17" t="n">
        <v>0</v>
      </c>
      <c r="AU478" s="17" t="n">
        <v>25</v>
      </c>
      <c r="AV478" s="17" t="n">
        <v>0</v>
      </c>
      <c r="AW478" s="17" t="n">
        <v>0</v>
      </c>
      <c r="AX478" s="18" t="n">
        <v>0</v>
      </c>
      <c r="AY478" s="16" t="n">
        <v>6</v>
      </c>
      <c r="AZ478" s="17" t="n">
        <v>0</v>
      </c>
      <c r="BA478" s="17" t="n">
        <v>0</v>
      </c>
      <c r="BB478" s="17" t="n">
        <v>3</v>
      </c>
      <c r="BC478" s="17" t="n">
        <v>1</v>
      </c>
      <c r="BD478" s="17" t="n">
        <v>0</v>
      </c>
      <c r="BE478" s="17" t="n">
        <v>0</v>
      </c>
      <c r="BF478" s="17" t="n">
        <v>2</v>
      </c>
      <c r="BG478" s="17" t="n">
        <v>0</v>
      </c>
      <c r="BH478" s="17" t="n">
        <v>0</v>
      </c>
      <c r="BI478" s="18" t="n">
        <v>0</v>
      </c>
      <c r="BJ478" s="16" t="n">
        <v>44</v>
      </c>
      <c r="BK478" s="17" t="n">
        <v>0</v>
      </c>
      <c r="BL478" s="17" t="n">
        <v>0</v>
      </c>
      <c r="BM478" s="17" t="n">
        <v>12</v>
      </c>
      <c r="BN478" s="17" t="n">
        <v>2</v>
      </c>
      <c r="BO478" s="17" t="n">
        <v>0</v>
      </c>
      <c r="BP478" s="17" t="n">
        <v>0</v>
      </c>
      <c r="BQ478" s="17" t="n">
        <v>23</v>
      </c>
      <c r="BR478" s="17" t="n">
        <v>0</v>
      </c>
      <c r="BS478" s="17" t="n">
        <v>0</v>
      </c>
      <c r="BT478" s="18" t="n">
        <v>0</v>
      </c>
      <c r="BU478" s="17" t="inlineStr">
        <is>
          <t>Generic Drug</t>
        </is>
      </c>
    </row>
    <row r="479" ht="20" customHeight="1">
      <c r="A479" s="15" t="inlineStr">
        <is>
          <t>68180051902</t>
        </is>
      </c>
      <c r="B479" s="15" t="inlineStr">
        <is>
          <t xml:space="preserve">LISINOPRIL-HCTZ 20-12.5MG TAB </t>
        </is>
      </c>
      <c r="C479" s="16" t="n">
        <v>500</v>
      </c>
      <c r="D479" s="16" t="n">
        <v>0</v>
      </c>
      <c r="E479" s="16" t="n">
        <v>0</v>
      </c>
      <c r="F479" s="16" t="n">
        <v>0</v>
      </c>
      <c r="G479" s="16" t="n">
        <v>210</v>
      </c>
      <c r="H479" s="17" t="n">
        <v>0</v>
      </c>
      <c r="I479" s="17" t="n">
        <v>0</v>
      </c>
      <c r="J479" s="17" t="n">
        <v>210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8" t="n">
        <v>0</v>
      </c>
      <c r="R479" s="16" t="n">
        <v>0.42</v>
      </c>
      <c r="S479" s="17" t="n">
        <v>0</v>
      </c>
      <c r="T479" s="17" t="n">
        <v>0</v>
      </c>
      <c r="U479" s="17" t="n">
        <v>0.42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8" t="n">
        <v>0</v>
      </c>
      <c r="AC479" s="16" t="n">
        <v>-0.42</v>
      </c>
      <c r="AD479" s="17" t="n">
        <v>0</v>
      </c>
      <c r="AE479" s="17" t="n">
        <v>0</v>
      </c>
      <c r="AF479" s="17" t="n">
        <v>-0.42</v>
      </c>
      <c r="AG479" s="17" t="n">
        <v>0</v>
      </c>
      <c r="AH479" s="17" t="n">
        <v>0</v>
      </c>
      <c r="AI479" s="17" t="n">
        <v>0</v>
      </c>
      <c r="AJ479" s="17" t="n">
        <v>0</v>
      </c>
      <c r="AK479" s="17" t="n">
        <v>0</v>
      </c>
      <c r="AL479" s="17" t="n">
        <v>0</v>
      </c>
      <c r="AM479" s="18" t="n">
        <v>0</v>
      </c>
      <c r="AN479" s="16" t="n">
        <v>5</v>
      </c>
      <c r="AO479" s="17" t="n">
        <v>0</v>
      </c>
      <c r="AP479" s="17" t="n">
        <v>0</v>
      </c>
      <c r="AQ479" s="17" t="n">
        <v>4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8" t="n">
        <v>0</v>
      </c>
      <c r="AY479" s="16" t="n">
        <v>0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8" t="n">
        <v>0</v>
      </c>
      <c r="BJ479" s="16" t="n">
        <v>5</v>
      </c>
      <c r="BK479" s="17" t="n">
        <v>0</v>
      </c>
      <c r="BL479" s="17" t="n">
        <v>0</v>
      </c>
      <c r="BM479" s="17" t="n">
        <v>4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8" t="n">
        <v>0</v>
      </c>
      <c r="BU479" s="17" t="inlineStr">
        <is>
          <t>Unclassified</t>
        </is>
      </c>
    </row>
    <row r="480" ht="20" customHeight="1">
      <c r="A480" s="15" t="inlineStr">
        <is>
          <t>68180052002</t>
        </is>
      </c>
      <c r="B480" s="15" t="inlineStr">
        <is>
          <t xml:space="preserve">LISINOPRIL-HCTZ 20-25MG TAB </t>
        </is>
      </c>
      <c r="C480" s="16" t="n">
        <v>500</v>
      </c>
      <c r="D480" s="16" t="n">
        <v>2</v>
      </c>
      <c r="E480" s="16" t="n">
        <v>2</v>
      </c>
      <c r="F480" s="16" t="n">
        <v>10</v>
      </c>
      <c r="G480" s="16" t="n">
        <v>360</v>
      </c>
      <c r="H480" s="17" t="n">
        <v>0</v>
      </c>
      <c r="I480" s="17" t="n">
        <v>0</v>
      </c>
      <c r="J480" s="17" t="n">
        <v>30</v>
      </c>
      <c r="K480" s="17" t="n">
        <v>0</v>
      </c>
      <c r="L480" s="17" t="n">
        <v>0</v>
      </c>
      <c r="M480" s="17" t="n">
        <v>180</v>
      </c>
      <c r="N480" s="17" t="n">
        <v>150</v>
      </c>
      <c r="O480" s="17" t="n">
        <v>0</v>
      </c>
      <c r="P480" s="17" t="n">
        <v>0</v>
      </c>
      <c r="Q480" s="18" t="n">
        <v>0</v>
      </c>
      <c r="R480" s="16" t="n">
        <v>0.72</v>
      </c>
      <c r="S480" s="17" t="n">
        <v>0</v>
      </c>
      <c r="T480" s="17" t="n">
        <v>0</v>
      </c>
      <c r="U480" s="17" t="n">
        <v>0.06</v>
      </c>
      <c r="V480" s="17" t="n">
        <v>0</v>
      </c>
      <c r="W480" s="17" t="n">
        <v>0</v>
      </c>
      <c r="X480" s="17" t="n">
        <v>0.36</v>
      </c>
      <c r="Y480" s="17" t="n">
        <v>0.3</v>
      </c>
      <c r="Z480" s="17" t="n">
        <v>0</v>
      </c>
      <c r="AA480" s="17" t="n">
        <v>0</v>
      </c>
      <c r="AB480" s="18" t="n">
        <v>0</v>
      </c>
      <c r="AC480" s="16" t="n">
        <v>1.28</v>
      </c>
      <c r="AD480" s="17" t="n">
        <v>2</v>
      </c>
      <c r="AE480" s="17" t="n">
        <v>2</v>
      </c>
      <c r="AF480" s="17" t="n">
        <v>1.94</v>
      </c>
      <c r="AG480" s="17" t="n">
        <v>2</v>
      </c>
      <c r="AH480" s="17" t="n">
        <v>2</v>
      </c>
      <c r="AI480" s="17" t="n">
        <v>1.64</v>
      </c>
      <c r="AJ480" s="17" t="n">
        <v>1.7</v>
      </c>
      <c r="AK480" s="17" t="n">
        <v>2</v>
      </c>
      <c r="AL480" s="17" t="n">
        <v>2</v>
      </c>
      <c r="AM480" s="18" t="n">
        <v>2</v>
      </c>
      <c r="AN480" s="16" t="n">
        <v>48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18</v>
      </c>
      <c r="AU480" s="17" t="n">
        <v>26</v>
      </c>
      <c r="AV480" s="17" t="n">
        <v>0</v>
      </c>
      <c r="AW480" s="17" t="n">
        <v>0</v>
      </c>
      <c r="AX480" s="18" t="n">
        <v>0</v>
      </c>
      <c r="AY480" s="16" t="n">
        <v>7</v>
      </c>
      <c r="AZ480" s="17" t="n">
        <v>0</v>
      </c>
      <c r="BA480" s="17" t="n">
        <v>0</v>
      </c>
      <c r="BB480" s="17" t="n">
        <v>1</v>
      </c>
      <c r="BC480" s="17" t="n">
        <v>0</v>
      </c>
      <c r="BD480" s="17" t="n">
        <v>0</v>
      </c>
      <c r="BE480" s="17" t="n">
        <v>4</v>
      </c>
      <c r="BF480" s="17" t="n">
        <v>3</v>
      </c>
      <c r="BG480" s="17" t="n">
        <v>0</v>
      </c>
      <c r="BH480" s="17" t="n">
        <v>0</v>
      </c>
      <c r="BI480" s="18" t="n">
        <v>0</v>
      </c>
      <c r="BJ480" s="16" t="n">
        <v>40</v>
      </c>
      <c r="BK480" s="17" t="n">
        <v>0</v>
      </c>
      <c r="BL480" s="17" t="n">
        <v>0</v>
      </c>
      <c r="BM480" s="17" t="n">
        <v>-1</v>
      </c>
      <c r="BN480" s="17" t="n">
        <v>0</v>
      </c>
      <c r="BO480" s="17" t="n">
        <v>0</v>
      </c>
      <c r="BP480" s="17" t="n">
        <v>14</v>
      </c>
      <c r="BQ480" s="17" t="n">
        <v>22</v>
      </c>
      <c r="BR480" s="17" t="n">
        <v>0</v>
      </c>
      <c r="BS480" s="17" t="n">
        <v>0</v>
      </c>
      <c r="BT480" s="18" t="n">
        <v>0</v>
      </c>
      <c r="BU480" s="17" t="inlineStr">
        <is>
          <t>Generic Drug</t>
        </is>
      </c>
    </row>
    <row r="481" ht="20" customHeight="1">
      <c r="A481" s="15" t="inlineStr">
        <is>
          <t>31722054501</t>
        </is>
      </c>
      <c r="B481" s="15" t="inlineStr">
        <is>
          <t xml:space="preserve">LITHIUM CARBONATE 300MG CAP 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120</v>
      </c>
      <c r="H481" s="17" t="n">
        <v>0</v>
      </c>
      <c r="I481" s="17" t="n">
        <v>0</v>
      </c>
      <c r="J481" s="17" t="n">
        <v>120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8" t="n">
        <v>0</v>
      </c>
      <c r="R481" s="16" t="n">
        <v>1.2</v>
      </c>
      <c r="S481" s="17" t="n">
        <v>0</v>
      </c>
      <c r="T481" s="17" t="n">
        <v>0</v>
      </c>
      <c r="U481" s="17" t="n">
        <v>1.2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8" t="n">
        <v>0</v>
      </c>
      <c r="AC481" s="16" t="n">
        <v>-1.2</v>
      </c>
      <c r="AD481" s="17" t="n">
        <v>0</v>
      </c>
      <c r="AE481" s="17" t="n">
        <v>0</v>
      </c>
      <c r="AF481" s="17" t="n">
        <v>-1.2</v>
      </c>
      <c r="AG481" s="17" t="n">
        <v>0</v>
      </c>
      <c r="AH481" s="17" t="n">
        <v>0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8" t="n">
        <v>0</v>
      </c>
      <c r="AN481" s="16" t="n">
        <v>5</v>
      </c>
      <c r="AO481" s="17" t="n">
        <v>0</v>
      </c>
      <c r="AP481" s="17" t="n">
        <v>0</v>
      </c>
      <c r="AQ481" s="17" t="n">
        <v>5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8" t="n">
        <v>0</v>
      </c>
      <c r="AY481" s="16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8" t="n">
        <v>0</v>
      </c>
      <c r="BJ481" s="16" t="n">
        <v>5</v>
      </c>
      <c r="BK481" s="17" t="n">
        <v>0</v>
      </c>
      <c r="BL481" s="17" t="n">
        <v>0</v>
      </c>
      <c r="BM481" s="17" t="n">
        <v>5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7" t="n">
        <v>0</v>
      </c>
      <c r="BT481" s="18" t="n">
        <v>0</v>
      </c>
      <c r="BU481" s="17" t="inlineStr">
        <is>
          <t>Unclassified</t>
        </is>
      </c>
    </row>
    <row r="482" ht="20" customHeight="1">
      <c r="A482" s="15" t="inlineStr">
        <is>
          <t>00054253125</t>
        </is>
      </c>
      <c r="B482" s="15" t="inlineStr">
        <is>
          <t>LITHIUM CARBONATE 600MG CAPSULE</t>
        </is>
      </c>
      <c r="C482" s="16" t="n">
        <v>100</v>
      </c>
      <c r="D482" s="16" t="n">
        <v>0</v>
      </c>
      <c r="E482" s="16" t="n">
        <v>0</v>
      </c>
      <c r="F482" s="16" t="n">
        <v>0</v>
      </c>
      <c r="G482" s="16" t="n">
        <v>60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60</v>
      </c>
      <c r="O482" s="17" t="n">
        <v>0</v>
      </c>
      <c r="P482" s="17" t="n">
        <v>0</v>
      </c>
      <c r="Q482" s="18" t="n">
        <v>0</v>
      </c>
      <c r="R482" s="16" t="n">
        <v>0.6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0.6</v>
      </c>
      <c r="Z482" s="17" t="n">
        <v>0</v>
      </c>
      <c r="AA482" s="17" t="n">
        <v>0</v>
      </c>
      <c r="AB482" s="18" t="n">
        <v>0</v>
      </c>
      <c r="AC482" s="16" t="n">
        <v>-0.6</v>
      </c>
      <c r="AD482" s="17" t="n">
        <v>0</v>
      </c>
      <c r="AE482" s="17" t="n">
        <v>0</v>
      </c>
      <c r="AF482" s="17" t="n">
        <v>0</v>
      </c>
      <c r="AG482" s="17" t="n">
        <v>0</v>
      </c>
      <c r="AH482" s="17" t="n">
        <v>0</v>
      </c>
      <c r="AI482" s="17" t="n">
        <v>0</v>
      </c>
      <c r="AJ482" s="17" t="n">
        <v>-0.6</v>
      </c>
      <c r="AK482" s="17" t="n">
        <v>0</v>
      </c>
      <c r="AL482" s="17" t="n">
        <v>0</v>
      </c>
      <c r="AM482" s="18" t="n">
        <v>0</v>
      </c>
      <c r="AN482" s="16" t="n">
        <v>22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22</v>
      </c>
      <c r="AV482" s="17" t="n">
        <v>0</v>
      </c>
      <c r="AW482" s="17" t="n">
        <v>0</v>
      </c>
      <c r="AX482" s="18" t="n">
        <v>0</v>
      </c>
      <c r="AY482" s="16" t="n">
        <v>0</v>
      </c>
      <c r="AZ482" s="17" t="n">
        <v>0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0</v>
      </c>
      <c r="BF482" s="17" t="n">
        <v>0</v>
      </c>
      <c r="BG482" s="17" t="n">
        <v>0</v>
      </c>
      <c r="BH482" s="17" t="n">
        <v>0</v>
      </c>
      <c r="BI482" s="18" t="n">
        <v>0</v>
      </c>
      <c r="BJ482" s="16" t="n">
        <v>22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22</v>
      </c>
      <c r="BR482" s="17" t="n">
        <v>0</v>
      </c>
      <c r="BS482" s="17" t="n">
        <v>0</v>
      </c>
      <c r="BT482" s="18" t="n">
        <v>0</v>
      </c>
      <c r="BU482" s="17" t="inlineStr">
        <is>
          <t>Unclassified</t>
        </is>
      </c>
    </row>
    <row r="483" ht="20" customHeight="1">
      <c r="A483" s="15" t="inlineStr">
        <is>
          <t>00430042014</t>
        </is>
      </c>
      <c r="B483" s="15" t="inlineStr">
        <is>
          <t>LO LOESTRIN FE 1 MG-10 MCG / 10 MCG ORAL TABLET</t>
        </is>
      </c>
      <c r="C483" s="16" t="n">
        <v>140</v>
      </c>
      <c r="D483" s="16" t="n">
        <v>0</v>
      </c>
      <c r="E483" s="16" t="n">
        <v>0</v>
      </c>
      <c r="F483" s="16" t="n">
        <v>0</v>
      </c>
      <c r="G483" s="16" t="n">
        <v>84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84</v>
      </c>
      <c r="O483" s="17" t="n">
        <v>0</v>
      </c>
      <c r="P483" s="17" t="n">
        <v>0</v>
      </c>
      <c r="Q483" s="18" t="n">
        <v>0</v>
      </c>
      <c r="R483" s="16" t="n">
        <v>0.6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0.6</v>
      </c>
      <c r="Z483" s="17" t="n">
        <v>0</v>
      </c>
      <c r="AA483" s="17" t="n">
        <v>0</v>
      </c>
      <c r="AB483" s="18" t="n">
        <v>0</v>
      </c>
      <c r="AC483" s="16" t="n">
        <v>-0.6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-0.6</v>
      </c>
      <c r="AK483" s="17" t="n">
        <v>0</v>
      </c>
      <c r="AL483" s="17" t="n">
        <v>0</v>
      </c>
      <c r="AM483" s="18" t="n">
        <v>0</v>
      </c>
      <c r="AN483" s="16" t="n">
        <v>579</v>
      </c>
      <c r="AO483" s="17" t="n">
        <v>0</v>
      </c>
      <c r="AP483" s="17" t="n">
        <v>0</v>
      </c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579</v>
      </c>
      <c r="AV483" s="17" t="n">
        <v>0</v>
      </c>
      <c r="AW483" s="17" t="n">
        <v>0</v>
      </c>
      <c r="AX483" s="18" t="n">
        <v>0</v>
      </c>
      <c r="AY483" s="16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8" t="n">
        <v>0</v>
      </c>
      <c r="BJ483" s="16" t="n">
        <v>579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579</v>
      </c>
      <c r="BR483" s="17" t="n">
        <v>0</v>
      </c>
      <c r="BS483" s="17" t="n">
        <v>0</v>
      </c>
      <c r="BT483" s="18" t="n">
        <v>0</v>
      </c>
      <c r="BU483" s="17" t="inlineStr">
        <is>
          <t>Unclassified</t>
        </is>
      </c>
    </row>
    <row r="484" ht="20" customHeight="1">
      <c r="A484" s="15" t="inlineStr">
        <is>
          <t>59651002988</t>
        </is>
      </c>
      <c r="B484" s="15" t="inlineStr">
        <is>
          <t>LO-ZUMANDIMINE 3-0.02 MG ORAL TABLET</t>
        </is>
      </c>
      <c r="C484" s="16" t="n">
        <v>84</v>
      </c>
      <c r="D484" s="16" t="n">
        <v>0</v>
      </c>
      <c r="E484" s="16" t="n">
        <v>0</v>
      </c>
      <c r="F484" s="16" t="n">
        <v>0</v>
      </c>
      <c r="G484" s="16" t="n">
        <v>196</v>
      </c>
      <c r="H484" s="17" t="n">
        <v>0</v>
      </c>
      <c r="I484" s="17" t="n">
        <v>0</v>
      </c>
      <c r="J484" s="17" t="n">
        <v>84</v>
      </c>
      <c r="K484" s="17" t="n">
        <v>0</v>
      </c>
      <c r="L484" s="17" t="n">
        <v>0</v>
      </c>
      <c r="M484" s="17" t="n">
        <v>0</v>
      </c>
      <c r="N484" s="17" t="n">
        <v>84</v>
      </c>
      <c r="O484" s="17" t="n">
        <v>28</v>
      </c>
      <c r="P484" s="17" t="n">
        <v>0</v>
      </c>
      <c r="Q484" s="18" t="n">
        <v>0</v>
      </c>
      <c r="R484" s="16" t="n">
        <v>2.333</v>
      </c>
      <c r="S484" s="17" t="n">
        <v>0</v>
      </c>
      <c r="T484" s="17" t="n">
        <v>0</v>
      </c>
      <c r="U484" s="17" t="n">
        <v>1</v>
      </c>
      <c r="V484" s="17" t="n">
        <v>0</v>
      </c>
      <c r="W484" s="17" t="n">
        <v>0</v>
      </c>
      <c r="X484" s="17" t="n">
        <v>0</v>
      </c>
      <c r="Y484" s="17" t="n">
        <v>1</v>
      </c>
      <c r="Z484" s="17" t="n">
        <v>0.333</v>
      </c>
      <c r="AA484" s="17" t="n">
        <v>0</v>
      </c>
      <c r="AB484" s="18" t="n">
        <v>0</v>
      </c>
      <c r="AC484" s="16" t="n">
        <v>-2.333</v>
      </c>
      <c r="AD484" s="17" t="n">
        <v>0</v>
      </c>
      <c r="AE484" s="17" t="n">
        <v>0</v>
      </c>
      <c r="AF484" s="17" t="n">
        <v>-1</v>
      </c>
      <c r="AG484" s="17" t="n">
        <v>0</v>
      </c>
      <c r="AH484" s="17" t="n">
        <v>0</v>
      </c>
      <c r="AI484" s="17" t="n">
        <v>0</v>
      </c>
      <c r="AJ484" s="17" t="n">
        <v>-1</v>
      </c>
      <c r="AK484" s="17" t="n">
        <v>-0.333</v>
      </c>
      <c r="AL484" s="17" t="n">
        <v>0</v>
      </c>
      <c r="AM484" s="18" t="n">
        <v>0</v>
      </c>
      <c r="AN484" s="16" t="n">
        <v>43</v>
      </c>
      <c r="AO484" s="17" t="n">
        <v>0</v>
      </c>
      <c r="AP484" s="17" t="n">
        <v>0</v>
      </c>
      <c r="AQ484" s="17" t="n">
        <v>15</v>
      </c>
      <c r="AR484" s="17" t="n">
        <v>0</v>
      </c>
      <c r="AS484" s="17" t="n">
        <v>0</v>
      </c>
      <c r="AT484" s="17" t="n">
        <v>0</v>
      </c>
      <c r="AU484" s="17" t="n">
        <v>24</v>
      </c>
      <c r="AV484" s="17" t="n">
        <v>4</v>
      </c>
      <c r="AW484" s="17" t="n">
        <v>0</v>
      </c>
      <c r="AX484" s="18" t="n">
        <v>0</v>
      </c>
      <c r="AY484" s="16" t="n">
        <v>0</v>
      </c>
      <c r="AZ484" s="17" t="n">
        <v>0</v>
      </c>
      <c r="BA484" s="17" t="n">
        <v>0</v>
      </c>
      <c r="BB484" s="17" t="n">
        <v>0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7" t="n">
        <v>0</v>
      </c>
      <c r="BI484" s="18" t="n">
        <v>0</v>
      </c>
      <c r="BJ484" s="16" t="n">
        <v>43</v>
      </c>
      <c r="BK484" s="17" t="n">
        <v>0</v>
      </c>
      <c r="BL484" s="17" t="n">
        <v>0</v>
      </c>
      <c r="BM484" s="17" t="n">
        <v>15</v>
      </c>
      <c r="BN484" s="17" t="n">
        <v>0</v>
      </c>
      <c r="BO484" s="17" t="n">
        <v>0</v>
      </c>
      <c r="BP484" s="17" t="n">
        <v>0</v>
      </c>
      <c r="BQ484" s="17" t="n">
        <v>24</v>
      </c>
      <c r="BR484" s="17" t="n">
        <v>4</v>
      </c>
      <c r="BS484" s="17" t="n">
        <v>0</v>
      </c>
      <c r="BT484" s="18" t="n">
        <v>0</v>
      </c>
      <c r="BU484" s="17" t="inlineStr">
        <is>
          <t>Unclassified</t>
        </is>
      </c>
    </row>
    <row r="485" ht="20" customHeight="1">
      <c r="A485" s="15" t="inlineStr">
        <is>
          <t>00310111030</t>
        </is>
      </c>
      <c r="B485" s="15" t="inlineStr">
        <is>
          <t>LOKELMA 10GM PACK</t>
        </is>
      </c>
      <c r="C485" s="16" t="n">
        <v>30</v>
      </c>
      <c r="D485" s="16" t="n">
        <v>7</v>
      </c>
      <c r="E485" s="16" t="n">
        <v>7</v>
      </c>
      <c r="F485" s="16" t="n">
        <v>863</v>
      </c>
      <c r="G485" s="16" t="n">
        <v>150</v>
      </c>
      <c r="H485" s="17" t="n">
        <v>0</v>
      </c>
      <c r="I485" s="17" t="n">
        <v>0</v>
      </c>
      <c r="J485" s="17" t="n">
        <v>150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8" t="n">
        <v>0</v>
      </c>
      <c r="R485" s="16" t="n">
        <v>5</v>
      </c>
      <c r="S485" s="17" t="n">
        <v>0</v>
      </c>
      <c r="T485" s="17" t="n">
        <v>0</v>
      </c>
      <c r="U485" s="17" t="n">
        <v>5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8" t="n">
        <v>0</v>
      </c>
      <c r="AC485" s="16" t="n">
        <v>2</v>
      </c>
      <c r="AD485" s="17" t="n">
        <v>7</v>
      </c>
      <c r="AE485" s="17" t="n">
        <v>7</v>
      </c>
      <c r="AF485" s="17" t="n">
        <v>2</v>
      </c>
      <c r="AG485" s="17" t="n">
        <v>7</v>
      </c>
      <c r="AH485" s="17" t="n">
        <v>7</v>
      </c>
      <c r="AI485" s="17" t="n">
        <v>7</v>
      </c>
      <c r="AJ485" s="17" t="n">
        <v>7</v>
      </c>
      <c r="AK485" s="17" t="n">
        <v>7</v>
      </c>
      <c r="AL485" s="17" t="n">
        <v>7</v>
      </c>
      <c r="AM485" s="18" t="n">
        <v>7</v>
      </c>
      <c r="AN485" s="16" t="n">
        <v>4271</v>
      </c>
      <c r="AO485" s="17" t="n">
        <v>0</v>
      </c>
      <c r="AP485" s="17" t="n">
        <v>0</v>
      </c>
      <c r="AQ485" s="17" t="n">
        <v>4256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8" t="n">
        <v>0</v>
      </c>
      <c r="AY485" s="16" t="n">
        <v>4315</v>
      </c>
      <c r="AZ485" s="17" t="n">
        <v>0</v>
      </c>
      <c r="BA485" s="17" t="n">
        <v>0</v>
      </c>
      <c r="BB485" s="17" t="n">
        <v>4315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8" t="n">
        <v>0</v>
      </c>
      <c r="BJ485" s="16" t="n">
        <v>-44</v>
      </c>
      <c r="BK485" s="17" t="n">
        <v>0</v>
      </c>
      <c r="BL485" s="17" t="n">
        <v>0</v>
      </c>
      <c r="BM485" s="17" t="n">
        <v>-59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8" t="n">
        <v>0</v>
      </c>
      <c r="BU485" s="17" t="inlineStr">
        <is>
          <t>Branded Drug</t>
        </is>
      </c>
    </row>
    <row r="486" ht="20" customHeight="1">
      <c r="A486" s="15" t="inlineStr">
        <is>
          <t>00310110530</t>
        </is>
      </c>
      <c r="B486" s="15" t="inlineStr">
        <is>
          <t>LOKELMA 5GM PACK</t>
        </is>
      </c>
      <c r="C486" s="16" t="n">
        <v>30</v>
      </c>
      <c r="D486" s="16" t="n">
        <v>4</v>
      </c>
      <c r="E486" s="16" t="n">
        <v>4</v>
      </c>
      <c r="F486" s="16" t="n">
        <v>863</v>
      </c>
      <c r="G486" s="16" t="n">
        <v>30</v>
      </c>
      <c r="H486" s="17" t="n">
        <v>0</v>
      </c>
      <c r="I486" s="17" t="n">
        <v>0</v>
      </c>
      <c r="J486" s="17" t="n">
        <v>30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8" t="n">
        <v>0</v>
      </c>
      <c r="R486" s="16" t="n">
        <v>1</v>
      </c>
      <c r="S486" s="17" t="n">
        <v>0</v>
      </c>
      <c r="T486" s="17" t="n">
        <v>0</v>
      </c>
      <c r="U486" s="17" t="n">
        <v>1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8" t="n">
        <v>0</v>
      </c>
      <c r="AC486" s="16" t="n">
        <v>3</v>
      </c>
      <c r="AD486" s="17" t="n">
        <v>4</v>
      </c>
      <c r="AE486" s="17" t="n">
        <v>4</v>
      </c>
      <c r="AF486" s="17" t="n">
        <v>3</v>
      </c>
      <c r="AG486" s="17" t="n">
        <v>4</v>
      </c>
      <c r="AH486" s="17" t="n">
        <v>4</v>
      </c>
      <c r="AI486" s="17" t="n">
        <v>4</v>
      </c>
      <c r="AJ486" s="17" t="n">
        <v>4</v>
      </c>
      <c r="AK486" s="17" t="n">
        <v>4</v>
      </c>
      <c r="AL486" s="17" t="n">
        <v>4</v>
      </c>
      <c r="AM486" s="18" t="n">
        <v>4</v>
      </c>
      <c r="AN486" s="16" t="n">
        <v>844</v>
      </c>
      <c r="AO486" s="17" t="n">
        <v>0</v>
      </c>
      <c r="AP486" s="17" t="n">
        <v>0</v>
      </c>
      <c r="AQ486" s="17" t="n">
        <v>839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8" t="n">
        <v>0</v>
      </c>
      <c r="AY486" s="16" t="n">
        <v>863</v>
      </c>
      <c r="AZ486" s="17" t="n">
        <v>0</v>
      </c>
      <c r="BA486" s="17" t="n">
        <v>0</v>
      </c>
      <c r="BB486" s="17" t="n">
        <v>863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8" t="n">
        <v>0</v>
      </c>
      <c r="BJ486" s="16" t="n">
        <v>-19</v>
      </c>
      <c r="BK486" s="17" t="n">
        <v>0</v>
      </c>
      <c r="BL486" s="17" t="n">
        <v>0</v>
      </c>
      <c r="BM486" s="17" t="n">
        <v>-24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0</v>
      </c>
      <c r="BT486" s="18" t="n">
        <v>0</v>
      </c>
      <c r="BU486" s="17" t="inlineStr">
        <is>
          <t>Branded Drug</t>
        </is>
      </c>
    </row>
    <row r="487" ht="20" customHeight="1">
      <c r="A487" s="15" t="inlineStr">
        <is>
          <t>00378210005</t>
        </is>
      </c>
      <c r="B487" s="15" t="inlineStr">
        <is>
          <t xml:space="preserve">LOPERAMIDE 2MG CAP </t>
        </is>
      </c>
      <c r="C487" s="16" t="n">
        <v>500</v>
      </c>
      <c r="D487" s="16" t="n">
        <v>0</v>
      </c>
      <c r="E487" s="16" t="n">
        <v>0</v>
      </c>
      <c r="F487" s="16" t="n">
        <v>0</v>
      </c>
      <c r="G487" s="16" t="n">
        <v>54</v>
      </c>
      <c r="H487" s="17" t="n">
        <v>0</v>
      </c>
      <c r="I487" s="17" t="n">
        <v>0</v>
      </c>
      <c r="J487" s="17" t="n">
        <v>54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8" t="n">
        <v>0</v>
      </c>
      <c r="R487" s="16" t="n">
        <v>0.108</v>
      </c>
      <c r="S487" s="17" t="n">
        <v>0</v>
      </c>
      <c r="T487" s="17" t="n">
        <v>0</v>
      </c>
      <c r="U487" s="17" t="n">
        <v>0.108</v>
      </c>
      <c r="V487" s="17" t="n">
        <v>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8" t="n">
        <v>0</v>
      </c>
      <c r="AC487" s="16" t="n">
        <v>-0.108</v>
      </c>
      <c r="AD487" s="17" t="n">
        <v>0</v>
      </c>
      <c r="AE487" s="17" t="n">
        <v>0</v>
      </c>
      <c r="AF487" s="17" t="n">
        <v>-0.108</v>
      </c>
      <c r="AG487" s="17" t="n">
        <v>0</v>
      </c>
      <c r="AH487" s="17" t="n">
        <v>0</v>
      </c>
      <c r="AI487" s="17" t="n">
        <v>0</v>
      </c>
      <c r="AJ487" s="17" t="n">
        <v>0</v>
      </c>
      <c r="AK487" s="17" t="n">
        <v>0</v>
      </c>
      <c r="AL487" s="17" t="n">
        <v>0</v>
      </c>
      <c r="AM487" s="18" t="n">
        <v>0</v>
      </c>
      <c r="AN487" s="16" t="n">
        <v>17</v>
      </c>
      <c r="AO487" s="17" t="n">
        <v>0</v>
      </c>
      <c r="AP487" s="17" t="n">
        <v>0</v>
      </c>
      <c r="AQ487" s="17" t="n">
        <v>17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8" t="n">
        <v>0</v>
      </c>
      <c r="AY487" s="16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8" t="n">
        <v>0</v>
      </c>
      <c r="BJ487" s="16" t="n">
        <v>17</v>
      </c>
      <c r="BK487" s="17" t="n">
        <v>0</v>
      </c>
      <c r="BL487" s="17" t="n">
        <v>0</v>
      </c>
      <c r="BM487" s="17" t="n">
        <v>17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</v>
      </c>
      <c r="BT487" s="18" t="n">
        <v>0</v>
      </c>
      <c r="BU487" s="17" t="inlineStr">
        <is>
          <t>Unclassified</t>
        </is>
      </c>
    </row>
    <row r="488" ht="20" customHeight="1">
      <c r="A488" s="15" t="inlineStr">
        <is>
          <t>45802065087</t>
        </is>
      </c>
      <c r="B488" s="15" t="inlineStr">
        <is>
          <t xml:space="preserve">LORATADINE 10MG TAB </t>
        </is>
      </c>
      <c r="C488" s="16" t="n">
        <v>300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20</v>
      </c>
      <c r="K488" s="17" t="n">
        <v>60</v>
      </c>
      <c r="L488" s="17" t="n">
        <v>0</v>
      </c>
      <c r="M488" s="17" t="n">
        <v>30</v>
      </c>
      <c r="N488" s="17" t="n">
        <v>900</v>
      </c>
      <c r="O488" s="17" t="n">
        <v>0</v>
      </c>
      <c r="P488" s="17" t="n">
        <v>0</v>
      </c>
      <c r="Q488" s="18" t="n">
        <v>0</v>
      </c>
      <c r="R488" s="16" t="n">
        <v>0</v>
      </c>
      <c r="S488" s="17" t="n">
        <v>0</v>
      </c>
      <c r="T488" s="17" t="n">
        <v>0</v>
      </c>
      <c r="U488" s="17" t="n">
        <v>0.067</v>
      </c>
      <c r="V488" s="17" t="n">
        <v>0.2</v>
      </c>
      <c r="W488" s="17" t="n">
        <v>0</v>
      </c>
      <c r="X488" s="17" t="n">
        <v>0.1</v>
      </c>
      <c r="Y488" s="17" t="n">
        <v>3</v>
      </c>
      <c r="Z488" s="17" t="n">
        <v>0</v>
      </c>
      <c r="AA488" s="17" t="n">
        <v>0</v>
      </c>
      <c r="AB488" s="18" t="n">
        <v>0</v>
      </c>
      <c r="AC488" s="16" t="n">
        <v>0</v>
      </c>
      <c r="AD488" s="17" t="n">
        <v>0</v>
      </c>
      <c r="AE488" s="17" t="n">
        <v>0</v>
      </c>
      <c r="AF488" s="17" t="n">
        <v>-0.067</v>
      </c>
      <c r="AG488" s="17" t="n">
        <v>-0.2</v>
      </c>
      <c r="AH488" s="17" t="n">
        <v>0</v>
      </c>
      <c r="AI488" s="17" t="n">
        <v>-0.1</v>
      </c>
      <c r="AJ488" s="17" t="n">
        <v>-3</v>
      </c>
      <c r="AK488" s="17" t="n">
        <v>0</v>
      </c>
      <c r="AL488" s="17" t="n">
        <v>0</v>
      </c>
      <c r="AM488" s="18" t="n">
        <v>0</v>
      </c>
      <c r="AN488" s="16" t="n">
        <v>0</v>
      </c>
      <c r="AO488" s="17" t="n">
        <v>0</v>
      </c>
      <c r="AP488" s="17" t="n">
        <v>0</v>
      </c>
      <c r="AQ488" s="17" t="n">
        <v>0</v>
      </c>
      <c r="AR488" s="17" t="n">
        <v>1</v>
      </c>
      <c r="AS488" s="17" t="n">
        <v>0</v>
      </c>
      <c r="AT488" s="17" t="n">
        <v>3</v>
      </c>
      <c r="AU488" s="17" t="n">
        <v>229</v>
      </c>
      <c r="AV488" s="17" t="n">
        <v>0</v>
      </c>
      <c r="AW488" s="17" t="n">
        <v>0</v>
      </c>
      <c r="AX488" s="18" t="n">
        <v>0</v>
      </c>
      <c r="AY488" s="16" t="n">
        <v>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7" t="n">
        <v>0</v>
      </c>
      <c r="BG488" s="17" t="n">
        <v>0</v>
      </c>
      <c r="BH488" s="17" t="n">
        <v>0</v>
      </c>
      <c r="BI488" s="18" t="n">
        <v>0</v>
      </c>
      <c r="BJ488" s="16" t="n">
        <v>0</v>
      </c>
      <c r="BK488" s="17" t="n">
        <v>0</v>
      </c>
      <c r="BL488" s="17" t="n">
        <v>0</v>
      </c>
      <c r="BM488" s="17" t="n">
        <v>0</v>
      </c>
      <c r="BN488" s="17" t="n">
        <v>1</v>
      </c>
      <c r="BO488" s="17" t="n">
        <v>0</v>
      </c>
      <c r="BP488" s="17" t="n">
        <v>3</v>
      </c>
      <c r="BQ488" s="17" t="n">
        <v>229</v>
      </c>
      <c r="BR488" s="17" t="n">
        <v>0</v>
      </c>
      <c r="BS488" s="17" t="n">
        <v>0</v>
      </c>
      <c r="BT488" s="18" t="n">
        <v>0</v>
      </c>
      <c r="BU488" s="17" t="inlineStr">
        <is>
          <t>Unclassified</t>
        </is>
      </c>
    </row>
    <row r="489" ht="20" customHeight="1">
      <c r="A489" s="15" t="inlineStr">
        <is>
          <t>51672213108</t>
        </is>
      </c>
      <c r="B489" s="15" t="inlineStr">
        <is>
          <t>LORATADINE CHILDRENS 5 MG/5ML ORAL SOLUTION</t>
        </is>
      </c>
      <c r="C489" s="16" t="n">
        <v>120</v>
      </c>
      <c r="D489" s="16" t="n">
        <v>0</v>
      </c>
      <c r="E489" s="16" t="n">
        <v>0</v>
      </c>
      <c r="F489" s="16" t="n">
        <v>0</v>
      </c>
      <c r="G489" s="16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120</v>
      </c>
      <c r="O489" s="17" t="n">
        <v>0</v>
      </c>
      <c r="P489" s="17" t="n">
        <v>0</v>
      </c>
      <c r="Q489" s="18" t="n">
        <v>0</v>
      </c>
      <c r="R489" s="16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8" t="n">
        <v>0</v>
      </c>
      <c r="AC489" s="16" t="n">
        <v>0</v>
      </c>
      <c r="AD489" s="17" t="n">
        <v>0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0</v>
      </c>
      <c r="AJ489" s="17" t="n">
        <v>-1</v>
      </c>
      <c r="AK489" s="17" t="n">
        <v>0</v>
      </c>
      <c r="AL489" s="17" t="n">
        <v>0</v>
      </c>
      <c r="AM489" s="18" t="n">
        <v>0</v>
      </c>
      <c r="AN489" s="16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15</v>
      </c>
      <c r="AV489" s="17" t="n">
        <v>0</v>
      </c>
      <c r="AW489" s="17" t="n">
        <v>0</v>
      </c>
      <c r="AX489" s="18" t="n">
        <v>0</v>
      </c>
      <c r="AY489" s="16" t="n">
        <v>0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8" t="n">
        <v>0</v>
      </c>
      <c r="BJ489" s="16" t="n">
        <v>0</v>
      </c>
      <c r="BK489" s="17" t="n">
        <v>0</v>
      </c>
      <c r="BL489" s="17" t="n">
        <v>0</v>
      </c>
      <c r="BM489" s="17" t="n">
        <v>0</v>
      </c>
      <c r="BN489" s="17" t="n">
        <v>0</v>
      </c>
      <c r="BO489" s="17" t="n">
        <v>0</v>
      </c>
      <c r="BP489" s="17" t="n">
        <v>0</v>
      </c>
      <c r="BQ489" s="17" t="n">
        <v>15</v>
      </c>
      <c r="BR489" s="17" t="n">
        <v>0</v>
      </c>
      <c r="BS489" s="17" t="n">
        <v>0</v>
      </c>
      <c r="BT489" s="18" t="n">
        <v>0</v>
      </c>
      <c r="BU489" s="17" t="inlineStr">
        <is>
          <t>Unclassified</t>
        </is>
      </c>
    </row>
    <row r="490" ht="20" customHeight="1">
      <c r="A490" s="15" t="inlineStr">
        <is>
          <t>65862020399</t>
        </is>
      </c>
      <c r="B490" s="15" t="inlineStr">
        <is>
          <t>LOSARTAN 100MG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1290</v>
      </c>
      <c r="H490" s="17" t="n">
        <v>0</v>
      </c>
      <c r="I490" s="17" t="n">
        <v>0</v>
      </c>
      <c r="J490" s="17" t="n">
        <v>750</v>
      </c>
      <c r="K490" s="17" t="n">
        <v>180</v>
      </c>
      <c r="L490" s="17" t="n">
        <v>0</v>
      </c>
      <c r="M490" s="17" t="n">
        <v>0</v>
      </c>
      <c r="N490" s="17" t="n">
        <v>270</v>
      </c>
      <c r="O490" s="17" t="n">
        <v>90</v>
      </c>
      <c r="P490" s="17" t="n">
        <v>0</v>
      </c>
      <c r="Q490" s="18" t="n">
        <v>0</v>
      </c>
      <c r="R490" s="16" t="n">
        <v>1.29</v>
      </c>
      <c r="S490" s="17" t="n">
        <v>0</v>
      </c>
      <c r="T490" s="17" t="n">
        <v>0</v>
      </c>
      <c r="U490" s="17" t="n">
        <v>0.75</v>
      </c>
      <c r="V490" s="17" t="n">
        <v>0.18</v>
      </c>
      <c r="W490" s="17" t="n">
        <v>0</v>
      </c>
      <c r="X490" s="17" t="n">
        <v>0</v>
      </c>
      <c r="Y490" s="17" t="n">
        <v>0.27</v>
      </c>
      <c r="Z490" s="17" t="n">
        <v>0.09</v>
      </c>
      <c r="AA490" s="17" t="n">
        <v>0</v>
      </c>
      <c r="AB490" s="18" t="n">
        <v>0</v>
      </c>
      <c r="AC490" s="16" t="n">
        <v>-1.29</v>
      </c>
      <c r="AD490" s="17" t="n">
        <v>0</v>
      </c>
      <c r="AE490" s="17" t="n">
        <v>0</v>
      </c>
      <c r="AF490" s="17" t="n">
        <v>-0.75</v>
      </c>
      <c r="AG490" s="17" t="n">
        <v>-0.18</v>
      </c>
      <c r="AH490" s="17" t="n">
        <v>0</v>
      </c>
      <c r="AI490" s="17" t="n">
        <v>0</v>
      </c>
      <c r="AJ490" s="17" t="n">
        <v>-0.27</v>
      </c>
      <c r="AK490" s="17" t="n">
        <v>-0.09</v>
      </c>
      <c r="AL490" s="17" t="n">
        <v>0</v>
      </c>
      <c r="AM490" s="18" t="n">
        <v>0</v>
      </c>
      <c r="AN490" s="16" t="n">
        <v>121</v>
      </c>
      <c r="AO490" s="17" t="n">
        <v>0</v>
      </c>
      <c r="AP490" s="17" t="n">
        <v>0</v>
      </c>
      <c r="AQ490" s="17" t="n">
        <v>60</v>
      </c>
      <c r="AR490" s="17" t="n">
        <v>12</v>
      </c>
      <c r="AS490" s="17" t="n">
        <v>0</v>
      </c>
      <c r="AT490" s="17" t="n">
        <v>0</v>
      </c>
      <c r="AU490" s="17" t="n">
        <v>39</v>
      </c>
      <c r="AV490" s="17" t="n">
        <v>8</v>
      </c>
      <c r="AW490" s="17" t="n">
        <v>0</v>
      </c>
      <c r="AX490" s="18" t="n">
        <v>0</v>
      </c>
      <c r="AY490" s="16" t="n">
        <v>0</v>
      </c>
      <c r="AZ490" s="17" t="n">
        <v>0</v>
      </c>
      <c r="BA490" s="17" t="n">
        <v>0</v>
      </c>
      <c r="BB490" s="17" t="n">
        <v>0</v>
      </c>
      <c r="BC490" s="17" t="n">
        <v>0</v>
      </c>
      <c r="BD490" s="17" t="n">
        <v>0</v>
      </c>
      <c r="BE490" s="17" t="n">
        <v>0</v>
      </c>
      <c r="BF490" s="17" t="n">
        <v>0</v>
      </c>
      <c r="BG490" s="17" t="n">
        <v>0</v>
      </c>
      <c r="BH490" s="17" t="n">
        <v>0</v>
      </c>
      <c r="BI490" s="18" t="n">
        <v>0</v>
      </c>
      <c r="BJ490" s="16" t="n">
        <v>121</v>
      </c>
      <c r="BK490" s="17" t="n">
        <v>0</v>
      </c>
      <c r="BL490" s="17" t="n">
        <v>0</v>
      </c>
      <c r="BM490" s="17" t="n">
        <v>60</v>
      </c>
      <c r="BN490" s="17" t="n">
        <v>12</v>
      </c>
      <c r="BO490" s="17" t="n">
        <v>0</v>
      </c>
      <c r="BP490" s="17" t="n">
        <v>0</v>
      </c>
      <c r="BQ490" s="17" t="n">
        <v>39</v>
      </c>
      <c r="BR490" s="17" t="n">
        <v>8</v>
      </c>
      <c r="BS490" s="17" t="n">
        <v>0</v>
      </c>
      <c r="BT490" s="18" t="n">
        <v>0</v>
      </c>
      <c r="BU490" s="17" t="inlineStr">
        <is>
          <t>Unclassified</t>
        </is>
      </c>
    </row>
    <row r="491" ht="20" customHeight="1">
      <c r="A491" s="15" t="inlineStr">
        <is>
          <t>65862020299</t>
        </is>
      </c>
      <c r="B491" s="15" t="inlineStr">
        <is>
          <t>LOSARTAN 50MG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1080</v>
      </c>
      <c r="H491" s="17" t="n">
        <v>0</v>
      </c>
      <c r="I491" s="17" t="n">
        <v>0</v>
      </c>
      <c r="J491" s="17" t="n">
        <v>750</v>
      </c>
      <c r="K491" s="17" t="n">
        <v>60</v>
      </c>
      <c r="L491" s="17" t="n">
        <v>0</v>
      </c>
      <c r="M491" s="17" t="n">
        <v>0</v>
      </c>
      <c r="N491" s="17" t="n">
        <v>180</v>
      </c>
      <c r="O491" s="17" t="n">
        <v>90</v>
      </c>
      <c r="P491" s="17" t="n">
        <v>0</v>
      </c>
      <c r="Q491" s="18" t="n">
        <v>0</v>
      </c>
      <c r="R491" s="16" t="n">
        <v>1.08</v>
      </c>
      <c r="S491" s="17" t="n">
        <v>0</v>
      </c>
      <c r="T491" s="17" t="n">
        <v>0</v>
      </c>
      <c r="U491" s="17" t="n">
        <v>0.75</v>
      </c>
      <c r="V491" s="17" t="n">
        <v>0.06</v>
      </c>
      <c r="W491" s="17" t="n">
        <v>0</v>
      </c>
      <c r="X491" s="17" t="n">
        <v>0</v>
      </c>
      <c r="Y491" s="17" t="n">
        <v>0.18</v>
      </c>
      <c r="Z491" s="17" t="n">
        <v>0.09</v>
      </c>
      <c r="AA491" s="17" t="n">
        <v>0</v>
      </c>
      <c r="AB491" s="18" t="n">
        <v>0</v>
      </c>
      <c r="AC491" s="16" t="n">
        <v>-1.08</v>
      </c>
      <c r="AD491" s="17" t="n">
        <v>0</v>
      </c>
      <c r="AE491" s="17" t="n">
        <v>0</v>
      </c>
      <c r="AF491" s="17" t="n">
        <v>-0.75</v>
      </c>
      <c r="AG491" s="17" t="n">
        <v>-0.06</v>
      </c>
      <c r="AH491" s="17" t="n">
        <v>0</v>
      </c>
      <c r="AI491" s="17" t="n">
        <v>0</v>
      </c>
      <c r="AJ491" s="17" t="n">
        <v>-0.18</v>
      </c>
      <c r="AK491" s="17" t="n">
        <v>-0.09</v>
      </c>
      <c r="AL491" s="17" t="n">
        <v>0</v>
      </c>
      <c r="AM491" s="18" t="n">
        <v>0</v>
      </c>
      <c r="AN491" s="16" t="n">
        <v>74</v>
      </c>
      <c r="AO491" s="17" t="n">
        <v>0</v>
      </c>
      <c r="AP491" s="17" t="n">
        <v>0</v>
      </c>
      <c r="AQ491" s="17" t="n">
        <v>36</v>
      </c>
      <c r="AR491" s="17" t="n">
        <v>3</v>
      </c>
      <c r="AS491" s="17" t="n">
        <v>0</v>
      </c>
      <c r="AT491" s="17" t="n">
        <v>0</v>
      </c>
      <c r="AU491" s="17" t="n">
        <v>25</v>
      </c>
      <c r="AV491" s="17" t="n">
        <v>7</v>
      </c>
      <c r="AW491" s="17" t="n">
        <v>0</v>
      </c>
      <c r="AX491" s="18" t="n">
        <v>0</v>
      </c>
      <c r="AY491" s="16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8" t="n">
        <v>0</v>
      </c>
      <c r="BJ491" s="16" t="n">
        <v>74</v>
      </c>
      <c r="BK491" s="17" t="n">
        <v>0</v>
      </c>
      <c r="BL491" s="17" t="n">
        <v>0</v>
      </c>
      <c r="BM491" s="17" t="n">
        <v>36</v>
      </c>
      <c r="BN491" s="17" t="n">
        <v>3</v>
      </c>
      <c r="BO491" s="17" t="n">
        <v>0</v>
      </c>
      <c r="BP491" s="17" t="n">
        <v>0</v>
      </c>
      <c r="BQ491" s="17" t="n">
        <v>25</v>
      </c>
      <c r="BR491" s="17" t="n">
        <v>7</v>
      </c>
      <c r="BS491" s="17" t="n">
        <v>0</v>
      </c>
      <c r="BT491" s="18" t="n">
        <v>0</v>
      </c>
      <c r="BU491" s="17" t="inlineStr">
        <is>
          <t>Unclassified</t>
        </is>
      </c>
    </row>
    <row r="492" ht="20" customHeight="1">
      <c r="A492" s="15" t="inlineStr">
        <is>
          <t>00093736810</t>
        </is>
      </c>
      <c r="B492" s="15" t="inlineStr">
        <is>
          <t>LOSARTAN HCTZ 100-25MG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540</v>
      </c>
      <c r="H492" s="17" t="n">
        <v>0</v>
      </c>
      <c r="I492" s="17" t="n">
        <v>0</v>
      </c>
      <c r="J492" s="17" t="n">
        <v>270</v>
      </c>
      <c r="K492" s="17" t="n">
        <v>180</v>
      </c>
      <c r="L492" s="17" t="n">
        <v>0</v>
      </c>
      <c r="M492" s="17" t="n">
        <v>0</v>
      </c>
      <c r="N492" s="17" t="n">
        <v>90</v>
      </c>
      <c r="O492" s="17" t="n">
        <v>0</v>
      </c>
      <c r="P492" s="17" t="n">
        <v>0</v>
      </c>
      <c r="Q492" s="18" t="n">
        <v>0</v>
      </c>
      <c r="R492" s="16" t="n">
        <v>0.54</v>
      </c>
      <c r="S492" s="17" t="n">
        <v>0</v>
      </c>
      <c r="T492" s="17" t="n">
        <v>0</v>
      </c>
      <c r="U492" s="17" t="n">
        <v>0.27</v>
      </c>
      <c r="V492" s="17" t="n">
        <v>0.18</v>
      </c>
      <c r="W492" s="17" t="n">
        <v>0</v>
      </c>
      <c r="X492" s="17" t="n">
        <v>0</v>
      </c>
      <c r="Y492" s="17" t="n">
        <v>0.09</v>
      </c>
      <c r="Z492" s="17" t="n">
        <v>0</v>
      </c>
      <c r="AA492" s="17" t="n">
        <v>0</v>
      </c>
      <c r="AB492" s="18" t="n">
        <v>0</v>
      </c>
      <c r="AC492" s="16" t="n">
        <v>-0.54</v>
      </c>
      <c r="AD492" s="17" t="n">
        <v>0</v>
      </c>
      <c r="AE492" s="17" t="n">
        <v>0</v>
      </c>
      <c r="AF492" s="17" t="n">
        <v>-0.27</v>
      </c>
      <c r="AG492" s="17" t="n">
        <v>-0.18</v>
      </c>
      <c r="AH492" s="17" t="n">
        <v>0</v>
      </c>
      <c r="AI492" s="17" t="n">
        <v>0</v>
      </c>
      <c r="AJ492" s="17" t="n">
        <v>-0.09</v>
      </c>
      <c r="AK492" s="17" t="n">
        <v>0</v>
      </c>
      <c r="AL492" s="17" t="n">
        <v>0</v>
      </c>
      <c r="AM492" s="18" t="n">
        <v>0</v>
      </c>
      <c r="AN492" s="16" t="n">
        <v>52</v>
      </c>
      <c r="AO492" s="17" t="n">
        <v>0</v>
      </c>
      <c r="AP492" s="17" t="n">
        <v>0</v>
      </c>
      <c r="AQ492" s="17" t="n">
        <v>23</v>
      </c>
      <c r="AR492" s="17" t="n">
        <v>11</v>
      </c>
      <c r="AS492" s="17" t="n">
        <v>0</v>
      </c>
      <c r="AT492" s="17" t="n">
        <v>0</v>
      </c>
      <c r="AU492" s="17" t="n">
        <v>16</v>
      </c>
      <c r="AV492" s="17" t="n">
        <v>0</v>
      </c>
      <c r="AW492" s="17" t="n">
        <v>0</v>
      </c>
      <c r="AX492" s="18" t="n">
        <v>0</v>
      </c>
      <c r="AY492" s="16" t="n">
        <v>0</v>
      </c>
      <c r="AZ492" s="17" t="n">
        <v>0</v>
      </c>
      <c r="BA492" s="17" t="n">
        <v>0</v>
      </c>
      <c r="BB492" s="17" t="n">
        <v>0</v>
      </c>
      <c r="BC492" s="17" t="n">
        <v>0</v>
      </c>
      <c r="BD492" s="17" t="n">
        <v>0</v>
      </c>
      <c r="BE492" s="17" t="n">
        <v>0</v>
      </c>
      <c r="BF492" s="17" t="n">
        <v>0</v>
      </c>
      <c r="BG492" s="17" t="n">
        <v>0</v>
      </c>
      <c r="BH492" s="17" t="n">
        <v>0</v>
      </c>
      <c r="BI492" s="18" t="n">
        <v>0</v>
      </c>
      <c r="BJ492" s="16" t="n">
        <v>52</v>
      </c>
      <c r="BK492" s="17" t="n">
        <v>0</v>
      </c>
      <c r="BL492" s="17" t="n">
        <v>0</v>
      </c>
      <c r="BM492" s="17" t="n">
        <v>23</v>
      </c>
      <c r="BN492" s="17" t="n">
        <v>11</v>
      </c>
      <c r="BO492" s="17" t="n">
        <v>0</v>
      </c>
      <c r="BP492" s="17" t="n">
        <v>0</v>
      </c>
      <c r="BQ492" s="17" t="n">
        <v>16</v>
      </c>
      <c r="BR492" s="17" t="n">
        <v>0</v>
      </c>
      <c r="BS492" s="17" t="n">
        <v>0</v>
      </c>
      <c r="BT492" s="18" t="n">
        <v>0</v>
      </c>
      <c r="BU492" s="17" t="inlineStr">
        <is>
          <t>Unclassified</t>
        </is>
      </c>
    </row>
    <row r="493" ht="20" customHeight="1">
      <c r="A493" s="15" t="inlineStr">
        <is>
          <t>68180037603</t>
        </is>
      </c>
      <c r="B493" s="15" t="inlineStr">
        <is>
          <t>LOSARTAN POTASSIUM 25MG TABLET</t>
        </is>
      </c>
      <c r="C493" s="16" t="n">
        <v>1000</v>
      </c>
      <c r="D493" s="16" t="n">
        <v>0</v>
      </c>
      <c r="E493" s="16" t="n">
        <v>0</v>
      </c>
      <c r="F493" s="16" t="n">
        <v>0</v>
      </c>
      <c r="G493" s="16" t="n">
        <v>1020</v>
      </c>
      <c r="H493" s="17" t="n">
        <v>0</v>
      </c>
      <c r="I493" s="17" t="n">
        <v>0</v>
      </c>
      <c r="J493" s="17" t="n">
        <v>840</v>
      </c>
      <c r="K493" s="17" t="n">
        <v>90</v>
      </c>
      <c r="L493" s="17" t="n">
        <v>0</v>
      </c>
      <c r="M493" s="17" t="n">
        <v>0</v>
      </c>
      <c r="N493" s="17" t="n">
        <v>90</v>
      </c>
      <c r="O493" s="17" t="n">
        <v>0</v>
      </c>
      <c r="P493" s="17" t="n">
        <v>0</v>
      </c>
      <c r="Q493" s="18" t="n">
        <v>0</v>
      </c>
      <c r="R493" s="16" t="n">
        <v>1.02</v>
      </c>
      <c r="S493" s="17" t="n">
        <v>0</v>
      </c>
      <c r="T493" s="17" t="n">
        <v>0</v>
      </c>
      <c r="U493" s="17" t="n">
        <v>0.84</v>
      </c>
      <c r="V493" s="17" t="n">
        <v>0.09</v>
      </c>
      <c r="W493" s="17" t="n">
        <v>0</v>
      </c>
      <c r="X493" s="17" t="n">
        <v>0</v>
      </c>
      <c r="Y493" s="17" t="n">
        <v>0.09</v>
      </c>
      <c r="Z493" s="17" t="n">
        <v>0</v>
      </c>
      <c r="AA493" s="17" t="n">
        <v>0</v>
      </c>
      <c r="AB493" s="18" t="n">
        <v>0</v>
      </c>
      <c r="AC493" s="16" t="n">
        <v>-1.02</v>
      </c>
      <c r="AD493" s="17" t="n">
        <v>0</v>
      </c>
      <c r="AE493" s="17" t="n">
        <v>0</v>
      </c>
      <c r="AF493" s="17" t="n">
        <v>-0.84</v>
      </c>
      <c r="AG493" s="17" t="n">
        <v>-0.09</v>
      </c>
      <c r="AH493" s="17" t="n">
        <v>0</v>
      </c>
      <c r="AI493" s="17" t="n">
        <v>0</v>
      </c>
      <c r="AJ493" s="17" t="n">
        <v>-0.09</v>
      </c>
      <c r="AK493" s="17" t="n">
        <v>0</v>
      </c>
      <c r="AL493" s="17" t="n">
        <v>0</v>
      </c>
      <c r="AM493" s="18" t="n">
        <v>0</v>
      </c>
      <c r="AN493" s="16" t="n">
        <v>71</v>
      </c>
      <c r="AO493" s="17" t="n">
        <v>0</v>
      </c>
      <c r="AP493" s="17" t="n">
        <v>0</v>
      </c>
      <c r="AQ493" s="17" t="n">
        <v>46</v>
      </c>
      <c r="AR493" s="17" t="n">
        <v>3</v>
      </c>
      <c r="AS493" s="17" t="n">
        <v>0</v>
      </c>
      <c r="AT493" s="17" t="n">
        <v>0</v>
      </c>
      <c r="AU493" s="17" t="n">
        <v>11</v>
      </c>
      <c r="AV493" s="17" t="n">
        <v>0</v>
      </c>
      <c r="AW493" s="17" t="n">
        <v>0</v>
      </c>
      <c r="AX493" s="18" t="n">
        <v>0</v>
      </c>
      <c r="AY493" s="16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8" t="n">
        <v>0</v>
      </c>
      <c r="BJ493" s="16" t="n">
        <v>71</v>
      </c>
      <c r="BK493" s="17" t="n">
        <v>0</v>
      </c>
      <c r="BL493" s="17" t="n">
        <v>0</v>
      </c>
      <c r="BM493" s="17" t="n">
        <v>46</v>
      </c>
      <c r="BN493" s="17" t="n">
        <v>3</v>
      </c>
      <c r="BO493" s="17" t="n">
        <v>0</v>
      </c>
      <c r="BP493" s="17" t="n">
        <v>0</v>
      </c>
      <c r="BQ493" s="17" t="n">
        <v>11</v>
      </c>
      <c r="BR493" s="17" t="n">
        <v>0</v>
      </c>
      <c r="BS493" s="17" t="n">
        <v>0</v>
      </c>
      <c r="BT493" s="18" t="n">
        <v>0</v>
      </c>
      <c r="BU493" s="17" t="inlineStr">
        <is>
          <t>Unclassified</t>
        </is>
      </c>
    </row>
    <row r="494" ht="20" customHeight="1">
      <c r="A494" s="15" t="inlineStr">
        <is>
          <t>43547042409</t>
        </is>
      </c>
      <c r="B494" s="15" t="inlineStr">
        <is>
          <t>LOSARTAN-HCTZ 100-25MG TABLET</t>
        </is>
      </c>
      <c r="C494" s="16" t="n">
        <v>90</v>
      </c>
      <c r="D494" s="16" t="n">
        <v>1</v>
      </c>
      <c r="E494" s="16" t="n">
        <v>1</v>
      </c>
      <c r="F494" s="16" t="n">
        <v>10</v>
      </c>
      <c r="G494" s="16" t="n">
        <v>420</v>
      </c>
      <c r="H494" s="17" t="n">
        <v>0</v>
      </c>
      <c r="I494" s="17" t="n">
        <v>0</v>
      </c>
      <c r="J494" s="17" t="n">
        <v>420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8" t="n">
        <v>0</v>
      </c>
      <c r="R494" s="16" t="n">
        <v>4.667</v>
      </c>
      <c r="S494" s="17" t="n">
        <v>0</v>
      </c>
      <c r="T494" s="17" t="n">
        <v>0</v>
      </c>
      <c r="U494" s="17" t="n">
        <v>4.667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8" t="n">
        <v>0</v>
      </c>
      <c r="AC494" s="16" t="n">
        <v>-3.667</v>
      </c>
      <c r="AD494" s="17" t="n">
        <v>1</v>
      </c>
      <c r="AE494" s="17" t="n">
        <v>1</v>
      </c>
      <c r="AF494" s="17" t="n">
        <v>-3.667</v>
      </c>
      <c r="AG494" s="17" t="n">
        <v>1</v>
      </c>
      <c r="AH494" s="17" t="n">
        <v>1</v>
      </c>
      <c r="AI494" s="17" t="n">
        <v>1</v>
      </c>
      <c r="AJ494" s="17" t="n">
        <v>1</v>
      </c>
      <c r="AK494" s="17" t="n">
        <v>1</v>
      </c>
      <c r="AL494" s="17" t="n">
        <v>1</v>
      </c>
      <c r="AM494" s="18" t="n">
        <v>1</v>
      </c>
      <c r="AN494" s="16" t="n">
        <v>38</v>
      </c>
      <c r="AO494" s="17" t="n">
        <v>0</v>
      </c>
      <c r="AP494" s="17" t="n">
        <v>0</v>
      </c>
      <c r="AQ494" s="17" t="n">
        <v>25</v>
      </c>
      <c r="AR494" s="17" t="n">
        <v>0</v>
      </c>
      <c r="AS494" s="17" t="n">
        <v>0</v>
      </c>
      <c r="AT494" s="17" t="n">
        <v>0</v>
      </c>
      <c r="AU494" s="17" t="n">
        <v>0</v>
      </c>
      <c r="AV494" s="17" t="n">
        <v>0</v>
      </c>
      <c r="AW494" s="17" t="n">
        <v>0</v>
      </c>
      <c r="AX494" s="18" t="n">
        <v>0</v>
      </c>
      <c r="AY494" s="16" t="n">
        <v>47</v>
      </c>
      <c r="AZ494" s="17" t="n">
        <v>0</v>
      </c>
      <c r="BA494" s="17" t="n">
        <v>0</v>
      </c>
      <c r="BB494" s="17" t="n">
        <v>47</v>
      </c>
      <c r="BC494" s="17" t="n">
        <v>0</v>
      </c>
      <c r="BD494" s="17" t="n">
        <v>0</v>
      </c>
      <c r="BE494" s="17" t="n">
        <v>0</v>
      </c>
      <c r="BF494" s="17" t="n">
        <v>0</v>
      </c>
      <c r="BG494" s="17" t="n">
        <v>0</v>
      </c>
      <c r="BH494" s="17" t="n">
        <v>0</v>
      </c>
      <c r="BI494" s="18" t="n">
        <v>0</v>
      </c>
      <c r="BJ494" s="16" t="n">
        <v>-8</v>
      </c>
      <c r="BK494" s="17" t="n">
        <v>0</v>
      </c>
      <c r="BL494" s="17" t="n">
        <v>0</v>
      </c>
      <c r="BM494" s="17" t="n">
        <v>-22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7" t="n">
        <v>0</v>
      </c>
      <c r="BT494" s="18" t="n">
        <v>0</v>
      </c>
      <c r="BU494" s="17" t="inlineStr">
        <is>
          <t>Generic Drug</t>
        </is>
      </c>
    </row>
    <row r="495" ht="20" customHeight="1">
      <c r="A495" s="15" t="inlineStr">
        <is>
          <t>33342005044</t>
        </is>
      </c>
      <c r="B495" s="15" t="inlineStr">
        <is>
          <t>LOSARTAN-HCTZ 50-12.5 MG TABLET</t>
        </is>
      </c>
      <c r="C495" s="16" t="n">
        <v>1000</v>
      </c>
      <c r="D495" s="16" t="n">
        <v>1</v>
      </c>
      <c r="E495" s="16" t="n">
        <v>1</v>
      </c>
      <c r="F495" s="16" t="n">
        <v>59</v>
      </c>
      <c r="G495" s="16" t="n">
        <v>150</v>
      </c>
      <c r="H495" s="17" t="n">
        <v>0</v>
      </c>
      <c r="I495" s="17" t="n">
        <v>0</v>
      </c>
      <c r="J495" s="17" t="n">
        <v>90</v>
      </c>
      <c r="K495" s="17" t="n">
        <v>0</v>
      </c>
      <c r="L495" s="17" t="n">
        <v>0</v>
      </c>
      <c r="M495" s="17" t="n">
        <v>0</v>
      </c>
      <c r="N495" s="17" t="n">
        <v>60</v>
      </c>
      <c r="O495" s="17" t="n">
        <v>0</v>
      </c>
      <c r="P495" s="17" t="n">
        <v>0</v>
      </c>
      <c r="Q495" s="18" t="n">
        <v>0</v>
      </c>
      <c r="R495" s="16" t="n">
        <v>0.15</v>
      </c>
      <c r="S495" s="17" t="n">
        <v>0</v>
      </c>
      <c r="T495" s="17" t="n">
        <v>0</v>
      </c>
      <c r="U495" s="17" t="n">
        <v>0.09</v>
      </c>
      <c r="V495" s="17" t="n">
        <v>0</v>
      </c>
      <c r="W495" s="17" t="n">
        <v>0</v>
      </c>
      <c r="X495" s="17" t="n">
        <v>0</v>
      </c>
      <c r="Y495" s="17" t="n">
        <v>0.06</v>
      </c>
      <c r="Z495" s="17" t="n">
        <v>0</v>
      </c>
      <c r="AA495" s="17" t="n">
        <v>0</v>
      </c>
      <c r="AB495" s="18" t="n">
        <v>0</v>
      </c>
      <c r="AC495" s="16" t="n">
        <v>0.85</v>
      </c>
      <c r="AD495" s="17" t="n">
        <v>1</v>
      </c>
      <c r="AE495" s="17" t="n">
        <v>1</v>
      </c>
      <c r="AF495" s="17" t="n">
        <v>0.91</v>
      </c>
      <c r="AG495" s="17" t="n">
        <v>1</v>
      </c>
      <c r="AH495" s="17" t="n">
        <v>1</v>
      </c>
      <c r="AI495" s="17" t="n">
        <v>1</v>
      </c>
      <c r="AJ495" s="17" t="n">
        <v>0.9399999999999999</v>
      </c>
      <c r="AK495" s="17" t="n">
        <v>1</v>
      </c>
      <c r="AL495" s="17" t="n">
        <v>1</v>
      </c>
      <c r="AM495" s="18" t="n">
        <v>1</v>
      </c>
      <c r="AN495" s="16" t="n">
        <v>27</v>
      </c>
      <c r="AO495" s="17" t="n">
        <v>0</v>
      </c>
      <c r="AP495" s="17" t="n">
        <v>0</v>
      </c>
      <c r="AQ495" s="17" t="n">
        <v>4</v>
      </c>
      <c r="AR495" s="17" t="n">
        <v>0</v>
      </c>
      <c r="AS495" s="17" t="n">
        <v>0</v>
      </c>
      <c r="AT495" s="17" t="n">
        <v>0</v>
      </c>
      <c r="AU495" s="17" t="n">
        <v>23</v>
      </c>
      <c r="AV495" s="17" t="n">
        <v>0</v>
      </c>
      <c r="AW495" s="17" t="n">
        <v>0</v>
      </c>
      <c r="AX495" s="18" t="n">
        <v>0</v>
      </c>
      <c r="AY495" s="16" t="n">
        <v>9</v>
      </c>
      <c r="AZ495" s="17" t="n">
        <v>0</v>
      </c>
      <c r="BA495" s="17" t="n">
        <v>0</v>
      </c>
      <c r="BB495" s="17" t="n">
        <v>5</v>
      </c>
      <c r="BC495" s="17" t="n">
        <v>0</v>
      </c>
      <c r="BD495" s="17" t="n">
        <v>0</v>
      </c>
      <c r="BE495" s="17" t="n">
        <v>0</v>
      </c>
      <c r="BF495" s="17" t="n">
        <v>4</v>
      </c>
      <c r="BG495" s="17" t="n">
        <v>0</v>
      </c>
      <c r="BH495" s="17" t="n">
        <v>0</v>
      </c>
      <c r="BI495" s="18" t="n">
        <v>0</v>
      </c>
      <c r="BJ495" s="16" t="n">
        <v>18</v>
      </c>
      <c r="BK495" s="17" t="n">
        <v>0</v>
      </c>
      <c r="BL495" s="17" t="n">
        <v>0</v>
      </c>
      <c r="BM495" s="17" t="n">
        <v>-1</v>
      </c>
      <c r="BN495" s="17" t="n">
        <v>0</v>
      </c>
      <c r="BO495" s="17" t="n">
        <v>0</v>
      </c>
      <c r="BP495" s="17" t="n">
        <v>0</v>
      </c>
      <c r="BQ495" s="17" t="n">
        <v>19</v>
      </c>
      <c r="BR495" s="17" t="n">
        <v>0</v>
      </c>
      <c r="BS495" s="17" t="n">
        <v>0</v>
      </c>
      <c r="BT495" s="18" t="n">
        <v>0</v>
      </c>
      <c r="BU495" s="17" t="inlineStr">
        <is>
          <t>Generic Drug</t>
        </is>
      </c>
    </row>
    <row r="496" ht="20" customHeight="1">
      <c r="A496" s="15" t="inlineStr">
        <is>
          <t>33342005144</t>
        </is>
      </c>
      <c r="B496" s="15" t="inlineStr">
        <is>
          <t>LOSARTANHCTZ 100-12.5 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390</v>
      </c>
      <c r="H496" s="17" t="n">
        <v>0</v>
      </c>
      <c r="I496" s="17" t="n">
        <v>0</v>
      </c>
      <c r="J496" s="17" t="n">
        <v>180</v>
      </c>
      <c r="K496" s="17" t="n">
        <v>0</v>
      </c>
      <c r="L496" s="17" t="n">
        <v>0</v>
      </c>
      <c r="M496" s="17" t="n">
        <v>0</v>
      </c>
      <c r="N496" s="17" t="n">
        <v>180</v>
      </c>
      <c r="O496" s="17" t="n">
        <v>30</v>
      </c>
      <c r="P496" s="17" t="n">
        <v>0</v>
      </c>
      <c r="Q496" s="18" t="n">
        <v>0</v>
      </c>
      <c r="R496" s="16" t="n">
        <v>0.39</v>
      </c>
      <c r="S496" s="17" t="n">
        <v>0</v>
      </c>
      <c r="T496" s="17" t="n">
        <v>0</v>
      </c>
      <c r="U496" s="17" t="n">
        <v>0.18</v>
      </c>
      <c r="V496" s="17" t="n">
        <v>0</v>
      </c>
      <c r="W496" s="17" t="n">
        <v>0</v>
      </c>
      <c r="X496" s="17" t="n">
        <v>0</v>
      </c>
      <c r="Y496" s="17" t="n">
        <v>0.18</v>
      </c>
      <c r="Z496" s="17" t="n">
        <v>0.03</v>
      </c>
      <c r="AA496" s="17" t="n">
        <v>0</v>
      </c>
      <c r="AB496" s="18" t="n">
        <v>0</v>
      </c>
      <c r="AC496" s="16" t="n">
        <v>-0.39</v>
      </c>
      <c r="AD496" s="17" t="n">
        <v>0</v>
      </c>
      <c r="AE496" s="17" t="n">
        <v>0</v>
      </c>
      <c r="AF496" s="17" t="n">
        <v>-0.18</v>
      </c>
      <c r="AG496" s="17" t="n">
        <v>0</v>
      </c>
      <c r="AH496" s="17" t="n">
        <v>0</v>
      </c>
      <c r="AI496" s="17" t="n">
        <v>0</v>
      </c>
      <c r="AJ496" s="17" t="n">
        <v>-0.18</v>
      </c>
      <c r="AK496" s="17" t="n">
        <v>-0.03</v>
      </c>
      <c r="AL496" s="17" t="n">
        <v>0</v>
      </c>
      <c r="AM496" s="18" t="n">
        <v>0</v>
      </c>
      <c r="AN496" s="16" t="n">
        <v>50</v>
      </c>
      <c r="AO496" s="17" t="n">
        <v>0</v>
      </c>
      <c r="AP496" s="17" t="n">
        <v>0</v>
      </c>
      <c r="AQ496" s="17" t="n">
        <v>15</v>
      </c>
      <c r="AR496" s="17" t="n">
        <v>0</v>
      </c>
      <c r="AS496" s="17" t="n">
        <v>0</v>
      </c>
      <c r="AT496" s="17" t="n">
        <v>0</v>
      </c>
      <c r="AU496" s="17" t="n">
        <v>30</v>
      </c>
      <c r="AV496" s="17" t="n">
        <v>0</v>
      </c>
      <c r="AW496" s="17" t="n">
        <v>0</v>
      </c>
      <c r="AX496" s="18" t="n">
        <v>0</v>
      </c>
      <c r="AY496" s="16" t="n">
        <v>0</v>
      </c>
      <c r="AZ496" s="17" t="n">
        <v>0</v>
      </c>
      <c r="BA496" s="17" t="n">
        <v>0</v>
      </c>
      <c r="BB496" s="17" t="n">
        <v>0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7" t="n">
        <v>0</v>
      </c>
      <c r="BI496" s="18" t="n">
        <v>0</v>
      </c>
      <c r="BJ496" s="16" t="n">
        <v>50</v>
      </c>
      <c r="BK496" s="17" t="n">
        <v>0</v>
      </c>
      <c r="BL496" s="17" t="n">
        <v>0</v>
      </c>
      <c r="BM496" s="17" t="n">
        <v>15</v>
      </c>
      <c r="BN496" s="17" t="n">
        <v>0</v>
      </c>
      <c r="BO496" s="17" t="n">
        <v>0</v>
      </c>
      <c r="BP496" s="17" t="n">
        <v>0</v>
      </c>
      <c r="BQ496" s="17" t="n">
        <v>30</v>
      </c>
      <c r="BR496" s="17" t="n">
        <v>0</v>
      </c>
      <c r="BS496" s="17" t="n">
        <v>0</v>
      </c>
      <c r="BT496" s="18" t="n">
        <v>0</v>
      </c>
      <c r="BU496" s="17" t="inlineStr">
        <is>
          <t>Unclassified</t>
        </is>
      </c>
    </row>
    <row r="497" ht="20" customHeight="1">
      <c r="A497" s="15" t="inlineStr">
        <is>
          <t>68180046801</t>
        </is>
      </c>
      <c r="B497" s="15" t="inlineStr">
        <is>
          <t xml:space="preserve">LOVASTATIN 20MG TAB </t>
        </is>
      </c>
      <c r="C497" s="16" t="n">
        <v>100</v>
      </c>
      <c r="D497" s="16" t="n">
        <v>0</v>
      </c>
      <c r="E497" s="16" t="n">
        <v>0</v>
      </c>
      <c r="F497" s="16" t="n">
        <v>0</v>
      </c>
      <c r="G497" s="16" t="n">
        <v>90</v>
      </c>
      <c r="H497" s="17" t="n">
        <v>0</v>
      </c>
      <c r="I497" s="17" t="n">
        <v>0</v>
      </c>
      <c r="J497" s="17" t="n">
        <v>90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8" t="n">
        <v>0</v>
      </c>
      <c r="R497" s="16" t="n">
        <v>0.9</v>
      </c>
      <c r="S497" s="17" t="n">
        <v>0</v>
      </c>
      <c r="T497" s="17" t="n">
        <v>0</v>
      </c>
      <c r="U497" s="17" t="n">
        <v>0.9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8" t="n">
        <v>0</v>
      </c>
      <c r="AC497" s="16" t="n">
        <v>-0.9</v>
      </c>
      <c r="AD497" s="17" t="n">
        <v>0</v>
      </c>
      <c r="AE497" s="17" t="n">
        <v>0</v>
      </c>
      <c r="AF497" s="17" t="n">
        <v>-0.9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8" t="n">
        <v>0</v>
      </c>
      <c r="AN497" s="16" t="n">
        <v>2</v>
      </c>
      <c r="AO497" s="17" t="n">
        <v>0</v>
      </c>
      <c r="AP497" s="17" t="n">
        <v>0</v>
      </c>
      <c r="AQ497" s="17" t="n">
        <v>2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8" t="n">
        <v>0</v>
      </c>
      <c r="AY497" s="16" t="n">
        <v>0</v>
      </c>
      <c r="AZ497" s="17" t="n">
        <v>0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8" t="n">
        <v>0</v>
      </c>
      <c r="BJ497" s="16" t="n">
        <v>2</v>
      </c>
      <c r="BK497" s="17" t="n">
        <v>0</v>
      </c>
      <c r="BL497" s="17" t="n">
        <v>0</v>
      </c>
      <c r="BM497" s="17" t="n">
        <v>2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0</v>
      </c>
      <c r="BT497" s="18" t="n">
        <v>0</v>
      </c>
      <c r="BU497" s="17" t="inlineStr">
        <is>
          <t>Unclassified</t>
        </is>
      </c>
    </row>
    <row r="498" ht="20" customHeight="1">
      <c r="A498" s="15" t="inlineStr">
        <is>
          <t>00023320505</t>
        </is>
      </c>
      <c r="B498" s="15" t="inlineStr">
        <is>
          <t>LUMIGAN 0.01 % OPHTHALMIC SOLUTION</t>
        </is>
      </c>
      <c r="C498" s="16" t="n">
        <v>5</v>
      </c>
      <c r="D498" s="16" t="n">
        <v>1</v>
      </c>
      <c r="E498" s="16" t="n">
        <v>1</v>
      </c>
      <c r="F498" s="16" t="n">
        <v>524</v>
      </c>
      <c r="G498" s="16" t="n">
        <v>10</v>
      </c>
      <c r="H498" s="17" t="n">
        <v>0</v>
      </c>
      <c r="I498" s="17" t="n">
        <v>0</v>
      </c>
      <c r="J498" s="17" t="n">
        <v>10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8" t="n">
        <v>0</v>
      </c>
      <c r="R498" s="16" t="n">
        <v>2</v>
      </c>
      <c r="S498" s="17" t="n">
        <v>0</v>
      </c>
      <c r="T498" s="17" t="n">
        <v>0</v>
      </c>
      <c r="U498" s="17" t="n">
        <v>2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8" t="n">
        <v>0</v>
      </c>
      <c r="AC498" s="16" t="n">
        <v>-1</v>
      </c>
      <c r="AD498" s="17" t="n">
        <v>1</v>
      </c>
      <c r="AE498" s="17" t="n">
        <v>1</v>
      </c>
      <c r="AF498" s="17" t="n">
        <v>-1</v>
      </c>
      <c r="AG498" s="17" t="n">
        <v>1</v>
      </c>
      <c r="AH498" s="17" t="n">
        <v>1</v>
      </c>
      <c r="AI498" s="17" t="n">
        <v>1</v>
      </c>
      <c r="AJ498" s="17" t="n">
        <v>1</v>
      </c>
      <c r="AK498" s="17" t="n">
        <v>1</v>
      </c>
      <c r="AL498" s="17" t="n">
        <v>1</v>
      </c>
      <c r="AM498" s="18" t="n">
        <v>1</v>
      </c>
      <c r="AN498" s="16" t="n">
        <v>1025</v>
      </c>
      <c r="AO498" s="17" t="n">
        <v>0</v>
      </c>
      <c r="AP498" s="17" t="n">
        <v>0</v>
      </c>
      <c r="AQ498" s="17" t="n">
        <v>1020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8" t="n">
        <v>0</v>
      </c>
      <c r="AY498" s="16" t="n">
        <v>1048</v>
      </c>
      <c r="AZ498" s="17" t="n">
        <v>0</v>
      </c>
      <c r="BA498" s="17" t="n">
        <v>0</v>
      </c>
      <c r="BB498" s="17" t="n">
        <v>1048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8" t="n">
        <v>0</v>
      </c>
      <c r="BJ498" s="16" t="n">
        <v>-23</v>
      </c>
      <c r="BK498" s="17" t="n">
        <v>0</v>
      </c>
      <c r="BL498" s="17" t="n">
        <v>0</v>
      </c>
      <c r="BM498" s="17" t="n">
        <v>-28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</v>
      </c>
      <c r="BT498" s="18" t="n">
        <v>0</v>
      </c>
      <c r="BU498" s="17" t="inlineStr">
        <is>
          <t>Branded Drug</t>
        </is>
      </c>
    </row>
    <row r="499" ht="20" customHeight="1">
      <c r="A499" s="15" t="inlineStr">
        <is>
          <t>00023320508</t>
        </is>
      </c>
      <c r="B499" s="15" t="inlineStr">
        <is>
          <t>LUMIGAN 0.01% SOLUTION</t>
        </is>
      </c>
      <c r="C499" s="16" t="n">
        <v>7.5</v>
      </c>
      <c r="D499" s="16" t="n">
        <v>2</v>
      </c>
      <c r="E499" s="16" t="n">
        <v>2</v>
      </c>
      <c r="F499" s="16" t="n">
        <v>786</v>
      </c>
      <c r="G499" s="16" t="n">
        <v>30</v>
      </c>
      <c r="H499" s="17" t="n">
        <v>0</v>
      </c>
      <c r="I499" s="17" t="n">
        <v>0</v>
      </c>
      <c r="J499" s="17" t="n">
        <v>22.5</v>
      </c>
      <c r="K499" s="17" t="n">
        <v>0</v>
      </c>
      <c r="L499" s="17" t="n">
        <v>0</v>
      </c>
      <c r="M499" s="17" t="n">
        <v>0</v>
      </c>
      <c r="N499" s="17" t="n">
        <v>7.5</v>
      </c>
      <c r="O499" s="17" t="n">
        <v>0</v>
      </c>
      <c r="P499" s="17" t="n">
        <v>0</v>
      </c>
      <c r="Q499" s="18" t="n">
        <v>0</v>
      </c>
      <c r="R499" s="16" t="n">
        <v>4</v>
      </c>
      <c r="S499" s="17" t="n">
        <v>0</v>
      </c>
      <c r="T499" s="17" t="n">
        <v>0</v>
      </c>
      <c r="U499" s="17" t="n">
        <v>3</v>
      </c>
      <c r="V499" s="17" t="n">
        <v>0</v>
      </c>
      <c r="W499" s="17" t="n">
        <v>0</v>
      </c>
      <c r="X499" s="17" t="n">
        <v>0</v>
      </c>
      <c r="Y499" s="17" t="n">
        <v>1</v>
      </c>
      <c r="Z499" s="17" t="n">
        <v>0</v>
      </c>
      <c r="AA499" s="17" t="n">
        <v>0</v>
      </c>
      <c r="AB499" s="18" t="n">
        <v>0</v>
      </c>
      <c r="AC499" s="16" t="n">
        <v>-2</v>
      </c>
      <c r="AD499" s="17" t="n">
        <v>2</v>
      </c>
      <c r="AE499" s="17" t="n">
        <v>2</v>
      </c>
      <c r="AF499" s="17" t="n">
        <v>-1</v>
      </c>
      <c r="AG499" s="17" t="n">
        <v>2</v>
      </c>
      <c r="AH499" s="17" t="n">
        <v>2</v>
      </c>
      <c r="AI499" s="17" t="n">
        <v>2</v>
      </c>
      <c r="AJ499" s="17" t="n">
        <v>1</v>
      </c>
      <c r="AK499" s="17" t="n">
        <v>2</v>
      </c>
      <c r="AL499" s="17" t="n">
        <v>2</v>
      </c>
      <c r="AM499" s="18" t="n">
        <v>2</v>
      </c>
      <c r="AN499" s="16" t="n">
        <v>3091</v>
      </c>
      <c r="AO499" s="17" t="n">
        <v>0</v>
      </c>
      <c r="AP499" s="17" t="n">
        <v>0</v>
      </c>
      <c r="AQ499" s="17" t="n">
        <v>2301</v>
      </c>
      <c r="AR499" s="17" t="n">
        <v>0</v>
      </c>
      <c r="AS499" s="17" t="n">
        <v>0</v>
      </c>
      <c r="AT499" s="17" t="n">
        <v>0</v>
      </c>
      <c r="AU499" s="17" t="n">
        <v>785</v>
      </c>
      <c r="AV499" s="17" t="n">
        <v>0</v>
      </c>
      <c r="AW499" s="17" t="n">
        <v>0</v>
      </c>
      <c r="AX499" s="18" t="n">
        <v>0</v>
      </c>
      <c r="AY499" s="16" t="n">
        <v>3144</v>
      </c>
      <c r="AZ499" s="17" t="n">
        <v>0</v>
      </c>
      <c r="BA499" s="17" t="n">
        <v>0</v>
      </c>
      <c r="BB499" s="17" t="n">
        <v>2358</v>
      </c>
      <c r="BC499" s="17" t="n">
        <v>0</v>
      </c>
      <c r="BD499" s="17" t="n">
        <v>0</v>
      </c>
      <c r="BE499" s="17" t="n">
        <v>0</v>
      </c>
      <c r="BF499" s="17" t="n">
        <v>786</v>
      </c>
      <c r="BG499" s="17" t="n">
        <v>0</v>
      </c>
      <c r="BH499" s="17" t="n">
        <v>0</v>
      </c>
      <c r="BI499" s="18" t="n">
        <v>0</v>
      </c>
      <c r="BJ499" s="16" t="n">
        <v>-53</v>
      </c>
      <c r="BK499" s="17" t="n">
        <v>0</v>
      </c>
      <c r="BL499" s="17" t="n">
        <v>0</v>
      </c>
      <c r="BM499" s="17" t="n">
        <v>-57</v>
      </c>
      <c r="BN499" s="17" t="n">
        <v>0</v>
      </c>
      <c r="BO499" s="17" t="n">
        <v>0</v>
      </c>
      <c r="BP499" s="17" t="n">
        <v>0</v>
      </c>
      <c r="BQ499" s="17" t="n">
        <v>-1</v>
      </c>
      <c r="BR499" s="17" t="n">
        <v>0</v>
      </c>
      <c r="BS499" s="17" t="n">
        <v>0</v>
      </c>
      <c r="BT499" s="18" t="n">
        <v>0</v>
      </c>
      <c r="BU499" s="17" t="inlineStr">
        <is>
          <t>Branded Drug</t>
        </is>
      </c>
    </row>
    <row r="500" ht="20" customHeight="1">
      <c r="A500" s="15" t="inlineStr">
        <is>
          <t>31722008230</t>
        </is>
      </c>
      <c r="B500" s="15" t="inlineStr">
        <is>
          <t>LURASIDONE HCL 60 MG ORAL TABLET</t>
        </is>
      </c>
      <c r="C500" s="16" t="n">
        <v>30</v>
      </c>
      <c r="D500" s="16" t="n">
        <v>1</v>
      </c>
      <c r="E500" s="16" t="n">
        <v>1</v>
      </c>
      <c r="F500" s="16" t="n">
        <v>8</v>
      </c>
      <c r="G500" s="16" t="n">
        <v>30</v>
      </c>
      <c r="H500" s="17" t="n">
        <v>0</v>
      </c>
      <c r="I500" s="17" t="n">
        <v>0</v>
      </c>
      <c r="J500" s="17" t="n">
        <v>0</v>
      </c>
      <c r="K500" s="17" t="n">
        <v>30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8" t="n">
        <v>0</v>
      </c>
      <c r="R500" s="16" t="n">
        <v>1</v>
      </c>
      <c r="S500" s="17" t="n">
        <v>0</v>
      </c>
      <c r="T500" s="17" t="n">
        <v>0</v>
      </c>
      <c r="U500" s="17" t="n">
        <v>0</v>
      </c>
      <c r="V500" s="17" t="n">
        <v>1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8" t="n">
        <v>0</v>
      </c>
      <c r="AC500" s="16" t="n">
        <v>0</v>
      </c>
      <c r="AD500" s="17" t="n">
        <v>1</v>
      </c>
      <c r="AE500" s="17" t="n">
        <v>1</v>
      </c>
      <c r="AF500" s="17" t="n">
        <v>1</v>
      </c>
      <c r="AG500" s="17" t="n">
        <v>0</v>
      </c>
      <c r="AH500" s="17" t="n">
        <v>1</v>
      </c>
      <c r="AI500" s="17" t="n">
        <v>1</v>
      </c>
      <c r="AJ500" s="17" t="n">
        <v>1</v>
      </c>
      <c r="AK500" s="17" t="n">
        <v>1</v>
      </c>
      <c r="AL500" s="17" t="n">
        <v>1</v>
      </c>
      <c r="AM500" s="18" t="n">
        <v>1</v>
      </c>
      <c r="AN500" s="16" t="n">
        <v>12</v>
      </c>
      <c r="AO500" s="17" t="n">
        <v>0</v>
      </c>
      <c r="AP500" s="17" t="n">
        <v>0</v>
      </c>
      <c r="AQ500" s="17" t="n">
        <v>0</v>
      </c>
      <c r="AR500" s="17" t="n">
        <v>6</v>
      </c>
      <c r="AS500" s="17" t="n">
        <v>0</v>
      </c>
      <c r="AT500" s="17" t="n">
        <v>0</v>
      </c>
      <c r="AU500" s="17" t="n">
        <v>0</v>
      </c>
      <c r="AV500" s="17" t="n">
        <v>0</v>
      </c>
      <c r="AW500" s="17" t="n">
        <v>0</v>
      </c>
      <c r="AX500" s="18" t="n">
        <v>0</v>
      </c>
      <c r="AY500" s="16" t="n">
        <v>8</v>
      </c>
      <c r="AZ500" s="17" t="n">
        <v>0</v>
      </c>
      <c r="BA500" s="17" t="n">
        <v>0</v>
      </c>
      <c r="BB500" s="17" t="n">
        <v>0</v>
      </c>
      <c r="BC500" s="17" t="n">
        <v>8</v>
      </c>
      <c r="BD500" s="17" t="n">
        <v>0</v>
      </c>
      <c r="BE500" s="17" t="n">
        <v>0</v>
      </c>
      <c r="BF500" s="17" t="n">
        <v>0</v>
      </c>
      <c r="BG500" s="17" t="n">
        <v>0</v>
      </c>
      <c r="BH500" s="17" t="n">
        <v>0</v>
      </c>
      <c r="BI500" s="18" t="n">
        <v>0</v>
      </c>
      <c r="BJ500" s="16" t="n">
        <v>4</v>
      </c>
      <c r="BK500" s="17" t="n">
        <v>0</v>
      </c>
      <c r="BL500" s="17" t="n">
        <v>0</v>
      </c>
      <c r="BM500" s="17" t="n">
        <v>0</v>
      </c>
      <c r="BN500" s="17" t="n">
        <v>-2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7" t="n">
        <v>0</v>
      </c>
      <c r="BT500" s="18" t="n">
        <v>0</v>
      </c>
      <c r="BU500" s="17" t="inlineStr">
        <is>
          <t>Generic Drug</t>
        </is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30</v>
      </c>
      <c r="O501" s="17" t="n">
        <v>0</v>
      </c>
      <c r="P501" s="17" t="n">
        <v>0</v>
      </c>
      <c r="Q501" s="18" t="n">
        <v>0</v>
      </c>
      <c r="R501" s="16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0.25</v>
      </c>
      <c r="Z501" s="17" t="n">
        <v>0</v>
      </c>
      <c r="AA501" s="17" t="n">
        <v>0</v>
      </c>
      <c r="AB501" s="18" t="n">
        <v>0</v>
      </c>
      <c r="AC501" s="16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-0.25</v>
      </c>
      <c r="AK501" s="17" t="n">
        <v>0</v>
      </c>
      <c r="AL501" s="17" t="n">
        <v>0</v>
      </c>
      <c r="AM501" s="18" t="n">
        <v>0</v>
      </c>
      <c r="AN501" s="16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10</v>
      </c>
      <c r="AV501" s="17" t="n">
        <v>0</v>
      </c>
      <c r="AW501" s="17" t="n">
        <v>0</v>
      </c>
      <c r="AX501" s="18" t="n">
        <v>0</v>
      </c>
      <c r="AY501" s="16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8" t="n">
        <v>0</v>
      </c>
      <c r="BJ501" s="16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10</v>
      </c>
      <c r="BR501" s="17" t="n">
        <v>0</v>
      </c>
      <c r="BS501" s="17" t="n">
        <v>0</v>
      </c>
      <c r="BT501" s="18" t="n">
        <v>0</v>
      </c>
      <c r="BU501" s="17" t="inlineStr">
        <is>
          <t>Unclassified</t>
        </is>
      </c>
    </row>
    <row r="502" ht="20" customHeight="1">
      <c r="A502" s="15" t="inlineStr">
        <is>
          <t>10006073038</t>
        </is>
      </c>
      <c r="B502" s="15" t="inlineStr">
        <is>
          <t>MAGNESIUM OXIDE 400MG TABLET</t>
        </is>
      </c>
      <c r="C502" s="16" t="n">
        <v>120</v>
      </c>
      <c r="D502" s="16" t="n">
        <v>5</v>
      </c>
      <c r="E502" s="16" t="n">
        <v>5</v>
      </c>
      <c r="F502" s="16" t="n">
        <v>2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30</v>
      </c>
      <c r="L502" s="17" t="n">
        <v>0</v>
      </c>
      <c r="M502" s="17" t="n">
        <v>0</v>
      </c>
      <c r="N502" s="17" t="n">
        <v>540</v>
      </c>
      <c r="O502" s="17" t="n">
        <v>0</v>
      </c>
      <c r="P502" s="17" t="n">
        <v>0</v>
      </c>
      <c r="Q502" s="18" t="n">
        <v>0</v>
      </c>
      <c r="R502" s="16" t="n">
        <v>0</v>
      </c>
      <c r="S502" s="17" t="n">
        <v>0</v>
      </c>
      <c r="T502" s="17" t="n">
        <v>0</v>
      </c>
      <c r="U502" s="17" t="n">
        <v>0</v>
      </c>
      <c r="V502" s="17" t="n">
        <v>0.25</v>
      </c>
      <c r="W502" s="17" t="n">
        <v>0</v>
      </c>
      <c r="X502" s="17" t="n">
        <v>0</v>
      </c>
      <c r="Y502" s="17" t="n">
        <v>4.5</v>
      </c>
      <c r="Z502" s="17" t="n">
        <v>0</v>
      </c>
      <c r="AA502" s="17" t="n">
        <v>0</v>
      </c>
      <c r="AB502" s="18" t="n">
        <v>0</v>
      </c>
      <c r="AC502" s="16" t="n">
        <v>5</v>
      </c>
      <c r="AD502" s="17" t="n">
        <v>5</v>
      </c>
      <c r="AE502" s="17" t="n">
        <v>5</v>
      </c>
      <c r="AF502" s="17" t="n">
        <v>5</v>
      </c>
      <c r="AG502" s="17" t="n">
        <v>4.75</v>
      </c>
      <c r="AH502" s="17" t="n">
        <v>5</v>
      </c>
      <c r="AI502" s="17" t="n">
        <v>5</v>
      </c>
      <c r="AJ502" s="17" t="n">
        <v>0.5</v>
      </c>
      <c r="AK502" s="17" t="n">
        <v>5</v>
      </c>
      <c r="AL502" s="17" t="n">
        <v>5</v>
      </c>
      <c r="AM502" s="18" t="n">
        <v>5</v>
      </c>
      <c r="AN502" s="16" t="n">
        <v>0</v>
      </c>
      <c r="AO502" s="17" t="n">
        <v>0</v>
      </c>
      <c r="AP502" s="17" t="n">
        <v>0</v>
      </c>
      <c r="AQ502" s="17" t="n">
        <v>0</v>
      </c>
      <c r="AR502" s="17" t="n">
        <v>1</v>
      </c>
      <c r="AS502" s="17" t="n">
        <v>0</v>
      </c>
      <c r="AT502" s="17" t="n">
        <v>0</v>
      </c>
      <c r="AU502" s="17" t="n">
        <v>6</v>
      </c>
      <c r="AV502" s="17" t="n">
        <v>0</v>
      </c>
      <c r="AW502" s="17" t="n">
        <v>0</v>
      </c>
      <c r="AX502" s="18" t="n">
        <v>0</v>
      </c>
      <c r="AY502" s="16" t="n">
        <v>0</v>
      </c>
      <c r="AZ502" s="17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0</v>
      </c>
      <c r="BF502" s="17" t="n">
        <v>9</v>
      </c>
      <c r="BG502" s="17" t="n">
        <v>0</v>
      </c>
      <c r="BH502" s="17" t="n">
        <v>0</v>
      </c>
      <c r="BI502" s="18" t="n">
        <v>0</v>
      </c>
      <c r="BJ502" s="16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-3</v>
      </c>
      <c r="BR502" s="17" t="n">
        <v>0</v>
      </c>
      <c r="BS502" s="17" t="n">
        <v>0</v>
      </c>
      <c r="BT502" s="18" t="n">
        <v>0</v>
      </c>
      <c r="BU502" s="17" t="inlineStr">
        <is>
          <t>OTC Drug</t>
        </is>
      </c>
    </row>
    <row r="503" ht="20" customHeight="1">
      <c r="A503" s="15" t="inlineStr">
        <is>
          <t>00536129710</t>
        </is>
      </c>
      <c r="B503" s="15" t="inlineStr">
        <is>
          <t>MECLIZINE 12.5MG TABLET</t>
        </is>
      </c>
      <c r="C503" s="16" t="n">
        <v>1000</v>
      </c>
      <c r="D503" s="16" t="n">
        <v>0</v>
      </c>
      <c r="E503" s="16" t="n">
        <v>0</v>
      </c>
      <c r="F503" s="16" t="n">
        <v>0</v>
      </c>
      <c r="G503" s="16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270</v>
      </c>
      <c r="O503" s="17" t="n">
        <v>0</v>
      </c>
      <c r="P503" s="17" t="n">
        <v>0</v>
      </c>
      <c r="Q503" s="18" t="n">
        <v>0</v>
      </c>
      <c r="R503" s="16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0.27</v>
      </c>
      <c r="Z503" s="17" t="n">
        <v>0</v>
      </c>
      <c r="AA503" s="17" t="n">
        <v>0</v>
      </c>
      <c r="AB503" s="18" t="n">
        <v>0</v>
      </c>
      <c r="AC503" s="16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-0.27</v>
      </c>
      <c r="AK503" s="17" t="n">
        <v>0</v>
      </c>
      <c r="AL503" s="17" t="n">
        <v>0</v>
      </c>
      <c r="AM503" s="18" t="n">
        <v>0</v>
      </c>
      <c r="AN503" s="16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45</v>
      </c>
      <c r="AV503" s="17" t="n">
        <v>0</v>
      </c>
      <c r="AW503" s="17" t="n">
        <v>0</v>
      </c>
      <c r="AX503" s="18" t="n">
        <v>0</v>
      </c>
      <c r="AY503" s="16" t="n">
        <v>0</v>
      </c>
      <c r="AZ503" s="17" t="n">
        <v>0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8" t="n">
        <v>0</v>
      </c>
      <c r="BJ503" s="16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0</v>
      </c>
      <c r="BP503" s="17" t="n">
        <v>0</v>
      </c>
      <c r="BQ503" s="17" t="n">
        <v>45</v>
      </c>
      <c r="BR503" s="17" t="n">
        <v>0</v>
      </c>
      <c r="BS503" s="17" t="n">
        <v>0</v>
      </c>
      <c r="BT503" s="18" t="n">
        <v>0</v>
      </c>
      <c r="BU503" s="17" t="inlineStr">
        <is>
          <t>Unclassified</t>
        </is>
      </c>
    </row>
    <row r="504" ht="20" customHeight="1">
      <c r="A504" s="15" t="inlineStr">
        <is>
          <t>65162044210</t>
        </is>
      </c>
      <c r="B504" s="15" t="inlineStr">
        <is>
          <t>MECLIZINE 25MG TABLET</t>
        </is>
      </c>
      <c r="C504" s="16" t="n">
        <v>100</v>
      </c>
      <c r="D504" s="16" t="n">
        <v>0</v>
      </c>
      <c r="E504" s="16" t="n">
        <v>0</v>
      </c>
      <c r="F504" s="16" t="n">
        <v>0</v>
      </c>
      <c r="G504" s="16" t="n">
        <v>120</v>
      </c>
      <c r="H504" s="17" t="n">
        <v>0</v>
      </c>
      <c r="I504" s="17" t="n">
        <v>0</v>
      </c>
      <c r="J504" s="17" t="n">
        <v>30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90</v>
      </c>
      <c r="P504" s="17" t="n">
        <v>0</v>
      </c>
      <c r="Q504" s="18" t="n">
        <v>0</v>
      </c>
      <c r="R504" s="16" t="n">
        <v>1.2</v>
      </c>
      <c r="S504" s="17" t="n">
        <v>0</v>
      </c>
      <c r="T504" s="17" t="n">
        <v>0</v>
      </c>
      <c r="U504" s="17" t="n">
        <v>0.3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0.9</v>
      </c>
      <c r="AA504" s="17" t="n">
        <v>0</v>
      </c>
      <c r="AB504" s="18" t="n">
        <v>0</v>
      </c>
      <c r="AC504" s="16" t="n">
        <v>-1.2</v>
      </c>
      <c r="AD504" s="17" t="n">
        <v>0</v>
      </c>
      <c r="AE504" s="17" t="n">
        <v>0</v>
      </c>
      <c r="AF504" s="17" t="n">
        <v>-0.3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-0.9</v>
      </c>
      <c r="AL504" s="17" t="n">
        <v>0</v>
      </c>
      <c r="AM504" s="18" t="n">
        <v>0</v>
      </c>
      <c r="AN504" s="16" t="n">
        <v>22</v>
      </c>
      <c r="AO504" s="17" t="n">
        <v>0</v>
      </c>
      <c r="AP504" s="17" t="n">
        <v>0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20</v>
      </c>
      <c r="AW504" s="17" t="n">
        <v>0</v>
      </c>
      <c r="AX504" s="18" t="n">
        <v>0</v>
      </c>
      <c r="AY504" s="16" t="n">
        <v>0</v>
      </c>
      <c r="AZ504" s="17" t="n">
        <v>0</v>
      </c>
      <c r="BA504" s="17" t="n">
        <v>0</v>
      </c>
      <c r="BB504" s="17" t="n">
        <v>0</v>
      </c>
      <c r="BC504" s="17" t="n">
        <v>0</v>
      </c>
      <c r="BD504" s="17" t="n">
        <v>0</v>
      </c>
      <c r="BE504" s="17" t="n">
        <v>0</v>
      </c>
      <c r="BF504" s="17" t="n">
        <v>0</v>
      </c>
      <c r="BG504" s="17" t="n">
        <v>0</v>
      </c>
      <c r="BH504" s="17" t="n">
        <v>0</v>
      </c>
      <c r="BI504" s="18" t="n">
        <v>0</v>
      </c>
      <c r="BJ504" s="16" t="n">
        <v>22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20</v>
      </c>
      <c r="BS504" s="17" t="n">
        <v>0</v>
      </c>
      <c r="BT504" s="18" t="n">
        <v>0</v>
      </c>
      <c r="BU504" s="17" t="inlineStr">
        <is>
          <t>Unclassified</t>
        </is>
      </c>
    </row>
    <row r="505" ht="20" customHeight="1">
      <c r="A505" s="15" t="inlineStr">
        <is>
          <t>59746012110</t>
        </is>
      </c>
      <c r="B505" s="15" t="inlineStr">
        <is>
          <t>MECLIZINE HCL 25MG TABLET</t>
        </is>
      </c>
      <c r="C505" s="16" t="n">
        <v>1000</v>
      </c>
      <c r="D505" s="16" t="n">
        <v>0</v>
      </c>
      <c r="E505" s="16" t="n">
        <v>0</v>
      </c>
      <c r="F505" s="16" t="n">
        <v>0</v>
      </c>
      <c r="G505" s="16" t="n">
        <v>409</v>
      </c>
      <c r="H505" s="17" t="n">
        <v>0</v>
      </c>
      <c r="I505" s="17" t="n">
        <v>0</v>
      </c>
      <c r="J505" s="17" t="n">
        <v>169</v>
      </c>
      <c r="K505" s="17" t="n">
        <v>30</v>
      </c>
      <c r="L505" s="17" t="n">
        <v>0</v>
      </c>
      <c r="M505" s="17" t="n">
        <v>0</v>
      </c>
      <c r="N505" s="17" t="n">
        <v>120</v>
      </c>
      <c r="O505" s="17" t="n">
        <v>90</v>
      </c>
      <c r="P505" s="17" t="n">
        <v>0</v>
      </c>
      <c r="Q505" s="18" t="n">
        <v>0</v>
      </c>
      <c r="R505" s="16" t="n">
        <v>0.409</v>
      </c>
      <c r="S505" s="17" t="n">
        <v>0</v>
      </c>
      <c r="T505" s="17" t="n">
        <v>0</v>
      </c>
      <c r="U505" s="17" t="n">
        <v>0.169</v>
      </c>
      <c r="V505" s="17" t="n">
        <v>0.03</v>
      </c>
      <c r="W505" s="17" t="n">
        <v>0</v>
      </c>
      <c r="X505" s="17" t="n">
        <v>0</v>
      </c>
      <c r="Y505" s="17" t="n">
        <v>0.12</v>
      </c>
      <c r="Z505" s="17" t="n">
        <v>0.09</v>
      </c>
      <c r="AA505" s="17" t="n">
        <v>0</v>
      </c>
      <c r="AB505" s="18" t="n">
        <v>0</v>
      </c>
      <c r="AC505" s="16" t="n">
        <v>-0.409</v>
      </c>
      <c r="AD505" s="17" t="n">
        <v>0</v>
      </c>
      <c r="AE505" s="17" t="n">
        <v>0</v>
      </c>
      <c r="AF505" s="17" t="n">
        <v>-0.169</v>
      </c>
      <c r="AG505" s="17" t="n">
        <v>-0.03</v>
      </c>
      <c r="AH505" s="17" t="n">
        <v>0</v>
      </c>
      <c r="AI505" s="17" t="n">
        <v>0</v>
      </c>
      <c r="AJ505" s="17" t="n">
        <v>-0.12</v>
      </c>
      <c r="AK505" s="17" t="n">
        <v>-0.09</v>
      </c>
      <c r="AL505" s="17" t="n">
        <v>0</v>
      </c>
      <c r="AM505" s="18" t="n">
        <v>0</v>
      </c>
      <c r="AN505" s="16" t="n">
        <v>63</v>
      </c>
      <c r="AO505" s="17" t="n">
        <v>0</v>
      </c>
      <c r="AP505" s="17" t="n">
        <v>0</v>
      </c>
      <c r="AQ505" s="17" t="n">
        <v>6</v>
      </c>
      <c r="AR505" s="17" t="n">
        <v>4</v>
      </c>
      <c r="AS505" s="17" t="n">
        <v>0</v>
      </c>
      <c r="AT505" s="17" t="n">
        <v>0</v>
      </c>
      <c r="AU505" s="17" t="n">
        <v>30</v>
      </c>
      <c r="AV505" s="17" t="n">
        <v>19</v>
      </c>
      <c r="AW505" s="17" t="n">
        <v>0</v>
      </c>
      <c r="AX505" s="18" t="n">
        <v>0</v>
      </c>
      <c r="AY505" s="16" t="n">
        <v>0</v>
      </c>
      <c r="AZ505" s="17" t="n">
        <v>0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8" t="n">
        <v>0</v>
      </c>
      <c r="BJ505" s="16" t="n">
        <v>63</v>
      </c>
      <c r="BK505" s="17" t="n">
        <v>0</v>
      </c>
      <c r="BL505" s="17" t="n">
        <v>0</v>
      </c>
      <c r="BM505" s="17" t="n">
        <v>6</v>
      </c>
      <c r="BN505" s="17" t="n">
        <v>4</v>
      </c>
      <c r="BO505" s="17" t="n">
        <v>0</v>
      </c>
      <c r="BP505" s="17" t="n">
        <v>0</v>
      </c>
      <c r="BQ505" s="17" t="n">
        <v>30</v>
      </c>
      <c r="BR505" s="17" t="n">
        <v>19</v>
      </c>
      <c r="BS505" s="17" t="n">
        <v>0</v>
      </c>
      <c r="BT505" s="18" t="n">
        <v>0</v>
      </c>
      <c r="BU505" s="17" t="inlineStr">
        <is>
          <t>Unclassified</t>
        </is>
      </c>
    </row>
    <row r="506" ht="20" customHeight="1">
      <c r="A506" s="15" t="inlineStr">
        <is>
          <t>69097015912</t>
        </is>
      </c>
      <c r="B506" s="15" t="inlineStr">
        <is>
          <t xml:space="preserve">MELOXICAM 15MG TAB </t>
        </is>
      </c>
      <c r="C506" s="16" t="n">
        <v>500</v>
      </c>
      <c r="D506" s="16" t="n">
        <v>0</v>
      </c>
      <c r="E506" s="16" t="n">
        <v>0</v>
      </c>
      <c r="F506" s="16" t="n">
        <v>0</v>
      </c>
      <c r="G506" s="16" t="n">
        <v>534</v>
      </c>
      <c r="H506" s="17" t="n">
        <v>0</v>
      </c>
      <c r="I506" s="17" t="n">
        <v>0</v>
      </c>
      <c r="J506" s="17" t="n">
        <v>384</v>
      </c>
      <c r="K506" s="17" t="n">
        <v>30</v>
      </c>
      <c r="L506" s="17" t="n">
        <v>0</v>
      </c>
      <c r="M506" s="17" t="n">
        <v>30</v>
      </c>
      <c r="N506" s="17" t="n">
        <v>30</v>
      </c>
      <c r="O506" s="17" t="n">
        <v>30</v>
      </c>
      <c r="P506" s="17" t="n">
        <v>0</v>
      </c>
      <c r="Q506" s="18" t="n">
        <v>30</v>
      </c>
      <c r="R506" s="16" t="n">
        <v>1.068</v>
      </c>
      <c r="S506" s="17" t="n">
        <v>0</v>
      </c>
      <c r="T506" s="17" t="n">
        <v>0</v>
      </c>
      <c r="U506" s="17" t="n">
        <v>0.768</v>
      </c>
      <c r="V506" s="17" t="n">
        <v>0.06</v>
      </c>
      <c r="W506" s="17" t="n">
        <v>0</v>
      </c>
      <c r="X506" s="17" t="n">
        <v>0.06</v>
      </c>
      <c r="Y506" s="17" t="n">
        <v>0.06</v>
      </c>
      <c r="Z506" s="17" t="n">
        <v>0.06</v>
      </c>
      <c r="AA506" s="17" t="n">
        <v>0</v>
      </c>
      <c r="AB506" s="18" t="n">
        <v>0.06</v>
      </c>
      <c r="AC506" s="16" t="n">
        <v>-1.068</v>
      </c>
      <c r="AD506" s="17" t="n">
        <v>0</v>
      </c>
      <c r="AE506" s="17" t="n">
        <v>0</v>
      </c>
      <c r="AF506" s="17" t="n">
        <v>-0.768</v>
      </c>
      <c r="AG506" s="17" t="n">
        <v>-0.06</v>
      </c>
      <c r="AH506" s="17" t="n">
        <v>0</v>
      </c>
      <c r="AI506" s="17" t="n">
        <v>-0.06</v>
      </c>
      <c r="AJ506" s="17" t="n">
        <v>-0.06</v>
      </c>
      <c r="AK506" s="17" t="n">
        <v>-0.06</v>
      </c>
      <c r="AL506" s="17" t="n">
        <v>0</v>
      </c>
      <c r="AM506" s="18" t="n">
        <v>-0.06</v>
      </c>
      <c r="AN506" s="16" t="n">
        <v>61</v>
      </c>
      <c r="AO506" s="17" t="n">
        <v>0</v>
      </c>
      <c r="AP506" s="17" t="n">
        <v>0</v>
      </c>
      <c r="AQ506" s="17" t="n">
        <v>40</v>
      </c>
      <c r="AR506" s="17" t="n">
        <v>1</v>
      </c>
      <c r="AS506" s="17" t="n">
        <v>0</v>
      </c>
      <c r="AT506" s="17" t="n">
        <v>0</v>
      </c>
      <c r="AU506" s="17" t="n">
        <v>11</v>
      </c>
      <c r="AV506" s="17" t="n">
        <v>0</v>
      </c>
      <c r="AW506" s="17" t="n">
        <v>0</v>
      </c>
      <c r="AX506" s="18" t="n">
        <v>0</v>
      </c>
      <c r="AY506" s="16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7" t="n">
        <v>0</v>
      </c>
      <c r="BI506" s="18" t="n">
        <v>0</v>
      </c>
      <c r="BJ506" s="16" t="n">
        <v>61</v>
      </c>
      <c r="BK506" s="17" t="n">
        <v>0</v>
      </c>
      <c r="BL506" s="17" t="n">
        <v>0</v>
      </c>
      <c r="BM506" s="17" t="n">
        <v>40</v>
      </c>
      <c r="BN506" s="17" t="n">
        <v>1</v>
      </c>
      <c r="BO506" s="17" t="n">
        <v>0</v>
      </c>
      <c r="BP506" s="17" t="n">
        <v>0</v>
      </c>
      <c r="BQ506" s="17" t="n">
        <v>11</v>
      </c>
      <c r="BR506" s="17" t="n">
        <v>0</v>
      </c>
      <c r="BS506" s="17" t="n">
        <v>0</v>
      </c>
      <c r="BT506" s="18" t="n">
        <v>0</v>
      </c>
      <c r="BU506" s="17" t="inlineStr">
        <is>
          <t>Unclassified</t>
        </is>
      </c>
    </row>
    <row r="507" ht="20" customHeight="1">
      <c r="A507" s="15" t="inlineStr">
        <is>
          <t>69097015915</t>
        </is>
      </c>
      <c r="B507" s="15" t="inlineStr">
        <is>
          <t>MELOXICAM 15MG TABLET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30</v>
      </c>
      <c r="H507" s="17" t="n">
        <v>0</v>
      </c>
      <c r="I507" s="17" t="n">
        <v>0</v>
      </c>
      <c r="J507" s="17" t="n">
        <v>30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8" t="n">
        <v>0</v>
      </c>
      <c r="R507" s="16" t="n">
        <v>0.03</v>
      </c>
      <c r="S507" s="17" t="n">
        <v>0</v>
      </c>
      <c r="T507" s="17" t="n">
        <v>0</v>
      </c>
      <c r="U507" s="17" t="n">
        <v>0.03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8" t="n">
        <v>0</v>
      </c>
      <c r="AC507" s="16" t="n">
        <v>-0.03</v>
      </c>
      <c r="AD507" s="17" t="n">
        <v>0</v>
      </c>
      <c r="AE507" s="17" t="n">
        <v>0</v>
      </c>
      <c r="AF507" s="17" t="n">
        <v>-0.03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8" t="n">
        <v>0</v>
      </c>
      <c r="AN507" s="16" t="n">
        <v>1</v>
      </c>
      <c r="AO507" s="17" t="n">
        <v>0</v>
      </c>
      <c r="AP507" s="17" t="n">
        <v>0</v>
      </c>
      <c r="AQ507" s="17" t="n">
        <v>1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8" t="n">
        <v>0</v>
      </c>
      <c r="AY507" s="16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8" t="n">
        <v>0</v>
      </c>
      <c r="BJ507" s="16" t="n">
        <v>1</v>
      </c>
      <c r="BK507" s="17" t="n">
        <v>0</v>
      </c>
      <c r="BL507" s="17" t="n">
        <v>0</v>
      </c>
      <c r="BM507" s="17" t="n">
        <v>1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0</v>
      </c>
      <c r="BT507" s="18" t="n">
        <v>0</v>
      </c>
      <c r="BU507" s="17" t="inlineStr">
        <is>
          <t>Unclassified</t>
        </is>
      </c>
    </row>
    <row r="508" ht="20" customHeight="1">
      <c r="A508" s="15" t="inlineStr">
        <is>
          <t>69097015815</t>
        </is>
      </c>
      <c r="B508" s="15" t="inlineStr">
        <is>
          <t xml:space="preserve">MELOXICAM 7.5MG TAB </t>
        </is>
      </c>
      <c r="C508" s="16" t="n">
        <v>1000</v>
      </c>
      <c r="D508" s="16" t="n">
        <v>0</v>
      </c>
      <c r="E508" s="16" t="n">
        <v>0</v>
      </c>
      <c r="F508" s="16" t="n">
        <v>0</v>
      </c>
      <c r="G508" s="16" t="n">
        <v>60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30</v>
      </c>
      <c r="N508" s="17" t="n">
        <v>30</v>
      </c>
      <c r="O508" s="17" t="n">
        <v>0</v>
      </c>
      <c r="P508" s="17" t="n">
        <v>0</v>
      </c>
      <c r="Q508" s="18" t="n">
        <v>0</v>
      </c>
      <c r="R508" s="16" t="n">
        <v>0.06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0</v>
      </c>
      <c r="X508" s="17" t="n">
        <v>0.03</v>
      </c>
      <c r="Y508" s="17" t="n">
        <v>0.03</v>
      </c>
      <c r="Z508" s="17" t="n">
        <v>0</v>
      </c>
      <c r="AA508" s="17" t="n">
        <v>0</v>
      </c>
      <c r="AB508" s="18" t="n">
        <v>0</v>
      </c>
      <c r="AC508" s="16" t="n">
        <v>-0.06</v>
      </c>
      <c r="AD508" s="17" t="n">
        <v>0</v>
      </c>
      <c r="AE508" s="17" t="n">
        <v>0</v>
      </c>
      <c r="AF508" s="17" t="n">
        <v>0</v>
      </c>
      <c r="AG508" s="17" t="n">
        <v>0</v>
      </c>
      <c r="AH508" s="17" t="n">
        <v>0</v>
      </c>
      <c r="AI508" s="17" t="n">
        <v>-0.03</v>
      </c>
      <c r="AJ508" s="17" t="n">
        <v>-0.03</v>
      </c>
      <c r="AK508" s="17" t="n">
        <v>0</v>
      </c>
      <c r="AL508" s="17" t="n">
        <v>0</v>
      </c>
      <c r="AM508" s="18" t="n">
        <v>0</v>
      </c>
      <c r="AN508" s="16" t="n">
        <v>13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1</v>
      </c>
      <c r="AU508" s="17" t="n">
        <v>10</v>
      </c>
      <c r="AV508" s="17" t="n">
        <v>0</v>
      </c>
      <c r="AW508" s="17" t="n">
        <v>0</v>
      </c>
      <c r="AX508" s="18" t="n">
        <v>0</v>
      </c>
      <c r="AY508" s="16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7" t="n">
        <v>0</v>
      </c>
      <c r="BG508" s="17" t="n">
        <v>0</v>
      </c>
      <c r="BH508" s="17" t="n">
        <v>0</v>
      </c>
      <c r="BI508" s="18" t="n">
        <v>0</v>
      </c>
      <c r="BJ508" s="16" t="n">
        <v>13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1</v>
      </c>
      <c r="BQ508" s="17" t="n">
        <v>10</v>
      </c>
      <c r="BR508" s="17" t="n">
        <v>0</v>
      </c>
      <c r="BS508" s="17" t="n">
        <v>0</v>
      </c>
      <c r="BT508" s="18" t="n">
        <v>0</v>
      </c>
      <c r="BU508" s="17" t="inlineStr">
        <is>
          <t>Unclassified</t>
        </is>
      </c>
    </row>
    <row r="509" ht="20" customHeight="1">
      <c r="A509" s="15" t="inlineStr">
        <is>
          <t>33342029815</t>
        </is>
      </c>
      <c r="B509" s="15" t="inlineStr">
        <is>
          <t>MEMANTINE 10MG TABLET</t>
        </is>
      </c>
      <c r="C509" s="16" t="n">
        <v>500</v>
      </c>
      <c r="D509" s="16" t="n">
        <v>0</v>
      </c>
      <c r="E509" s="16" t="n">
        <v>0</v>
      </c>
      <c r="F509" s="16" t="n">
        <v>0</v>
      </c>
      <c r="G509" s="16" t="n">
        <v>270</v>
      </c>
      <c r="H509" s="17" t="n">
        <v>0</v>
      </c>
      <c r="I509" s="17" t="n">
        <v>0</v>
      </c>
      <c r="J509" s="17" t="n">
        <v>150</v>
      </c>
      <c r="K509" s="17" t="n">
        <v>60</v>
      </c>
      <c r="L509" s="17" t="n">
        <v>0</v>
      </c>
      <c r="M509" s="17" t="n">
        <v>0</v>
      </c>
      <c r="N509" s="17" t="n">
        <v>60</v>
      </c>
      <c r="O509" s="17" t="n">
        <v>0</v>
      </c>
      <c r="P509" s="17" t="n">
        <v>0</v>
      </c>
      <c r="Q509" s="18" t="n">
        <v>0</v>
      </c>
      <c r="R509" s="16" t="n">
        <v>0.54</v>
      </c>
      <c r="S509" s="17" t="n">
        <v>0</v>
      </c>
      <c r="T509" s="17" t="n">
        <v>0</v>
      </c>
      <c r="U509" s="17" t="n">
        <v>0.3</v>
      </c>
      <c r="V509" s="17" t="n">
        <v>0.12</v>
      </c>
      <c r="W509" s="17" t="n">
        <v>0</v>
      </c>
      <c r="X509" s="17" t="n">
        <v>0</v>
      </c>
      <c r="Y509" s="17" t="n">
        <v>0.12</v>
      </c>
      <c r="Z509" s="17" t="n">
        <v>0</v>
      </c>
      <c r="AA509" s="17" t="n">
        <v>0</v>
      </c>
      <c r="AB509" s="18" t="n">
        <v>0</v>
      </c>
      <c r="AC509" s="16" t="n">
        <v>-0.54</v>
      </c>
      <c r="AD509" s="17" t="n">
        <v>0</v>
      </c>
      <c r="AE509" s="17" t="n">
        <v>0</v>
      </c>
      <c r="AF509" s="17" t="n">
        <v>-0.3</v>
      </c>
      <c r="AG509" s="17" t="n">
        <v>-0.12</v>
      </c>
      <c r="AH509" s="17" t="n">
        <v>0</v>
      </c>
      <c r="AI509" s="17" t="n">
        <v>0</v>
      </c>
      <c r="AJ509" s="17" t="n">
        <v>-0.12</v>
      </c>
      <c r="AK509" s="17" t="n">
        <v>0</v>
      </c>
      <c r="AL509" s="17" t="n">
        <v>0</v>
      </c>
      <c r="AM509" s="18" t="n">
        <v>0</v>
      </c>
      <c r="AN509" s="16" t="n">
        <v>28</v>
      </c>
      <c r="AO509" s="17" t="n">
        <v>0</v>
      </c>
      <c r="AP509" s="17" t="n">
        <v>0</v>
      </c>
      <c r="AQ509" s="17" t="n">
        <v>5</v>
      </c>
      <c r="AR509" s="17" t="n">
        <v>10</v>
      </c>
      <c r="AS509" s="17" t="n">
        <v>0</v>
      </c>
      <c r="AT509" s="17" t="n">
        <v>0</v>
      </c>
      <c r="AU509" s="17" t="n">
        <v>14</v>
      </c>
      <c r="AV509" s="17" t="n">
        <v>0</v>
      </c>
      <c r="AW509" s="17" t="n">
        <v>0</v>
      </c>
      <c r="AX509" s="18" t="n">
        <v>0</v>
      </c>
      <c r="AY509" s="16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8" t="n">
        <v>0</v>
      </c>
      <c r="BJ509" s="16" t="n">
        <v>28</v>
      </c>
      <c r="BK509" s="17" t="n">
        <v>0</v>
      </c>
      <c r="BL509" s="17" t="n">
        <v>0</v>
      </c>
      <c r="BM509" s="17" t="n">
        <v>5</v>
      </c>
      <c r="BN509" s="17" t="n">
        <v>10</v>
      </c>
      <c r="BO509" s="17" t="n">
        <v>0</v>
      </c>
      <c r="BP509" s="17" t="n">
        <v>0</v>
      </c>
      <c r="BQ509" s="17" t="n">
        <v>14</v>
      </c>
      <c r="BR509" s="17" t="n">
        <v>0</v>
      </c>
      <c r="BS509" s="17" t="n">
        <v>0</v>
      </c>
      <c r="BT509" s="18" t="n">
        <v>0</v>
      </c>
      <c r="BU509" s="17" t="inlineStr">
        <is>
          <t>Unclassified</t>
        </is>
      </c>
    </row>
    <row r="510" ht="20" customHeight="1">
      <c r="A510" s="15" t="inlineStr">
        <is>
          <t>70436005704</t>
        </is>
      </c>
      <c r="B510" s="15" t="inlineStr">
        <is>
          <t>MEMANTINE 28MG CAPSULE ER</t>
        </is>
      </c>
      <c r="C510" s="16" t="n">
        <v>30</v>
      </c>
      <c r="D510" s="16" t="n">
        <v>0</v>
      </c>
      <c r="E510" s="16" t="n">
        <v>0</v>
      </c>
      <c r="F510" s="16" t="n">
        <v>0</v>
      </c>
      <c r="G510" s="16" t="n">
        <v>30</v>
      </c>
      <c r="H510" s="17" t="n">
        <v>0</v>
      </c>
      <c r="I510" s="17" t="n">
        <v>0</v>
      </c>
      <c r="J510" s="17" t="n">
        <v>30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8" t="n">
        <v>0</v>
      </c>
      <c r="R510" s="16" t="n">
        <v>1</v>
      </c>
      <c r="S510" s="17" t="n">
        <v>0</v>
      </c>
      <c r="T510" s="17" t="n">
        <v>0</v>
      </c>
      <c r="U510" s="17" t="n">
        <v>1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8" t="n">
        <v>0</v>
      </c>
      <c r="AC510" s="16" t="n">
        <v>-1</v>
      </c>
      <c r="AD510" s="17" t="n">
        <v>0</v>
      </c>
      <c r="AE510" s="17" t="n">
        <v>0</v>
      </c>
      <c r="AF510" s="17" t="n">
        <v>-1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8" t="n">
        <v>0</v>
      </c>
      <c r="AN510" s="16" t="n">
        <v>23</v>
      </c>
      <c r="AO510" s="17" t="n">
        <v>0</v>
      </c>
      <c r="AP510" s="17" t="n">
        <v>0</v>
      </c>
      <c r="AQ510" s="17" t="n">
        <v>23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8" t="n">
        <v>0</v>
      </c>
      <c r="AY510" s="16" t="n">
        <v>0</v>
      </c>
      <c r="AZ510" s="17" t="n">
        <v>0</v>
      </c>
      <c r="BA510" s="17" t="n">
        <v>0</v>
      </c>
      <c r="BB510" s="17" t="n">
        <v>0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7" t="n">
        <v>0</v>
      </c>
      <c r="BI510" s="18" t="n">
        <v>0</v>
      </c>
      <c r="BJ510" s="16" t="n">
        <v>23</v>
      </c>
      <c r="BK510" s="17" t="n">
        <v>0</v>
      </c>
      <c r="BL510" s="17" t="n">
        <v>0</v>
      </c>
      <c r="BM510" s="17" t="n">
        <v>23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7" t="n">
        <v>0</v>
      </c>
      <c r="BT510" s="18" t="n">
        <v>0</v>
      </c>
      <c r="BU510" s="17" t="inlineStr">
        <is>
          <t>Unclassified</t>
        </is>
      </c>
    </row>
    <row r="511" ht="20" customHeight="1">
      <c r="A511" s="15" t="inlineStr">
        <is>
          <t>61442019205</t>
        </is>
      </c>
      <c r="B511" s="15" t="inlineStr">
        <is>
          <t>MEMANTINE 5MG TABLET</t>
        </is>
      </c>
      <c r="C511" s="16" t="n">
        <v>500</v>
      </c>
      <c r="D511" s="16" t="n">
        <v>0</v>
      </c>
      <c r="E511" s="16" t="n">
        <v>0</v>
      </c>
      <c r="F511" s="16" t="n">
        <v>0</v>
      </c>
      <c r="G511" s="16" t="n">
        <v>270</v>
      </c>
      <c r="H511" s="17" t="n">
        <v>0</v>
      </c>
      <c r="I511" s="17" t="n">
        <v>0</v>
      </c>
      <c r="J511" s="17" t="n">
        <v>270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8" t="n">
        <v>0</v>
      </c>
      <c r="R511" s="16" t="n">
        <v>0.54</v>
      </c>
      <c r="S511" s="17" t="n">
        <v>0</v>
      </c>
      <c r="T511" s="17" t="n">
        <v>0</v>
      </c>
      <c r="U511" s="17" t="n">
        <v>0.54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8" t="n">
        <v>0</v>
      </c>
      <c r="AC511" s="16" t="n">
        <v>-0.54</v>
      </c>
      <c r="AD511" s="17" t="n">
        <v>0</v>
      </c>
      <c r="AE511" s="17" t="n">
        <v>0</v>
      </c>
      <c r="AF511" s="17" t="n">
        <v>-0.54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8" t="n">
        <v>0</v>
      </c>
      <c r="AN511" s="16" t="n">
        <v>37</v>
      </c>
      <c r="AO511" s="17" t="n">
        <v>0</v>
      </c>
      <c r="AP511" s="17" t="n">
        <v>0</v>
      </c>
      <c r="AQ511" s="17" t="n">
        <v>35</v>
      </c>
      <c r="AR511" s="17" t="n">
        <v>0</v>
      </c>
      <c r="AS511" s="17" t="n">
        <v>0</v>
      </c>
      <c r="AT511" s="17" t="n">
        <v>0</v>
      </c>
      <c r="AU511" s="17" t="n">
        <v>0</v>
      </c>
      <c r="AV511" s="17" t="n">
        <v>0</v>
      </c>
      <c r="AW511" s="17" t="n">
        <v>0</v>
      </c>
      <c r="AX511" s="18" t="n">
        <v>0</v>
      </c>
      <c r="AY511" s="16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8" t="n">
        <v>0</v>
      </c>
      <c r="BJ511" s="16" t="n">
        <v>37</v>
      </c>
      <c r="BK511" s="17" t="n">
        <v>0</v>
      </c>
      <c r="BL511" s="17" t="n">
        <v>0</v>
      </c>
      <c r="BM511" s="17" t="n">
        <v>35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7" t="n">
        <v>0</v>
      </c>
      <c r="BT511" s="18" t="n">
        <v>0</v>
      </c>
      <c r="BU511" s="17" t="inlineStr">
        <is>
          <t>Unclassified</t>
        </is>
      </c>
    </row>
    <row r="512" ht="20" customHeight="1">
      <c r="A512" s="15" t="inlineStr">
        <is>
          <t>70436005404</t>
        </is>
      </c>
      <c r="B512" s="15" t="inlineStr">
        <is>
          <t>MEMANTINE HCL ER 7 MG ORAL CAPSULE EXTENDED RELEASE 24 HOUR</t>
        </is>
      </c>
      <c r="C512" s="16" t="n">
        <v>30</v>
      </c>
      <c r="D512" s="16" t="n">
        <v>4</v>
      </c>
      <c r="E512" s="16" t="n">
        <v>4</v>
      </c>
      <c r="F512" s="16" t="n">
        <v>9</v>
      </c>
      <c r="G512" s="16" t="n">
        <v>120</v>
      </c>
      <c r="H512" s="17" t="n">
        <v>0</v>
      </c>
      <c r="I512" s="17" t="n">
        <v>0</v>
      </c>
      <c r="J512" s="17" t="n">
        <v>90</v>
      </c>
      <c r="K512" s="17" t="n">
        <v>30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8" t="n">
        <v>0</v>
      </c>
      <c r="R512" s="16" t="n">
        <v>4</v>
      </c>
      <c r="S512" s="17" t="n">
        <v>0</v>
      </c>
      <c r="T512" s="17" t="n">
        <v>0</v>
      </c>
      <c r="U512" s="17" t="n">
        <v>3</v>
      </c>
      <c r="V512" s="17" t="n">
        <v>1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8" t="n">
        <v>0</v>
      </c>
      <c r="AC512" s="16" t="n">
        <v>0</v>
      </c>
      <c r="AD512" s="17" t="n">
        <v>4</v>
      </c>
      <c r="AE512" s="17" t="n">
        <v>4</v>
      </c>
      <c r="AF512" s="17" t="n">
        <v>1</v>
      </c>
      <c r="AG512" s="17" t="n">
        <v>3</v>
      </c>
      <c r="AH512" s="17" t="n">
        <v>4</v>
      </c>
      <c r="AI512" s="17" t="n">
        <v>4</v>
      </c>
      <c r="AJ512" s="17" t="n">
        <v>4</v>
      </c>
      <c r="AK512" s="17" t="n">
        <v>4</v>
      </c>
      <c r="AL512" s="17" t="n">
        <v>4</v>
      </c>
      <c r="AM512" s="18" t="n">
        <v>4</v>
      </c>
      <c r="AN512" s="16" t="n">
        <v>73</v>
      </c>
      <c r="AO512" s="17" t="n">
        <v>0</v>
      </c>
      <c r="AP512" s="17" t="n">
        <v>0</v>
      </c>
      <c r="AQ512" s="17" t="n">
        <v>42</v>
      </c>
      <c r="AR512" s="17" t="n">
        <v>30</v>
      </c>
      <c r="AS512" s="17" t="n">
        <v>0</v>
      </c>
      <c r="AT512" s="17" t="n">
        <v>0</v>
      </c>
      <c r="AU512" s="17" t="n">
        <v>0</v>
      </c>
      <c r="AV512" s="17" t="n">
        <v>0</v>
      </c>
      <c r="AW512" s="17" t="n">
        <v>0</v>
      </c>
      <c r="AX512" s="18" t="n">
        <v>0</v>
      </c>
      <c r="AY512" s="16" t="n">
        <v>36</v>
      </c>
      <c r="AZ512" s="17" t="n">
        <v>0</v>
      </c>
      <c r="BA512" s="17" t="n">
        <v>0</v>
      </c>
      <c r="BB512" s="17" t="n">
        <v>27</v>
      </c>
      <c r="BC512" s="17" t="n">
        <v>9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7" t="n">
        <v>0</v>
      </c>
      <c r="BI512" s="18" t="n">
        <v>0</v>
      </c>
      <c r="BJ512" s="16" t="n">
        <v>37</v>
      </c>
      <c r="BK512" s="17" t="n">
        <v>0</v>
      </c>
      <c r="BL512" s="17" t="n">
        <v>0</v>
      </c>
      <c r="BM512" s="17" t="n">
        <v>15</v>
      </c>
      <c r="BN512" s="17" t="n">
        <v>21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7" t="n">
        <v>0</v>
      </c>
      <c r="BT512" s="18" t="n">
        <v>0</v>
      </c>
      <c r="BU512" s="17" t="inlineStr">
        <is>
          <t>Generic Drug</t>
        </is>
      </c>
    </row>
    <row r="513" ht="20" customHeight="1">
      <c r="A513" s="15" t="inlineStr">
        <is>
          <t>31722000530</t>
        </is>
      </c>
      <c r="B513" s="15" t="inlineStr">
        <is>
          <t>MESALAMINE 1000 MG RECTAL SUPPOSITORY</t>
        </is>
      </c>
      <c r="C513" s="16" t="n">
        <v>30</v>
      </c>
      <c r="D513" s="16" t="n">
        <v>1</v>
      </c>
      <c r="E513" s="16" t="n">
        <v>1</v>
      </c>
      <c r="F513" s="16" t="n">
        <v>47</v>
      </c>
      <c r="G513" s="16" t="n">
        <v>30</v>
      </c>
      <c r="H513" s="17" t="n">
        <v>0</v>
      </c>
      <c r="I513" s="17" t="n">
        <v>0</v>
      </c>
      <c r="J513" s="17" t="n">
        <v>0</v>
      </c>
      <c r="K513" s="17" t="n">
        <v>30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8" t="n">
        <v>0</v>
      </c>
      <c r="R513" s="16" t="n">
        <v>1</v>
      </c>
      <c r="S513" s="17" t="n">
        <v>0</v>
      </c>
      <c r="T513" s="17" t="n">
        <v>0</v>
      </c>
      <c r="U513" s="17" t="n">
        <v>0</v>
      </c>
      <c r="V513" s="17" t="n">
        <v>1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8" t="n">
        <v>0</v>
      </c>
      <c r="AC513" s="16" t="n">
        <v>0</v>
      </c>
      <c r="AD513" s="17" t="n">
        <v>1</v>
      </c>
      <c r="AE513" s="17" t="n">
        <v>1</v>
      </c>
      <c r="AF513" s="17" t="n">
        <v>1</v>
      </c>
      <c r="AG513" s="17" t="n">
        <v>0</v>
      </c>
      <c r="AH513" s="17" t="n">
        <v>1</v>
      </c>
      <c r="AI513" s="17" t="n">
        <v>1</v>
      </c>
      <c r="AJ513" s="17" t="n">
        <v>1</v>
      </c>
      <c r="AK513" s="17" t="n">
        <v>1</v>
      </c>
      <c r="AL513" s="17" t="n">
        <v>1</v>
      </c>
      <c r="AM513" s="18" t="n">
        <v>1</v>
      </c>
      <c r="AN513" s="16" t="n">
        <v>152</v>
      </c>
      <c r="AO513" s="17" t="n">
        <v>0</v>
      </c>
      <c r="AP513" s="17" t="n">
        <v>0</v>
      </c>
      <c r="AQ513" s="17" t="n">
        <v>0</v>
      </c>
      <c r="AR513" s="17" t="n">
        <v>105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8" t="n">
        <v>0</v>
      </c>
      <c r="AY513" s="16" t="n">
        <v>47</v>
      </c>
      <c r="AZ513" s="17" t="n">
        <v>0</v>
      </c>
      <c r="BA513" s="17" t="n">
        <v>0</v>
      </c>
      <c r="BB513" s="17" t="n">
        <v>0</v>
      </c>
      <c r="BC513" s="17" t="n">
        <v>47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8" t="n">
        <v>0</v>
      </c>
      <c r="BJ513" s="16" t="n">
        <v>105</v>
      </c>
      <c r="BK513" s="17" t="n">
        <v>0</v>
      </c>
      <c r="BL513" s="17" t="n">
        <v>0</v>
      </c>
      <c r="BM513" s="17" t="n">
        <v>0</v>
      </c>
      <c r="BN513" s="17" t="n">
        <v>58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7" t="n">
        <v>0</v>
      </c>
      <c r="BT513" s="18" t="n">
        <v>0</v>
      </c>
      <c r="BU513" s="17" t="inlineStr">
        <is>
          <t>Generic Drug</t>
        </is>
      </c>
    </row>
    <row r="514" ht="20" customHeight="1">
      <c r="A514" s="15" t="inlineStr">
        <is>
          <t>68382045219</t>
        </is>
      </c>
      <c r="B514" s="15" t="inlineStr">
        <is>
          <t>MESALAMINE ER 0.375GCAPSULE</t>
        </is>
      </c>
      <c r="C514" s="16" t="n">
        <v>120</v>
      </c>
      <c r="D514" s="16" t="n">
        <v>1</v>
      </c>
      <c r="E514" s="16" t="n">
        <v>1</v>
      </c>
      <c r="F514" s="16" t="n">
        <v>68</v>
      </c>
      <c r="G514" s="16" t="n">
        <v>120</v>
      </c>
      <c r="H514" s="17" t="n">
        <v>0</v>
      </c>
      <c r="I514" s="17" t="n">
        <v>0</v>
      </c>
      <c r="J514" s="17" t="n">
        <v>120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8" t="n">
        <v>0</v>
      </c>
      <c r="R514" s="16" t="n">
        <v>1</v>
      </c>
      <c r="S514" s="17" t="n">
        <v>0</v>
      </c>
      <c r="T514" s="17" t="n">
        <v>0</v>
      </c>
      <c r="U514" s="17" t="n">
        <v>1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8" t="n">
        <v>0</v>
      </c>
      <c r="AC514" s="16" t="n">
        <v>0</v>
      </c>
      <c r="AD514" s="17" t="n">
        <v>1</v>
      </c>
      <c r="AE514" s="17" t="n">
        <v>1</v>
      </c>
      <c r="AF514" s="17" t="n">
        <v>0</v>
      </c>
      <c r="AG514" s="17" t="n">
        <v>1</v>
      </c>
      <c r="AH514" s="17" t="n">
        <v>1</v>
      </c>
      <c r="AI514" s="17" t="n">
        <v>1</v>
      </c>
      <c r="AJ514" s="17" t="n">
        <v>1</v>
      </c>
      <c r="AK514" s="17" t="n">
        <v>1</v>
      </c>
      <c r="AL514" s="17" t="n">
        <v>1</v>
      </c>
      <c r="AM514" s="18" t="n">
        <v>1</v>
      </c>
      <c r="AN514" s="16" t="n">
        <v>29</v>
      </c>
      <c r="AO514" s="17" t="n">
        <v>0</v>
      </c>
      <c r="AP514" s="17" t="n">
        <v>0</v>
      </c>
      <c r="AQ514" s="17" t="n">
        <v>29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8" t="n">
        <v>0</v>
      </c>
      <c r="AY514" s="16" t="n">
        <v>68</v>
      </c>
      <c r="AZ514" s="17" t="n">
        <v>0</v>
      </c>
      <c r="BA514" s="17" t="n">
        <v>0</v>
      </c>
      <c r="BB514" s="17" t="n">
        <v>68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0</v>
      </c>
      <c r="BH514" s="17" t="n">
        <v>0</v>
      </c>
      <c r="BI514" s="18" t="n">
        <v>0</v>
      </c>
      <c r="BJ514" s="16" t="n">
        <v>-39</v>
      </c>
      <c r="BK514" s="17" t="n">
        <v>0</v>
      </c>
      <c r="BL514" s="17" t="n">
        <v>0</v>
      </c>
      <c r="BM514" s="17" t="n">
        <v>-39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7" t="n">
        <v>0</v>
      </c>
      <c r="BT514" s="18" t="n">
        <v>0</v>
      </c>
      <c r="BU514" s="17" t="inlineStr">
        <is>
          <t>Generic Drug</t>
        </is>
      </c>
    </row>
    <row r="515" ht="20" customHeight="1">
      <c r="A515" s="15" t="inlineStr">
        <is>
          <t>55111065001</t>
        </is>
      </c>
      <c r="B515" s="15" t="inlineStr">
        <is>
          <t>METAXALONE 800 MG ORAL TABLET</t>
        </is>
      </c>
      <c r="C515" s="16" t="n">
        <v>100</v>
      </c>
      <c r="D515" s="16" t="n">
        <v>1</v>
      </c>
      <c r="E515" s="16" t="n">
        <v>1</v>
      </c>
      <c r="F515" s="16" t="n">
        <v>28</v>
      </c>
      <c r="G515" s="16" t="n">
        <v>30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30</v>
      </c>
      <c r="Q515" s="18" t="n">
        <v>0</v>
      </c>
      <c r="R515" s="16" t="n">
        <v>0.3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0.3</v>
      </c>
      <c r="AB515" s="18" t="n">
        <v>0</v>
      </c>
      <c r="AC515" s="16" t="n">
        <v>0.7</v>
      </c>
      <c r="AD515" s="17" t="n">
        <v>1</v>
      </c>
      <c r="AE515" s="17" t="n">
        <v>1</v>
      </c>
      <c r="AF515" s="17" t="n">
        <v>1</v>
      </c>
      <c r="AG515" s="17" t="n">
        <v>1</v>
      </c>
      <c r="AH515" s="17" t="n">
        <v>1</v>
      </c>
      <c r="AI515" s="17" t="n">
        <v>1</v>
      </c>
      <c r="AJ515" s="17" t="n">
        <v>1</v>
      </c>
      <c r="AK515" s="17" t="n">
        <v>1</v>
      </c>
      <c r="AL515" s="17" t="n">
        <v>0.7</v>
      </c>
      <c r="AM515" s="18" t="n">
        <v>1</v>
      </c>
      <c r="AN515" s="16" t="n">
        <v>33</v>
      </c>
      <c r="AO515" s="17" t="n">
        <v>0</v>
      </c>
      <c r="AP515" s="17" t="n">
        <v>0</v>
      </c>
      <c r="AQ515" s="17" t="n">
        <v>0</v>
      </c>
      <c r="AR515" s="17" t="n">
        <v>0</v>
      </c>
      <c r="AS515" s="17" t="n">
        <v>0</v>
      </c>
      <c r="AT515" s="17" t="n">
        <v>0</v>
      </c>
      <c r="AU515" s="17" t="n">
        <v>0</v>
      </c>
      <c r="AV515" s="17" t="n">
        <v>0</v>
      </c>
      <c r="AW515" s="17" t="n">
        <v>27</v>
      </c>
      <c r="AX515" s="18" t="n">
        <v>0</v>
      </c>
      <c r="AY515" s="16" t="n">
        <v>8</v>
      </c>
      <c r="AZ515" s="17" t="n">
        <v>0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8</v>
      </c>
      <c r="BI515" s="18" t="n">
        <v>0</v>
      </c>
      <c r="BJ515" s="16" t="n">
        <v>25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7" t="n">
        <v>19</v>
      </c>
      <c r="BT515" s="18" t="n">
        <v>0</v>
      </c>
      <c r="BU515" s="17" t="inlineStr">
        <is>
          <t>Generic Drug</t>
        </is>
      </c>
    </row>
    <row r="516" ht="20" customHeight="1">
      <c r="A516" s="15" t="inlineStr">
        <is>
          <t>70010006599</t>
        </is>
      </c>
      <c r="B516" s="15" t="inlineStr">
        <is>
          <t>METFORMIN 1000MG TABLET</t>
        </is>
      </c>
      <c r="C516" s="16" t="n">
        <v>1000</v>
      </c>
      <c r="D516" s="16" t="n">
        <v>3</v>
      </c>
      <c r="E516" s="16" t="n">
        <v>3</v>
      </c>
      <c r="F516" s="16" t="n">
        <v>22</v>
      </c>
      <c r="G516" s="16" t="n">
        <v>3420</v>
      </c>
      <c r="H516" s="17" t="n">
        <v>0</v>
      </c>
      <c r="I516" s="17" t="n">
        <v>120</v>
      </c>
      <c r="J516" s="17" t="n">
        <v>2130</v>
      </c>
      <c r="K516" s="17" t="n">
        <v>240</v>
      </c>
      <c r="L516" s="17" t="n">
        <v>0</v>
      </c>
      <c r="M516" s="17" t="n">
        <v>180</v>
      </c>
      <c r="N516" s="17" t="n">
        <v>690</v>
      </c>
      <c r="O516" s="17" t="n">
        <v>30</v>
      </c>
      <c r="P516" s="17" t="n">
        <v>0</v>
      </c>
      <c r="Q516" s="18" t="n">
        <v>0</v>
      </c>
      <c r="R516" s="16" t="n">
        <v>3.42</v>
      </c>
      <c r="S516" s="17" t="n">
        <v>0</v>
      </c>
      <c r="T516" s="17" t="n">
        <v>0.12</v>
      </c>
      <c r="U516" s="17" t="n">
        <v>2.13</v>
      </c>
      <c r="V516" s="17" t="n">
        <v>0.24</v>
      </c>
      <c r="W516" s="17" t="n">
        <v>0</v>
      </c>
      <c r="X516" s="17" t="n">
        <v>0.18</v>
      </c>
      <c r="Y516" s="17" t="n">
        <v>0.6899999999999999</v>
      </c>
      <c r="Z516" s="17" t="n">
        <v>0.03</v>
      </c>
      <c r="AA516" s="17" t="n">
        <v>0</v>
      </c>
      <c r="AB516" s="18" t="n">
        <v>0</v>
      </c>
      <c r="AC516" s="16" t="n">
        <v>-0.42</v>
      </c>
      <c r="AD516" s="17" t="n">
        <v>3</v>
      </c>
      <c r="AE516" s="17" t="n">
        <v>2.88</v>
      </c>
      <c r="AF516" s="17" t="n">
        <v>0.87</v>
      </c>
      <c r="AG516" s="17" t="n">
        <v>2.76</v>
      </c>
      <c r="AH516" s="17" t="n">
        <v>3</v>
      </c>
      <c r="AI516" s="17" t="n">
        <v>2.82</v>
      </c>
      <c r="AJ516" s="17" t="n">
        <v>2.31</v>
      </c>
      <c r="AK516" s="17" t="n">
        <v>2.97</v>
      </c>
      <c r="AL516" s="17" t="n">
        <v>3</v>
      </c>
      <c r="AM516" s="18" t="n">
        <v>3</v>
      </c>
      <c r="AN516" s="16" t="n">
        <v>157</v>
      </c>
      <c r="AO516" s="17" t="n">
        <v>0</v>
      </c>
      <c r="AP516" s="17" t="n">
        <v>4</v>
      </c>
      <c r="AQ516" s="17" t="n">
        <v>46</v>
      </c>
      <c r="AR516" s="17" t="n">
        <v>7</v>
      </c>
      <c r="AS516" s="17" t="n">
        <v>0</v>
      </c>
      <c r="AT516" s="17" t="n">
        <v>7</v>
      </c>
      <c r="AU516" s="17" t="n">
        <v>81</v>
      </c>
      <c r="AV516" s="17" t="n">
        <v>2</v>
      </c>
      <c r="AW516" s="17" t="n">
        <v>0</v>
      </c>
      <c r="AX516" s="18" t="n">
        <v>0</v>
      </c>
      <c r="AY516" s="16" t="n">
        <v>75</v>
      </c>
      <c r="AZ516" s="17" t="n">
        <v>0</v>
      </c>
      <c r="BA516" s="17" t="n">
        <v>3</v>
      </c>
      <c r="BB516" s="17" t="n">
        <v>47</v>
      </c>
      <c r="BC516" s="17" t="n">
        <v>5</v>
      </c>
      <c r="BD516" s="17" t="n">
        <v>0</v>
      </c>
      <c r="BE516" s="17" t="n">
        <v>4</v>
      </c>
      <c r="BF516" s="17" t="n">
        <v>15</v>
      </c>
      <c r="BG516" s="17" t="n">
        <v>1</v>
      </c>
      <c r="BH516" s="17" t="n">
        <v>0</v>
      </c>
      <c r="BI516" s="18" t="n">
        <v>0</v>
      </c>
      <c r="BJ516" s="16" t="n">
        <v>82</v>
      </c>
      <c r="BK516" s="17" t="n">
        <v>0</v>
      </c>
      <c r="BL516" s="17" t="n">
        <v>1</v>
      </c>
      <c r="BM516" s="17" t="n">
        <v>-1</v>
      </c>
      <c r="BN516" s="17" t="n">
        <v>1</v>
      </c>
      <c r="BO516" s="17" t="n">
        <v>0</v>
      </c>
      <c r="BP516" s="17" t="n">
        <v>3</v>
      </c>
      <c r="BQ516" s="17" t="n">
        <v>66</v>
      </c>
      <c r="BR516" s="17" t="n">
        <v>1</v>
      </c>
      <c r="BS516" s="17" t="n">
        <v>0</v>
      </c>
      <c r="BT516" s="18" t="n">
        <v>0</v>
      </c>
      <c r="BU516" s="17" t="inlineStr">
        <is>
          <t>Generic Drug</t>
        </is>
      </c>
    </row>
    <row r="517" ht="20" customHeight="1">
      <c r="A517" s="15" t="inlineStr">
        <is>
          <t>70010006410</t>
        </is>
      </c>
      <c r="B517" s="15" t="inlineStr">
        <is>
          <t>METFORMIN 850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360</v>
      </c>
      <c r="H517" s="17" t="n">
        <v>0</v>
      </c>
      <c r="I517" s="17" t="n">
        <v>0</v>
      </c>
      <c r="J517" s="17" t="n">
        <v>180</v>
      </c>
      <c r="K517" s="17" t="n">
        <v>180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8" t="n">
        <v>0</v>
      </c>
      <c r="R517" s="16" t="n">
        <v>0.36</v>
      </c>
      <c r="S517" s="17" t="n">
        <v>0</v>
      </c>
      <c r="T517" s="17" t="n">
        <v>0</v>
      </c>
      <c r="U517" s="17" t="n">
        <v>0.18</v>
      </c>
      <c r="V517" s="17" t="n">
        <v>0.18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8" t="n">
        <v>0</v>
      </c>
      <c r="AC517" s="16" t="n">
        <v>-0.36</v>
      </c>
      <c r="AD517" s="17" t="n">
        <v>0</v>
      </c>
      <c r="AE517" s="17" t="n">
        <v>0</v>
      </c>
      <c r="AF517" s="17" t="n">
        <v>-0.18</v>
      </c>
      <c r="AG517" s="17" t="n">
        <v>-0.18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8" t="n">
        <v>0</v>
      </c>
      <c r="AN517" s="16" t="n">
        <v>7</v>
      </c>
      <c r="AO517" s="17" t="n">
        <v>0</v>
      </c>
      <c r="AP517" s="17" t="n">
        <v>0</v>
      </c>
      <c r="AQ517" s="17" t="n">
        <v>2</v>
      </c>
      <c r="AR517" s="17" t="n">
        <v>5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8" t="n">
        <v>0</v>
      </c>
      <c r="AY517" s="16" t="n">
        <v>0</v>
      </c>
      <c r="AZ517" s="17" t="n">
        <v>0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8" t="n">
        <v>0</v>
      </c>
      <c r="BJ517" s="16" t="n">
        <v>7</v>
      </c>
      <c r="BK517" s="17" t="n">
        <v>0</v>
      </c>
      <c r="BL517" s="17" t="n">
        <v>0</v>
      </c>
      <c r="BM517" s="17" t="n">
        <v>2</v>
      </c>
      <c r="BN517" s="17" t="n">
        <v>5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7" t="n">
        <v>0</v>
      </c>
      <c r="BT517" s="18" t="n">
        <v>0</v>
      </c>
      <c r="BU517" s="17" t="inlineStr">
        <is>
          <t>Unclassified</t>
        </is>
      </c>
    </row>
    <row r="518" ht="20" customHeight="1">
      <c r="A518" s="15" t="inlineStr">
        <is>
          <t>62756014202</t>
        </is>
      </c>
      <c r="B518" s="15" t="inlineStr">
        <is>
          <t xml:space="preserve">METFORMIN ER 500MG TAB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330</v>
      </c>
      <c r="H518" s="17" t="n">
        <v>0</v>
      </c>
      <c r="I518" s="17" t="n">
        <v>0</v>
      </c>
      <c r="J518" s="17" t="n">
        <v>210</v>
      </c>
      <c r="K518" s="17" t="n">
        <v>0</v>
      </c>
      <c r="L518" s="17" t="n">
        <v>0</v>
      </c>
      <c r="M518" s="17" t="n">
        <v>0</v>
      </c>
      <c r="N518" s="17" t="n">
        <v>120</v>
      </c>
      <c r="O518" s="17" t="n">
        <v>0</v>
      </c>
      <c r="P518" s="17" t="n">
        <v>0</v>
      </c>
      <c r="Q518" s="18" t="n">
        <v>0</v>
      </c>
      <c r="R518" s="16" t="n">
        <v>0.66</v>
      </c>
      <c r="S518" s="17" t="n">
        <v>0</v>
      </c>
      <c r="T518" s="17" t="n">
        <v>0</v>
      </c>
      <c r="U518" s="17" t="n">
        <v>0.42</v>
      </c>
      <c r="V518" s="17" t="n">
        <v>0</v>
      </c>
      <c r="W518" s="17" t="n">
        <v>0</v>
      </c>
      <c r="X518" s="17" t="n">
        <v>0</v>
      </c>
      <c r="Y518" s="17" t="n">
        <v>0.24</v>
      </c>
      <c r="Z518" s="17" t="n">
        <v>0</v>
      </c>
      <c r="AA518" s="17" t="n">
        <v>0</v>
      </c>
      <c r="AB518" s="18" t="n">
        <v>0</v>
      </c>
      <c r="AC518" s="16" t="n">
        <v>-0.66</v>
      </c>
      <c r="AD518" s="17" t="n">
        <v>0</v>
      </c>
      <c r="AE518" s="17" t="n">
        <v>0</v>
      </c>
      <c r="AF518" s="17" t="n">
        <v>-0.42</v>
      </c>
      <c r="AG518" s="17" t="n">
        <v>0</v>
      </c>
      <c r="AH518" s="17" t="n">
        <v>0</v>
      </c>
      <c r="AI518" s="17" t="n">
        <v>0</v>
      </c>
      <c r="AJ518" s="17" t="n">
        <v>-0.24</v>
      </c>
      <c r="AK518" s="17" t="n">
        <v>0</v>
      </c>
      <c r="AL518" s="17" t="n">
        <v>0</v>
      </c>
      <c r="AM518" s="18" t="n">
        <v>0</v>
      </c>
      <c r="AN518" s="16" t="n">
        <v>31</v>
      </c>
      <c r="AO518" s="17" t="n">
        <v>0</v>
      </c>
      <c r="AP518" s="17" t="n">
        <v>0</v>
      </c>
      <c r="AQ518" s="17" t="n">
        <v>8</v>
      </c>
      <c r="AR518" s="17" t="n">
        <v>0</v>
      </c>
      <c r="AS518" s="17" t="n">
        <v>0</v>
      </c>
      <c r="AT518" s="17" t="n">
        <v>0</v>
      </c>
      <c r="AU518" s="17" t="n">
        <v>23</v>
      </c>
      <c r="AV518" s="17" t="n">
        <v>0</v>
      </c>
      <c r="AW518" s="17" t="n">
        <v>0</v>
      </c>
      <c r="AX518" s="18" t="n">
        <v>0</v>
      </c>
      <c r="AY518" s="16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8" t="n">
        <v>0</v>
      </c>
      <c r="BJ518" s="16" t="n">
        <v>31</v>
      </c>
      <c r="BK518" s="17" t="n">
        <v>0</v>
      </c>
      <c r="BL518" s="17" t="n">
        <v>0</v>
      </c>
      <c r="BM518" s="17" t="n">
        <v>8</v>
      </c>
      <c r="BN518" s="17" t="n">
        <v>0</v>
      </c>
      <c r="BO518" s="17" t="n">
        <v>0</v>
      </c>
      <c r="BP518" s="17" t="n">
        <v>0</v>
      </c>
      <c r="BQ518" s="17" t="n">
        <v>23</v>
      </c>
      <c r="BR518" s="17" t="n">
        <v>0</v>
      </c>
      <c r="BS518" s="17" t="n">
        <v>0</v>
      </c>
      <c r="BT518" s="18" t="n">
        <v>0</v>
      </c>
      <c r="BU518" s="17" t="inlineStr">
        <is>
          <t>Unclassified</t>
        </is>
      </c>
    </row>
    <row r="519" ht="20" customHeight="1">
      <c r="A519" s="15" t="inlineStr">
        <is>
          <t>67877015905</t>
        </is>
      </c>
      <c r="B519" s="15" t="inlineStr">
        <is>
          <t xml:space="preserve">METFORMIN ER 500MG TABLET </t>
        </is>
      </c>
      <c r="C519" s="16" t="n">
        <v>500</v>
      </c>
      <c r="D519" s="16" t="n">
        <v>0</v>
      </c>
      <c r="E519" s="16" t="n">
        <v>0</v>
      </c>
      <c r="F519" s="16" t="n">
        <v>0</v>
      </c>
      <c r="G519" s="16" t="n">
        <v>300</v>
      </c>
      <c r="H519" s="17" t="n">
        <v>0</v>
      </c>
      <c r="I519" s="17" t="n">
        <v>0</v>
      </c>
      <c r="J519" s="17" t="n">
        <v>240</v>
      </c>
      <c r="K519" s="17" t="n">
        <v>0</v>
      </c>
      <c r="L519" s="17" t="n">
        <v>0</v>
      </c>
      <c r="M519" s="17" t="n">
        <v>0</v>
      </c>
      <c r="N519" s="17" t="n">
        <v>60</v>
      </c>
      <c r="O519" s="17" t="n">
        <v>0</v>
      </c>
      <c r="P519" s="17" t="n">
        <v>0</v>
      </c>
      <c r="Q519" s="18" t="n">
        <v>0</v>
      </c>
      <c r="R519" s="16" t="n">
        <v>0.6</v>
      </c>
      <c r="S519" s="17" t="n">
        <v>0</v>
      </c>
      <c r="T519" s="17" t="n">
        <v>0</v>
      </c>
      <c r="U519" s="17" t="n">
        <v>0.48</v>
      </c>
      <c r="V519" s="17" t="n">
        <v>0</v>
      </c>
      <c r="W519" s="17" t="n">
        <v>0</v>
      </c>
      <c r="X519" s="17" t="n">
        <v>0</v>
      </c>
      <c r="Y519" s="17" t="n">
        <v>0.12</v>
      </c>
      <c r="Z519" s="17" t="n">
        <v>0</v>
      </c>
      <c r="AA519" s="17" t="n">
        <v>0</v>
      </c>
      <c r="AB519" s="18" t="n">
        <v>0</v>
      </c>
      <c r="AC519" s="16" t="n">
        <v>-0.6</v>
      </c>
      <c r="AD519" s="17" t="n">
        <v>0</v>
      </c>
      <c r="AE519" s="17" t="n">
        <v>0</v>
      </c>
      <c r="AF519" s="17" t="n">
        <v>-0.48</v>
      </c>
      <c r="AG519" s="17" t="n">
        <v>0</v>
      </c>
      <c r="AH519" s="17" t="n">
        <v>0</v>
      </c>
      <c r="AI519" s="17" t="n">
        <v>0</v>
      </c>
      <c r="AJ519" s="17" t="n">
        <v>-0.12</v>
      </c>
      <c r="AK519" s="17" t="n">
        <v>0</v>
      </c>
      <c r="AL519" s="17" t="n">
        <v>0</v>
      </c>
      <c r="AM519" s="18" t="n">
        <v>0</v>
      </c>
      <c r="AN519" s="16" t="n">
        <v>59</v>
      </c>
      <c r="AO519" s="17" t="n">
        <v>0</v>
      </c>
      <c r="AP519" s="17" t="n">
        <v>0</v>
      </c>
      <c r="AQ519" s="17" t="n">
        <v>36</v>
      </c>
      <c r="AR519" s="17" t="n">
        <v>0</v>
      </c>
      <c r="AS519" s="17" t="n">
        <v>0</v>
      </c>
      <c r="AT519" s="17" t="n">
        <v>0</v>
      </c>
      <c r="AU519" s="17" t="n">
        <v>21</v>
      </c>
      <c r="AV519" s="17" t="n">
        <v>0</v>
      </c>
      <c r="AW519" s="17" t="n">
        <v>0</v>
      </c>
      <c r="AX519" s="18" t="n">
        <v>0</v>
      </c>
      <c r="AY519" s="16" t="n">
        <v>0</v>
      </c>
      <c r="AZ519" s="17" t="n">
        <v>0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8" t="n">
        <v>0</v>
      </c>
      <c r="BJ519" s="16" t="n">
        <v>59</v>
      </c>
      <c r="BK519" s="17" t="n">
        <v>0</v>
      </c>
      <c r="BL519" s="17" t="n">
        <v>0</v>
      </c>
      <c r="BM519" s="17" t="n">
        <v>36</v>
      </c>
      <c r="BN519" s="17" t="n">
        <v>0</v>
      </c>
      <c r="BO519" s="17" t="n">
        <v>0</v>
      </c>
      <c r="BP519" s="17" t="n">
        <v>0</v>
      </c>
      <c r="BQ519" s="17" t="n">
        <v>21</v>
      </c>
      <c r="BR519" s="17" t="n">
        <v>0</v>
      </c>
      <c r="BS519" s="17" t="n">
        <v>0</v>
      </c>
      <c r="BT519" s="18" t="n">
        <v>0</v>
      </c>
      <c r="BU519" s="17" t="inlineStr">
        <is>
          <t>Unclassified</t>
        </is>
      </c>
    </row>
    <row r="520" ht="20" customHeight="1">
      <c r="A520" s="15" t="inlineStr">
        <is>
          <t>70010006310</t>
        </is>
      </c>
      <c r="B520" s="15" t="inlineStr">
        <is>
          <t>METFORMIN HCL 500 MG TABLET</t>
        </is>
      </c>
      <c r="C520" s="16" t="n">
        <v>1000</v>
      </c>
      <c r="D520" s="16" t="n">
        <v>2</v>
      </c>
      <c r="E520" s="16" t="n">
        <v>2</v>
      </c>
      <c r="F520" s="16" t="n">
        <v>12</v>
      </c>
      <c r="G520" s="16" t="n">
        <v>3060</v>
      </c>
      <c r="H520" s="17" t="n">
        <v>0</v>
      </c>
      <c r="I520" s="17" t="n">
        <v>0</v>
      </c>
      <c r="J520" s="17" t="n">
        <v>1440</v>
      </c>
      <c r="K520" s="17" t="n">
        <v>270</v>
      </c>
      <c r="L520" s="17" t="n">
        <v>0</v>
      </c>
      <c r="M520" s="17" t="n">
        <v>180</v>
      </c>
      <c r="N520" s="17" t="n">
        <v>900</v>
      </c>
      <c r="O520" s="17" t="n">
        <v>270</v>
      </c>
      <c r="P520" s="17" t="n">
        <v>0</v>
      </c>
      <c r="Q520" s="18" t="n">
        <v>0</v>
      </c>
      <c r="R520" s="16" t="n">
        <v>3.06</v>
      </c>
      <c r="S520" s="17" t="n">
        <v>0</v>
      </c>
      <c r="T520" s="17" t="n">
        <v>0</v>
      </c>
      <c r="U520" s="17" t="n">
        <v>1.44</v>
      </c>
      <c r="V520" s="17" t="n">
        <v>0.27</v>
      </c>
      <c r="W520" s="17" t="n">
        <v>0</v>
      </c>
      <c r="X520" s="17" t="n">
        <v>0.18</v>
      </c>
      <c r="Y520" s="17" t="n">
        <v>0.9</v>
      </c>
      <c r="Z520" s="17" t="n">
        <v>0.27</v>
      </c>
      <c r="AA520" s="17" t="n">
        <v>0</v>
      </c>
      <c r="AB520" s="18" t="n">
        <v>0</v>
      </c>
      <c r="AC520" s="16" t="n">
        <v>-1.06</v>
      </c>
      <c r="AD520" s="17" t="n">
        <v>2</v>
      </c>
      <c r="AE520" s="17" t="n">
        <v>2</v>
      </c>
      <c r="AF520" s="17" t="n">
        <v>0.5600000000000001</v>
      </c>
      <c r="AG520" s="17" t="n">
        <v>1.73</v>
      </c>
      <c r="AH520" s="17" t="n">
        <v>2</v>
      </c>
      <c r="AI520" s="17" t="n">
        <v>1.82</v>
      </c>
      <c r="AJ520" s="17" t="n">
        <v>1.1</v>
      </c>
      <c r="AK520" s="17" t="n">
        <v>1.73</v>
      </c>
      <c r="AL520" s="17" t="n">
        <v>2</v>
      </c>
      <c r="AM520" s="18" t="n">
        <v>2</v>
      </c>
      <c r="AN520" s="16" t="n">
        <v>115</v>
      </c>
      <c r="AO520" s="17" t="n">
        <v>0</v>
      </c>
      <c r="AP520" s="17" t="n">
        <v>0</v>
      </c>
      <c r="AQ520" s="17" t="n">
        <v>16</v>
      </c>
      <c r="AR520" s="17" t="n">
        <v>5</v>
      </c>
      <c r="AS520" s="17" t="n">
        <v>0</v>
      </c>
      <c r="AT520" s="17" t="n">
        <v>5</v>
      </c>
      <c r="AU520" s="17" t="n">
        <v>74</v>
      </c>
      <c r="AV520" s="17" t="n">
        <v>8</v>
      </c>
      <c r="AW520" s="17" t="n">
        <v>0</v>
      </c>
      <c r="AX520" s="18" t="n">
        <v>0</v>
      </c>
      <c r="AY520" s="16" t="n">
        <v>37</v>
      </c>
      <c r="AZ520" s="17" t="n">
        <v>0</v>
      </c>
      <c r="BA520" s="17" t="n">
        <v>0</v>
      </c>
      <c r="BB520" s="17" t="n">
        <v>17</v>
      </c>
      <c r="BC520" s="17" t="n">
        <v>3</v>
      </c>
      <c r="BD520" s="17" t="n">
        <v>0</v>
      </c>
      <c r="BE520" s="17" t="n">
        <v>2</v>
      </c>
      <c r="BF520" s="17" t="n">
        <v>11</v>
      </c>
      <c r="BG520" s="17" t="n">
        <v>3</v>
      </c>
      <c r="BH520" s="17" t="n">
        <v>0</v>
      </c>
      <c r="BI520" s="18" t="n">
        <v>0</v>
      </c>
      <c r="BJ520" s="16" t="n">
        <v>79</v>
      </c>
      <c r="BK520" s="17" t="n">
        <v>0</v>
      </c>
      <c r="BL520" s="17" t="n">
        <v>0</v>
      </c>
      <c r="BM520" s="17" t="n">
        <v>-1</v>
      </c>
      <c r="BN520" s="17" t="n">
        <v>2</v>
      </c>
      <c r="BO520" s="17" t="n">
        <v>0</v>
      </c>
      <c r="BP520" s="17" t="n">
        <v>3</v>
      </c>
      <c r="BQ520" s="17" t="n">
        <v>63</v>
      </c>
      <c r="BR520" s="17" t="n">
        <v>5</v>
      </c>
      <c r="BS520" s="17" t="n">
        <v>0</v>
      </c>
      <c r="BT520" s="18" t="n">
        <v>0</v>
      </c>
      <c r="BU520" s="17" t="inlineStr">
        <is>
          <t>Generic Drug</t>
        </is>
      </c>
    </row>
    <row r="521" ht="20" customHeight="1">
      <c r="A521" s="15" t="inlineStr">
        <is>
          <t>70010006405</t>
        </is>
      </c>
      <c r="B521" s="15" t="inlineStr">
        <is>
          <t>METFORMIN HCL 850 MG ORAL TABLET</t>
        </is>
      </c>
      <c r="C521" s="16" t="n">
        <v>500</v>
      </c>
      <c r="D521" s="16" t="n">
        <v>3</v>
      </c>
      <c r="E521" s="16" t="n">
        <v>3</v>
      </c>
      <c r="F521" s="16" t="n">
        <v>10</v>
      </c>
      <c r="G521" s="16" t="n">
        <v>870</v>
      </c>
      <c r="H521" s="17" t="n">
        <v>0</v>
      </c>
      <c r="I521" s="17" t="n">
        <v>0</v>
      </c>
      <c r="J521" s="17" t="n">
        <v>450</v>
      </c>
      <c r="K521" s="17" t="n">
        <v>0</v>
      </c>
      <c r="L521" s="17" t="n">
        <v>0</v>
      </c>
      <c r="M521" s="17" t="n">
        <v>0</v>
      </c>
      <c r="N521" s="17" t="n">
        <v>240</v>
      </c>
      <c r="O521" s="17" t="n">
        <v>180</v>
      </c>
      <c r="P521" s="17" t="n">
        <v>0</v>
      </c>
      <c r="Q521" s="18" t="n">
        <v>0</v>
      </c>
      <c r="R521" s="16" t="n">
        <v>1.74</v>
      </c>
      <c r="S521" s="17" t="n">
        <v>0</v>
      </c>
      <c r="T521" s="17" t="n">
        <v>0</v>
      </c>
      <c r="U521" s="17" t="n">
        <v>0.9</v>
      </c>
      <c r="V521" s="17" t="n">
        <v>0</v>
      </c>
      <c r="W521" s="17" t="n">
        <v>0</v>
      </c>
      <c r="X521" s="17" t="n">
        <v>0</v>
      </c>
      <c r="Y521" s="17" t="n">
        <v>0.48</v>
      </c>
      <c r="Z521" s="17" t="n">
        <v>0.36</v>
      </c>
      <c r="AA521" s="17" t="n">
        <v>0</v>
      </c>
      <c r="AB521" s="18" t="n">
        <v>0</v>
      </c>
      <c r="AC521" s="16" t="n">
        <v>1.26</v>
      </c>
      <c r="AD521" s="17" t="n">
        <v>3</v>
      </c>
      <c r="AE521" s="17" t="n">
        <v>3</v>
      </c>
      <c r="AF521" s="17" t="n">
        <v>2.1</v>
      </c>
      <c r="AG521" s="17" t="n">
        <v>3</v>
      </c>
      <c r="AH521" s="17" t="n">
        <v>3</v>
      </c>
      <c r="AI521" s="17" t="n">
        <v>3</v>
      </c>
      <c r="AJ521" s="17" t="n">
        <v>2.52</v>
      </c>
      <c r="AK521" s="17" t="n">
        <v>2.64</v>
      </c>
      <c r="AL521" s="17" t="n">
        <v>3</v>
      </c>
      <c r="AM521" s="18" t="n">
        <v>3</v>
      </c>
      <c r="AN521" s="16" t="n">
        <v>39</v>
      </c>
      <c r="AO521" s="17" t="n">
        <v>0</v>
      </c>
      <c r="AP521" s="17" t="n">
        <v>0</v>
      </c>
      <c r="AQ521" s="17" t="n">
        <v>5</v>
      </c>
      <c r="AR521" s="17" t="n">
        <v>0</v>
      </c>
      <c r="AS521" s="17" t="n">
        <v>0</v>
      </c>
      <c r="AT521" s="17" t="n">
        <v>0</v>
      </c>
      <c r="AU521" s="17" t="n">
        <v>26</v>
      </c>
      <c r="AV521" s="17" t="n">
        <v>9</v>
      </c>
      <c r="AW521" s="17" t="n">
        <v>0</v>
      </c>
      <c r="AX521" s="18" t="n">
        <v>0</v>
      </c>
      <c r="AY521" s="16" t="n">
        <v>17</v>
      </c>
      <c r="AZ521" s="17" t="n">
        <v>0</v>
      </c>
      <c r="BA521" s="17" t="n">
        <v>0</v>
      </c>
      <c r="BB521" s="17" t="n">
        <v>9</v>
      </c>
      <c r="BC521" s="17" t="n">
        <v>0</v>
      </c>
      <c r="BD521" s="17" t="n">
        <v>0</v>
      </c>
      <c r="BE521" s="17" t="n">
        <v>0</v>
      </c>
      <c r="BF521" s="17" t="n">
        <v>5</v>
      </c>
      <c r="BG521" s="17" t="n">
        <v>4</v>
      </c>
      <c r="BH521" s="17" t="n">
        <v>0</v>
      </c>
      <c r="BI521" s="18" t="n">
        <v>0</v>
      </c>
      <c r="BJ521" s="16" t="n">
        <v>22</v>
      </c>
      <c r="BK521" s="17" t="n">
        <v>0</v>
      </c>
      <c r="BL521" s="17" t="n">
        <v>0</v>
      </c>
      <c r="BM521" s="17" t="n">
        <v>-4</v>
      </c>
      <c r="BN521" s="17" t="n">
        <v>0</v>
      </c>
      <c r="BO521" s="17" t="n">
        <v>0</v>
      </c>
      <c r="BP521" s="17" t="n">
        <v>0</v>
      </c>
      <c r="BQ521" s="17" t="n">
        <v>21</v>
      </c>
      <c r="BR521" s="17" t="n">
        <v>5</v>
      </c>
      <c r="BS521" s="17" t="n">
        <v>0</v>
      </c>
      <c r="BT521" s="18" t="n">
        <v>0</v>
      </c>
      <c r="BU521" s="17" t="inlineStr">
        <is>
          <t>Generic Drug</t>
        </is>
      </c>
    </row>
    <row r="522" ht="20" customHeight="1">
      <c r="A522" s="15" t="inlineStr">
        <is>
          <t>67877041401</t>
        </is>
      </c>
      <c r="B522" s="15" t="inlineStr">
        <is>
          <t>METFORMIN HCL ER 750 MG TABLET</t>
        </is>
      </c>
      <c r="C522" s="16" t="n">
        <v>100</v>
      </c>
      <c r="D522" s="16" t="n">
        <v>3</v>
      </c>
      <c r="E522" s="16" t="n">
        <v>3</v>
      </c>
      <c r="F522" s="16" t="n">
        <v>3</v>
      </c>
      <c r="G522" s="16" t="n">
        <v>90</v>
      </c>
      <c r="H522" s="17" t="n">
        <v>0</v>
      </c>
      <c r="I522" s="17" t="n">
        <v>0</v>
      </c>
      <c r="J522" s="17" t="n">
        <v>90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8" t="n">
        <v>0</v>
      </c>
      <c r="R522" s="16" t="n">
        <v>0.9</v>
      </c>
      <c r="S522" s="17" t="n">
        <v>0</v>
      </c>
      <c r="T522" s="17" t="n">
        <v>0</v>
      </c>
      <c r="U522" s="17" t="n">
        <v>0.9</v>
      </c>
      <c r="V522" s="17" t="n">
        <v>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8" t="n">
        <v>0</v>
      </c>
      <c r="AC522" s="16" t="n">
        <v>2.1</v>
      </c>
      <c r="AD522" s="17" t="n">
        <v>3</v>
      </c>
      <c r="AE522" s="17" t="n">
        <v>3</v>
      </c>
      <c r="AF522" s="17" t="n">
        <v>2.1</v>
      </c>
      <c r="AG522" s="17" t="n">
        <v>3</v>
      </c>
      <c r="AH522" s="17" t="n">
        <v>3</v>
      </c>
      <c r="AI522" s="17" t="n">
        <v>3</v>
      </c>
      <c r="AJ522" s="17" t="n">
        <v>3</v>
      </c>
      <c r="AK522" s="17" t="n">
        <v>3</v>
      </c>
      <c r="AL522" s="17" t="n">
        <v>3</v>
      </c>
      <c r="AM522" s="18" t="n">
        <v>3</v>
      </c>
      <c r="AN522" s="16" t="n">
        <v>20</v>
      </c>
      <c r="AO522" s="17" t="n">
        <v>0</v>
      </c>
      <c r="AP522" s="17" t="n">
        <v>0</v>
      </c>
      <c r="AQ522" s="17" t="n">
        <v>19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8" t="n">
        <v>0</v>
      </c>
      <c r="AY522" s="16" t="n">
        <v>3</v>
      </c>
      <c r="AZ522" s="17" t="n">
        <v>0</v>
      </c>
      <c r="BA522" s="17" t="n">
        <v>0</v>
      </c>
      <c r="BB522" s="17" t="n">
        <v>3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7" t="n">
        <v>0</v>
      </c>
      <c r="BI522" s="18" t="n">
        <v>0</v>
      </c>
      <c r="BJ522" s="16" t="n">
        <v>18</v>
      </c>
      <c r="BK522" s="17" t="n">
        <v>0</v>
      </c>
      <c r="BL522" s="17" t="n">
        <v>0</v>
      </c>
      <c r="BM522" s="17" t="n">
        <v>16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7" t="n">
        <v>0</v>
      </c>
      <c r="BT522" s="18" t="n">
        <v>0</v>
      </c>
      <c r="BU522" s="17" t="inlineStr">
        <is>
          <t>Generic Drug</t>
        </is>
      </c>
    </row>
    <row r="523" ht="20" customHeight="1">
      <c r="A523" s="15" t="inlineStr">
        <is>
          <t>65862078201</t>
        </is>
      </c>
      <c r="B523" s="15" t="inlineStr">
        <is>
          <t>METHENAMINE HIPPURATE 1GM TABLET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120</v>
      </c>
      <c r="H523" s="17" t="n">
        <v>0</v>
      </c>
      <c r="I523" s="17" t="n">
        <v>0</v>
      </c>
      <c r="J523" s="17" t="n">
        <v>120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8" t="n">
        <v>0</v>
      </c>
      <c r="R523" s="16" t="n">
        <v>1.2</v>
      </c>
      <c r="S523" s="17" t="n">
        <v>0</v>
      </c>
      <c r="T523" s="17" t="n">
        <v>0</v>
      </c>
      <c r="U523" s="17" t="n">
        <v>1.2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8" t="n">
        <v>0</v>
      </c>
      <c r="AC523" s="16" t="n">
        <v>-1.2</v>
      </c>
      <c r="AD523" s="17" t="n">
        <v>0</v>
      </c>
      <c r="AE523" s="17" t="n">
        <v>0</v>
      </c>
      <c r="AF523" s="17" t="n">
        <v>-1.2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8" t="n">
        <v>0</v>
      </c>
      <c r="AN523" s="16" t="n">
        <v>30</v>
      </c>
      <c r="AO523" s="17" t="n">
        <v>0</v>
      </c>
      <c r="AP523" s="17" t="n">
        <v>0</v>
      </c>
      <c r="AQ523" s="17" t="n">
        <v>30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8" t="n">
        <v>0</v>
      </c>
      <c r="AY523" s="16" t="n">
        <v>0</v>
      </c>
      <c r="AZ523" s="17" t="n">
        <v>0</v>
      </c>
      <c r="BA523" s="17" t="n">
        <v>0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8" t="n">
        <v>0</v>
      </c>
      <c r="BJ523" s="16" t="n">
        <v>30</v>
      </c>
      <c r="BK523" s="17" t="n">
        <v>0</v>
      </c>
      <c r="BL523" s="17" t="n">
        <v>0</v>
      </c>
      <c r="BM523" s="17" t="n">
        <v>30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0</v>
      </c>
      <c r="BT523" s="18" t="n">
        <v>0</v>
      </c>
      <c r="BU523" s="17" t="inlineStr">
        <is>
          <t>Unclassified</t>
        </is>
      </c>
    </row>
    <row r="524" ht="20" customHeight="1">
      <c r="A524" s="15" t="inlineStr">
        <is>
          <t>23155007101</t>
        </is>
      </c>
      <c r="B524" s="15" t="inlineStr">
        <is>
          <t xml:space="preserve">METHIMAZOLE 10MG TAB </t>
        </is>
      </c>
      <c r="C524" s="16" t="n">
        <v>100</v>
      </c>
      <c r="D524" s="16" t="n">
        <v>0</v>
      </c>
      <c r="E524" s="16" t="n">
        <v>0</v>
      </c>
      <c r="F524" s="16" t="n">
        <v>0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8" t="n">
        <v>0</v>
      </c>
      <c r="R524" s="16" t="n">
        <v>0.9</v>
      </c>
      <c r="S524" s="17" t="n">
        <v>0</v>
      </c>
      <c r="T524" s="17" t="n">
        <v>0</v>
      </c>
      <c r="U524" s="17" t="n">
        <v>0.9</v>
      </c>
      <c r="V524" s="17" t="n">
        <v>0</v>
      </c>
      <c r="W524" s="17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8" t="n">
        <v>0</v>
      </c>
      <c r="AC524" s="16" t="n">
        <v>-0.9</v>
      </c>
      <c r="AD524" s="17" t="n">
        <v>0</v>
      </c>
      <c r="AE524" s="17" t="n">
        <v>0</v>
      </c>
      <c r="AF524" s="17" t="n">
        <v>-0.9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8" t="n">
        <v>0</v>
      </c>
      <c r="AN524" s="16" t="n">
        <v>7</v>
      </c>
      <c r="AO524" s="17" t="n">
        <v>0</v>
      </c>
      <c r="AP524" s="17" t="n">
        <v>0</v>
      </c>
      <c r="AQ524" s="17" t="n">
        <v>7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8" t="n">
        <v>0</v>
      </c>
      <c r="AY524" s="16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8" t="n">
        <v>0</v>
      </c>
      <c r="BJ524" s="16" t="n">
        <v>7</v>
      </c>
      <c r="BK524" s="17" t="n">
        <v>0</v>
      </c>
      <c r="BL524" s="17" t="n">
        <v>0</v>
      </c>
      <c r="BM524" s="17" t="n">
        <v>7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</v>
      </c>
      <c r="BT524" s="18" t="n">
        <v>0</v>
      </c>
      <c r="BU524" s="17" t="inlineStr">
        <is>
          <t>Unclassified</t>
        </is>
      </c>
    </row>
    <row r="525" ht="20" customHeight="1">
      <c r="A525" s="15" t="inlineStr">
        <is>
          <t>23155007001</t>
        </is>
      </c>
      <c r="B525" s="15" t="inlineStr">
        <is>
          <t xml:space="preserve">METHIMAZOLE 5MG TABLE </t>
        </is>
      </c>
      <c r="C525" s="16" t="n">
        <v>100</v>
      </c>
      <c r="D525" s="16" t="n">
        <v>2</v>
      </c>
      <c r="E525" s="16" t="n">
        <v>2</v>
      </c>
      <c r="F525" s="16" t="n">
        <v>3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8" t="n">
        <v>0</v>
      </c>
      <c r="R525" s="16" t="n">
        <v>0.9</v>
      </c>
      <c r="S525" s="17" t="n">
        <v>0</v>
      </c>
      <c r="T525" s="17" t="n">
        <v>0</v>
      </c>
      <c r="U525" s="17" t="n">
        <v>0</v>
      </c>
      <c r="V525" s="17" t="n">
        <v>0.9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8" t="n">
        <v>0</v>
      </c>
      <c r="AC525" s="16" t="n">
        <v>1.1</v>
      </c>
      <c r="AD525" s="17" t="n">
        <v>2</v>
      </c>
      <c r="AE525" s="17" t="n">
        <v>2</v>
      </c>
      <c r="AF525" s="17" t="n">
        <v>2</v>
      </c>
      <c r="AG525" s="17" t="n">
        <v>1.1</v>
      </c>
      <c r="AH525" s="17" t="n">
        <v>2</v>
      </c>
      <c r="AI525" s="17" t="n">
        <v>2</v>
      </c>
      <c r="AJ525" s="17" t="n">
        <v>2</v>
      </c>
      <c r="AK525" s="17" t="n">
        <v>2</v>
      </c>
      <c r="AL525" s="17" t="n">
        <v>2</v>
      </c>
      <c r="AM525" s="18" t="n">
        <v>2</v>
      </c>
      <c r="AN525" s="16" t="n">
        <v>9</v>
      </c>
      <c r="AO525" s="17" t="n">
        <v>0</v>
      </c>
      <c r="AP525" s="17" t="n">
        <v>0</v>
      </c>
      <c r="AQ525" s="17" t="n">
        <v>0</v>
      </c>
      <c r="AR525" s="17" t="n">
        <v>8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8" t="n">
        <v>0</v>
      </c>
      <c r="AY525" s="16" t="n">
        <v>3</v>
      </c>
      <c r="AZ525" s="17" t="n">
        <v>0</v>
      </c>
      <c r="BA525" s="17" t="n">
        <v>0</v>
      </c>
      <c r="BB525" s="17" t="n">
        <v>0</v>
      </c>
      <c r="BC525" s="17" t="n">
        <v>3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8" t="n">
        <v>0</v>
      </c>
      <c r="BJ525" s="16" t="n">
        <v>7</v>
      </c>
      <c r="BK525" s="17" t="n">
        <v>0</v>
      </c>
      <c r="BL525" s="17" t="n">
        <v>0</v>
      </c>
      <c r="BM525" s="17" t="n">
        <v>0</v>
      </c>
      <c r="BN525" s="17" t="n">
        <v>5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7" t="n">
        <v>0</v>
      </c>
      <c r="BT525" s="18" t="n">
        <v>0</v>
      </c>
      <c r="BU525" s="17" t="inlineStr">
        <is>
          <t>Generic Drug</t>
        </is>
      </c>
    </row>
    <row r="526" ht="20" customHeight="1">
      <c r="A526" s="15" t="inlineStr">
        <is>
          <t>70010075401</t>
        </is>
      </c>
      <c r="B526" s="15" t="inlineStr">
        <is>
          <t xml:space="preserve">METHOCARBAMOL 500MG TAB 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90</v>
      </c>
      <c r="N526" s="17" t="n">
        <v>0</v>
      </c>
      <c r="O526" s="17" t="n">
        <v>0</v>
      </c>
      <c r="P526" s="17" t="n">
        <v>0</v>
      </c>
      <c r="Q526" s="18" t="n">
        <v>0</v>
      </c>
      <c r="R526" s="16" t="n">
        <v>0.9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0.9</v>
      </c>
      <c r="Y526" s="17" t="n">
        <v>0</v>
      </c>
      <c r="Z526" s="17" t="n">
        <v>0</v>
      </c>
      <c r="AA526" s="17" t="n">
        <v>0</v>
      </c>
      <c r="AB526" s="18" t="n">
        <v>0</v>
      </c>
      <c r="AC526" s="16" t="n">
        <v>-0.9</v>
      </c>
      <c r="AD526" s="17" t="n">
        <v>0</v>
      </c>
      <c r="AE526" s="17" t="n">
        <v>0</v>
      </c>
      <c r="AF526" s="17" t="n">
        <v>0</v>
      </c>
      <c r="AG526" s="17" t="n">
        <v>0</v>
      </c>
      <c r="AH526" s="17" t="n">
        <v>0</v>
      </c>
      <c r="AI526" s="17" t="n">
        <v>-0.9</v>
      </c>
      <c r="AJ526" s="17" t="n">
        <v>0</v>
      </c>
      <c r="AK526" s="17" t="n">
        <v>0</v>
      </c>
      <c r="AL526" s="17" t="n">
        <v>0</v>
      </c>
      <c r="AM526" s="18" t="n">
        <v>0</v>
      </c>
      <c r="AN526" s="16" t="n">
        <v>9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9</v>
      </c>
      <c r="AU526" s="17" t="n">
        <v>0</v>
      </c>
      <c r="AV526" s="17" t="n">
        <v>0</v>
      </c>
      <c r="AW526" s="17" t="n">
        <v>0</v>
      </c>
      <c r="AX526" s="18" t="n">
        <v>0</v>
      </c>
      <c r="AY526" s="16" t="n">
        <v>0</v>
      </c>
      <c r="AZ526" s="17" t="n">
        <v>0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0</v>
      </c>
      <c r="BF526" s="17" t="n">
        <v>0</v>
      </c>
      <c r="BG526" s="17" t="n">
        <v>0</v>
      </c>
      <c r="BH526" s="17" t="n">
        <v>0</v>
      </c>
      <c r="BI526" s="18" t="n">
        <v>0</v>
      </c>
      <c r="BJ526" s="16" t="n">
        <v>9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9</v>
      </c>
      <c r="BQ526" s="17" t="n">
        <v>0</v>
      </c>
      <c r="BR526" s="17" t="n">
        <v>0</v>
      </c>
      <c r="BS526" s="17" t="n">
        <v>0</v>
      </c>
      <c r="BT526" s="18" t="n">
        <v>0</v>
      </c>
      <c r="BU526" s="17" t="inlineStr">
        <is>
          <t>Unclassified</t>
        </is>
      </c>
    </row>
    <row r="527" ht="20" customHeight="1">
      <c r="A527" s="15" t="inlineStr">
        <is>
          <t>70010077001</t>
        </is>
      </c>
      <c r="B527" s="15" t="inlineStr">
        <is>
          <t>METHOCARBAMOL 750 MG ORAL TABLET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28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28</v>
      </c>
      <c r="O527" s="17" t="n">
        <v>0</v>
      </c>
      <c r="P527" s="17" t="n">
        <v>0</v>
      </c>
      <c r="Q527" s="18" t="n">
        <v>0</v>
      </c>
      <c r="R527" s="16" t="n">
        <v>0.28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0.28</v>
      </c>
      <c r="Z527" s="17" t="n">
        <v>0</v>
      </c>
      <c r="AA527" s="17" t="n">
        <v>0</v>
      </c>
      <c r="AB527" s="18" t="n">
        <v>0</v>
      </c>
      <c r="AC527" s="16" t="n">
        <v>-0.28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-0.28</v>
      </c>
      <c r="AK527" s="17" t="n">
        <v>0</v>
      </c>
      <c r="AL527" s="17" t="n">
        <v>0</v>
      </c>
      <c r="AM527" s="18" t="n">
        <v>0</v>
      </c>
      <c r="AN527" s="16" t="n">
        <v>11</v>
      </c>
      <c r="AO527" s="17" t="n">
        <v>0</v>
      </c>
      <c r="AP527" s="17" t="n">
        <v>0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11</v>
      </c>
      <c r="AV527" s="17" t="n">
        <v>0</v>
      </c>
      <c r="AW527" s="17" t="n">
        <v>0</v>
      </c>
      <c r="AX527" s="18" t="n">
        <v>0</v>
      </c>
      <c r="AY527" s="16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8" t="n">
        <v>0</v>
      </c>
      <c r="BJ527" s="16" t="n">
        <v>11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11</v>
      </c>
      <c r="BR527" s="17" t="n">
        <v>0</v>
      </c>
      <c r="BS527" s="17" t="n">
        <v>0</v>
      </c>
      <c r="BT527" s="18" t="n">
        <v>0</v>
      </c>
      <c r="BU527" s="17" t="inlineStr">
        <is>
          <t>Unclassified</t>
        </is>
      </c>
    </row>
    <row r="528" ht="20" customHeight="1">
      <c r="A528" s="15" t="inlineStr">
        <is>
          <t>68382077501</t>
        </is>
      </c>
      <c r="B528" s="15" t="inlineStr">
        <is>
          <t xml:space="preserve">METHOTREXATE 2.5MG TAB </t>
        </is>
      </c>
      <c r="C528" s="16" t="n">
        <v>100</v>
      </c>
      <c r="D528" s="16" t="n">
        <v>0</v>
      </c>
      <c r="E528" s="16" t="n">
        <v>0</v>
      </c>
      <c r="F528" s="16" t="n">
        <v>0</v>
      </c>
      <c r="G528" s="16" t="n">
        <v>56</v>
      </c>
      <c r="H528" s="17" t="n">
        <v>0</v>
      </c>
      <c r="I528" s="17" t="n">
        <v>0</v>
      </c>
      <c r="J528" s="17" t="n">
        <v>56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8" t="n">
        <v>0</v>
      </c>
      <c r="R528" s="16" t="n">
        <v>0.5600000000000001</v>
      </c>
      <c r="S528" s="17" t="n">
        <v>0</v>
      </c>
      <c r="T528" s="17" t="n">
        <v>0</v>
      </c>
      <c r="U528" s="17" t="n">
        <v>0.5600000000000001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8" t="n">
        <v>0</v>
      </c>
      <c r="AC528" s="16" t="n">
        <v>-0.5600000000000001</v>
      </c>
      <c r="AD528" s="17" t="n">
        <v>0</v>
      </c>
      <c r="AE528" s="17" t="n">
        <v>0</v>
      </c>
      <c r="AF528" s="17" t="n">
        <v>-0.5600000000000001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8" t="n">
        <v>0</v>
      </c>
      <c r="AN528" s="16" t="n">
        <v>28</v>
      </c>
      <c r="AO528" s="17" t="n">
        <v>0</v>
      </c>
      <c r="AP528" s="17" t="n">
        <v>0</v>
      </c>
      <c r="AQ528" s="17" t="n">
        <v>28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8" t="n">
        <v>0</v>
      </c>
      <c r="AY528" s="16" t="n">
        <v>0</v>
      </c>
      <c r="AZ528" s="17" t="n">
        <v>0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7" t="n">
        <v>0</v>
      </c>
      <c r="BI528" s="18" t="n">
        <v>0</v>
      </c>
      <c r="BJ528" s="16" t="n">
        <v>28</v>
      </c>
      <c r="BK528" s="17" t="n">
        <v>0</v>
      </c>
      <c r="BL528" s="17" t="n">
        <v>0</v>
      </c>
      <c r="BM528" s="17" t="n">
        <v>28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7" t="n">
        <v>0</v>
      </c>
      <c r="BT528" s="18" t="n">
        <v>0</v>
      </c>
      <c r="BU528" s="17" t="inlineStr">
        <is>
          <t>Unclassified</t>
        </is>
      </c>
    </row>
    <row r="529" ht="20" customHeight="1">
      <c r="A529" s="15" t="inlineStr">
        <is>
          <t>16571073521</t>
        </is>
      </c>
      <c r="B529" s="15" t="inlineStr">
        <is>
          <t>METHYLERGONOVINE MALEATE 0.2MG TABLET</t>
        </is>
      </c>
      <c r="C529" s="16" t="n">
        <v>12</v>
      </c>
      <c r="D529" s="16" t="n">
        <v>1</v>
      </c>
      <c r="E529" s="16" t="n">
        <v>1</v>
      </c>
      <c r="F529" s="16" t="n">
        <v>115</v>
      </c>
      <c r="G529" s="16" t="n">
        <v>6</v>
      </c>
      <c r="H529" s="17" t="n">
        <v>0</v>
      </c>
      <c r="I529" s="17" t="n">
        <v>0</v>
      </c>
      <c r="J529" s="17" t="n">
        <v>0</v>
      </c>
      <c r="K529" s="17" t="n">
        <v>6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8" t="n">
        <v>0</v>
      </c>
      <c r="R529" s="16" t="n">
        <v>0.5</v>
      </c>
      <c r="S529" s="17" t="n">
        <v>0</v>
      </c>
      <c r="T529" s="17" t="n">
        <v>0</v>
      </c>
      <c r="U529" s="17" t="n">
        <v>0</v>
      </c>
      <c r="V529" s="17" t="n">
        <v>0.5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8" t="n">
        <v>0</v>
      </c>
      <c r="AC529" s="16" t="n">
        <v>0.5</v>
      </c>
      <c r="AD529" s="17" t="n">
        <v>1</v>
      </c>
      <c r="AE529" s="17" t="n">
        <v>1</v>
      </c>
      <c r="AF529" s="17" t="n">
        <v>1</v>
      </c>
      <c r="AG529" s="17" t="n">
        <v>0.5</v>
      </c>
      <c r="AH529" s="17" t="n">
        <v>1</v>
      </c>
      <c r="AI529" s="17" t="n">
        <v>1</v>
      </c>
      <c r="AJ529" s="17" t="n">
        <v>1</v>
      </c>
      <c r="AK529" s="17" t="n">
        <v>1</v>
      </c>
      <c r="AL529" s="17" t="n">
        <v>1</v>
      </c>
      <c r="AM529" s="18" t="n">
        <v>1</v>
      </c>
      <c r="AN529" s="16" t="n">
        <v>68</v>
      </c>
      <c r="AO529" s="17" t="n">
        <v>0</v>
      </c>
      <c r="AP529" s="17" t="n">
        <v>0</v>
      </c>
      <c r="AQ529" s="17" t="n">
        <v>0</v>
      </c>
      <c r="AR529" s="17" t="n">
        <v>62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8" t="n">
        <v>0</v>
      </c>
      <c r="AY529" s="16" t="n">
        <v>58</v>
      </c>
      <c r="AZ529" s="17" t="n">
        <v>0</v>
      </c>
      <c r="BA529" s="17" t="n">
        <v>0</v>
      </c>
      <c r="BB529" s="17" t="n">
        <v>0</v>
      </c>
      <c r="BC529" s="17" t="n">
        <v>58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8" t="n">
        <v>0</v>
      </c>
      <c r="BJ529" s="16" t="n">
        <v>10</v>
      </c>
      <c r="BK529" s="17" t="n">
        <v>0</v>
      </c>
      <c r="BL529" s="17" t="n">
        <v>0</v>
      </c>
      <c r="BM529" s="17" t="n">
        <v>0</v>
      </c>
      <c r="BN529" s="17" t="n">
        <v>5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7" t="n">
        <v>0</v>
      </c>
      <c r="BT529" s="18" t="n">
        <v>0</v>
      </c>
      <c r="BU529" s="17" t="inlineStr">
        <is>
          <t>Generic Drug</t>
        </is>
      </c>
    </row>
    <row r="530" ht="20" customHeight="1">
      <c r="A530" s="15" t="inlineStr">
        <is>
          <t>59630075050</t>
        </is>
      </c>
      <c r="B530" s="15" t="inlineStr">
        <is>
          <t>METHYLIN 5 MG/5ML ORAL SOLUTION</t>
        </is>
      </c>
      <c r="C530" s="16" t="n">
        <v>500</v>
      </c>
      <c r="D530" s="16" t="n">
        <v>0</v>
      </c>
      <c r="E530" s="16" t="n">
        <v>0</v>
      </c>
      <c r="F530" s="16" t="n">
        <v>0</v>
      </c>
      <c r="G530" s="16" t="n">
        <v>300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300</v>
      </c>
      <c r="O530" s="17" t="n">
        <v>0</v>
      </c>
      <c r="P530" s="17" t="n">
        <v>0</v>
      </c>
      <c r="Q530" s="18" t="n">
        <v>0</v>
      </c>
      <c r="R530" s="16" t="n">
        <v>0.6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0.6</v>
      </c>
      <c r="Z530" s="17" t="n">
        <v>0</v>
      </c>
      <c r="AA530" s="17" t="n">
        <v>0</v>
      </c>
      <c r="AB530" s="18" t="n">
        <v>0</v>
      </c>
      <c r="AC530" s="16" t="n">
        <v>-0.6</v>
      </c>
      <c r="AD530" s="17" t="n">
        <v>0</v>
      </c>
      <c r="AE530" s="17" t="n">
        <v>0</v>
      </c>
      <c r="AF530" s="17" t="n">
        <v>0</v>
      </c>
      <c r="AG530" s="17" t="n">
        <v>0</v>
      </c>
      <c r="AH530" s="17" t="n">
        <v>0</v>
      </c>
      <c r="AI530" s="17" t="n">
        <v>0</v>
      </c>
      <c r="AJ530" s="17" t="n">
        <v>-0.6</v>
      </c>
      <c r="AK530" s="17" t="n">
        <v>0</v>
      </c>
      <c r="AL530" s="17" t="n">
        <v>0</v>
      </c>
      <c r="AM530" s="18" t="n">
        <v>0</v>
      </c>
      <c r="AN530" s="16" t="n">
        <v>33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33</v>
      </c>
      <c r="AV530" s="17" t="n">
        <v>0</v>
      </c>
      <c r="AW530" s="17" t="n">
        <v>0</v>
      </c>
      <c r="AX530" s="18" t="n">
        <v>0</v>
      </c>
      <c r="AY530" s="16" t="n">
        <v>0</v>
      </c>
      <c r="AZ530" s="17" t="n">
        <v>0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0</v>
      </c>
      <c r="BF530" s="17" t="n">
        <v>0</v>
      </c>
      <c r="BG530" s="17" t="n">
        <v>0</v>
      </c>
      <c r="BH530" s="17" t="n">
        <v>0</v>
      </c>
      <c r="BI530" s="18" t="n">
        <v>0</v>
      </c>
      <c r="BJ530" s="16" t="n">
        <v>33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0</v>
      </c>
      <c r="BP530" s="17" t="n">
        <v>0</v>
      </c>
      <c r="BQ530" s="17" t="n">
        <v>33</v>
      </c>
      <c r="BR530" s="17" t="n">
        <v>0</v>
      </c>
      <c r="BS530" s="17" t="n">
        <v>0</v>
      </c>
      <c r="BT530" s="18" t="n">
        <v>0</v>
      </c>
      <c r="BU530" s="17" t="inlineStr">
        <is>
          <t>Unclassified</t>
        </is>
      </c>
    </row>
    <row r="531" ht="20" customHeight="1">
      <c r="A531" s="15" t="inlineStr">
        <is>
          <t>59746000103</t>
        </is>
      </c>
      <c r="B531" s="15" t="inlineStr">
        <is>
          <t xml:space="preserve">METHYLPREDNISOLONE 4MG (MEDROL) </t>
        </is>
      </c>
      <c r="C531" s="16" t="n">
        <v>21</v>
      </c>
      <c r="D531" s="16" t="n">
        <v>0</v>
      </c>
      <c r="E531" s="16" t="n">
        <v>0</v>
      </c>
      <c r="F531" s="16" t="n">
        <v>0</v>
      </c>
      <c r="G531" s="16" t="n">
        <v>42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21</v>
      </c>
      <c r="O531" s="17" t="n">
        <v>21</v>
      </c>
      <c r="P531" s="17" t="n">
        <v>0</v>
      </c>
      <c r="Q531" s="18" t="n">
        <v>0</v>
      </c>
      <c r="R531" s="16" t="n">
        <v>2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1</v>
      </c>
      <c r="Z531" s="17" t="n">
        <v>1</v>
      </c>
      <c r="AA531" s="17" t="n">
        <v>0</v>
      </c>
      <c r="AB531" s="18" t="n">
        <v>0</v>
      </c>
      <c r="AC531" s="16" t="n">
        <v>-2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7" t="n">
        <v>-1</v>
      </c>
      <c r="AK531" s="17" t="n">
        <v>-1</v>
      </c>
      <c r="AL531" s="17" t="n">
        <v>0</v>
      </c>
      <c r="AM531" s="18" t="n">
        <v>0</v>
      </c>
      <c r="AN531" s="16" t="n">
        <v>15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13</v>
      </c>
      <c r="AV531" s="17" t="n">
        <v>0</v>
      </c>
      <c r="AW531" s="17" t="n">
        <v>0</v>
      </c>
      <c r="AX531" s="18" t="n">
        <v>0</v>
      </c>
      <c r="AY531" s="16" t="n">
        <v>0</v>
      </c>
      <c r="AZ531" s="17" t="n">
        <v>0</v>
      </c>
      <c r="BA531" s="17" t="n">
        <v>0</v>
      </c>
      <c r="BB531" s="17" t="n">
        <v>0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8" t="n">
        <v>0</v>
      </c>
      <c r="BJ531" s="16" t="n">
        <v>15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13</v>
      </c>
      <c r="BR531" s="17" t="n">
        <v>0</v>
      </c>
      <c r="BS531" s="17" t="n">
        <v>0</v>
      </c>
      <c r="BT531" s="18" t="n">
        <v>0</v>
      </c>
      <c r="BU531" s="17" t="inlineStr">
        <is>
          <t>Unclassified</t>
        </is>
      </c>
    </row>
    <row r="532" ht="20" customHeight="1">
      <c r="A532" s="15" t="inlineStr">
        <is>
          <t>59762004901</t>
        </is>
      </c>
      <c r="B532" s="15" t="inlineStr">
        <is>
          <t>METHYLPREDNISOLONE 8MG TABLET</t>
        </is>
      </c>
      <c r="C532" s="16" t="n">
        <v>25</v>
      </c>
      <c r="D532" s="16" t="n">
        <v>0</v>
      </c>
      <c r="E532" s="16" t="n">
        <v>0</v>
      </c>
      <c r="F532" s="16" t="n">
        <v>0</v>
      </c>
      <c r="G532" s="16" t="n">
        <v>10</v>
      </c>
      <c r="H532" s="17" t="n">
        <v>0</v>
      </c>
      <c r="I532" s="17" t="n">
        <v>0</v>
      </c>
      <c r="J532" s="17" t="n">
        <v>0</v>
      </c>
      <c r="K532" s="17" t="n">
        <v>0</v>
      </c>
      <c r="L532" s="17" t="n">
        <v>0</v>
      </c>
      <c r="M532" s="17" t="n">
        <v>10</v>
      </c>
      <c r="N532" s="17" t="n">
        <v>0</v>
      </c>
      <c r="O532" s="17" t="n">
        <v>0</v>
      </c>
      <c r="P532" s="17" t="n">
        <v>0</v>
      </c>
      <c r="Q532" s="18" t="n">
        <v>0</v>
      </c>
      <c r="R532" s="16" t="n">
        <v>0.4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0.4</v>
      </c>
      <c r="Y532" s="17" t="n">
        <v>0</v>
      </c>
      <c r="Z532" s="17" t="n">
        <v>0</v>
      </c>
      <c r="AA532" s="17" t="n">
        <v>0</v>
      </c>
      <c r="AB532" s="18" t="n">
        <v>0</v>
      </c>
      <c r="AC532" s="16" t="n">
        <v>-0.4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-0.4</v>
      </c>
      <c r="AJ532" s="17" t="n">
        <v>0</v>
      </c>
      <c r="AK532" s="17" t="n">
        <v>0</v>
      </c>
      <c r="AL532" s="17" t="n">
        <v>0</v>
      </c>
      <c r="AM532" s="18" t="n">
        <v>0</v>
      </c>
      <c r="AN532" s="16" t="n">
        <v>13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13</v>
      </c>
      <c r="AU532" s="17" t="n">
        <v>0</v>
      </c>
      <c r="AV532" s="17" t="n">
        <v>0</v>
      </c>
      <c r="AW532" s="17" t="n">
        <v>0</v>
      </c>
      <c r="AX532" s="18" t="n">
        <v>0</v>
      </c>
      <c r="AY532" s="16" t="n">
        <v>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7" t="n">
        <v>0</v>
      </c>
      <c r="BI532" s="18" t="n">
        <v>0</v>
      </c>
      <c r="BJ532" s="16" t="n">
        <v>13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13</v>
      </c>
      <c r="BQ532" s="17" t="n">
        <v>0</v>
      </c>
      <c r="BR532" s="17" t="n">
        <v>0</v>
      </c>
      <c r="BS532" s="17" t="n">
        <v>0</v>
      </c>
      <c r="BT532" s="18" t="n">
        <v>0</v>
      </c>
      <c r="BU532" s="17" t="inlineStr">
        <is>
          <t>Unclassified</t>
        </is>
      </c>
    </row>
    <row r="533" ht="20" customHeight="1">
      <c r="A533" s="15" t="inlineStr">
        <is>
          <t>00093220305</t>
        </is>
      </c>
      <c r="B533" s="15" t="inlineStr">
        <is>
          <t xml:space="preserve">METOCLOPRAMIDE 10MG TAB 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8</v>
      </c>
      <c r="H533" s="17" t="n">
        <v>0</v>
      </c>
      <c r="I533" s="17" t="n">
        <v>0</v>
      </c>
      <c r="J533" s="17" t="n">
        <v>0</v>
      </c>
      <c r="K533" s="17" t="n">
        <v>8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8" t="n">
        <v>0</v>
      </c>
      <c r="R533" s="16" t="n">
        <v>0.016</v>
      </c>
      <c r="S533" s="17" t="n">
        <v>0</v>
      </c>
      <c r="T533" s="17" t="n">
        <v>0</v>
      </c>
      <c r="U533" s="17" t="n">
        <v>0</v>
      </c>
      <c r="V533" s="17" t="n">
        <v>0.016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8" t="n">
        <v>0</v>
      </c>
      <c r="AC533" s="16" t="n">
        <v>-0.016</v>
      </c>
      <c r="AD533" s="17" t="n">
        <v>0</v>
      </c>
      <c r="AE533" s="17" t="n">
        <v>0</v>
      </c>
      <c r="AF533" s="17" t="n">
        <v>0</v>
      </c>
      <c r="AG533" s="17" t="n">
        <v>-0.016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8" t="n">
        <v>0</v>
      </c>
      <c r="AN533" s="16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8" t="n">
        <v>0</v>
      </c>
      <c r="AY533" s="16" t="n">
        <v>0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8" t="n">
        <v>0</v>
      </c>
      <c r="BJ533" s="16" t="n">
        <v>0</v>
      </c>
      <c r="BK533" s="17" t="n">
        <v>0</v>
      </c>
      <c r="BL533" s="17" t="n">
        <v>0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7" t="n">
        <v>0</v>
      </c>
      <c r="BT533" s="18" t="n">
        <v>0</v>
      </c>
      <c r="BU533" s="17" t="inlineStr">
        <is>
          <t>Unclassified</t>
        </is>
      </c>
    </row>
    <row r="534" ht="20" customHeight="1">
      <c r="A534" s="15" t="inlineStr">
        <is>
          <t>00093220405</t>
        </is>
      </c>
      <c r="B534" s="15" t="inlineStr">
        <is>
          <t>METOCLOPRAMIDE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120</v>
      </c>
      <c r="H534" s="17" t="n">
        <v>0</v>
      </c>
      <c r="I534" s="17" t="n">
        <v>0</v>
      </c>
      <c r="J534" s="17" t="n">
        <v>0</v>
      </c>
      <c r="K534" s="17" t="n">
        <v>120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8" t="n">
        <v>0</v>
      </c>
      <c r="R534" s="16" t="n">
        <v>0.24</v>
      </c>
      <c r="S534" s="17" t="n">
        <v>0</v>
      </c>
      <c r="T534" s="17" t="n">
        <v>0</v>
      </c>
      <c r="U534" s="17" t="n">
        <v>0</v>
      </c>
      <c r="V534" s="17" t="n">
        <v>0.24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8" t="n">
        <v>0</v>
      </c>
      <c r="AC534" s="16" t="n">
        <v>-0.24</v>
      </c>
      <c r="AD534" s="17" t="n">
        <v>0</v>
      </c>
      <c r="AE534" s="17" t="n">
        <v>0</v>
      </c>
      <c r="AF534" s="17" t="n">
        <v>0</v>
      </c>
      <c r="AG534" s="17" t="n">
        <v>-0.24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8" t="n">
        <v>0</v>
      </c>
      <c r="AN534" s="16" t="n">
        <v>4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8" t="n">
        <v>0</v>
      </c>
      <c r="AY534" s="16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8" t="n">
        <v>0</v>
      </c>
      <c r="BJ534" s="16" t="n">
        <v>4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0</v>
      </c>
      <c r="BT534" s="18" t="n">
        <v>0</v>
      </c>
      <c r="BU534" s="17" t="inlineStr">
        <is>
          <t>Unclassified</t>
        </is>
      </c>
    </row>
    <row r="535" ht="20" customHeight="1">
      <c r="A535" s="15" t="inlineStr">
        <is>
          <t>00185005501</t>
        </is>
      </c>
      <c r="B535" s="15" t="inlineStr">
        <is>
          <t>METOLAZONE 5 MG TABLET</t>
        </is>
      </c>
      <c r="C535" s="16" t="n">
        <v>100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30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8" t="n">
        <v>0</v>
      </c>
      <c r="R535" s="16" t="n">
        <v>0.3</v>
      </c>
      <c r="S535" s="17" t="n">
        <v>0</v>
      </c>
      <c r="T535" s="17" t="n">
        <v>0</v>
      </c>
      <c r="U535" s="17" t="n">
        <v>0.3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8" t="n">
        <v>0</v>
      </c>
      <c r="AC535" s="16" t="n">
        <v>-0.3</v>
      </c>
      <c r="AD535" s="17" t="n">
        <v>0</v>
      </c>
      <c r="AE535" s="17" t="n">
        <v>0</v>
      </c>
      <c r="AF535" s="17" t="n">
        <v>-0.3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8" t="n">
        <v>0</v>
      </c>
      <c r="AN535" s="16" t="n">
        <v>16</v>
      </c>
      <c r="AO535" s="17" t="n">
        <v>0</v>
      </c>
      <c r="AP535" s="17" t="n">
        <v>0</v>
      </c>
      <c r="AQ535" s="17" t="n">
        <v>16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8" t="n">
        <v>0</v>
      </c>
      <c r="AY535" s="16" t="n">
        <v>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8" t="n">
        <v>0</v>
      </c>
      <c r="BJ535" s="16" t="n">
        <v>16</v>
      </c>
      <c r="BK535" s="17" t="n">
        <v>0</v>
      </c>
      <c r="BL535" s="17" t="n">
        <v>0</v>
      </c>
      <c r="BM535" s="17" t="n">
        <v>16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7" t="n">
        <v>0</v>
      </c>
      <c r="BT535" s="18" t="n">
        <v>0</v>
      </c>
      <c r="BU535" s="17" t="inlineStr">
        <is>
          <t>Unclassified</t>
        </is>
      </c>
    </row>
    <row r="536" ht="20" customHeight="1">
      <c r="A536" s="15" t="inlineStr">
        <is>
          <t>45963067696</t>
        </is>
      </c>
      <c r="B536" s="15" t="inlineStr">
        <is>
          <t>METOPROLOL SUCCINATE 50MG TABLET ER</t>
        </is>
      </c>
      <c r="C536" s="16" t="n">
        <v>1000</v>
      </c>
      <c r="D536" s="16" t="n">
        <v>0</v>
      </c>
      <c r="E536" s="16" t="n">
        <v>0</v>
      </c>
      <c r="F536" s="16" t="n">
        <v>0</v>
      </c>
      <c r="G536" s="16" t="n">
        <v>1410</v>
      </c>
      <c r="H536" s="17" t="n">
        <v>0</v>
      </c>
      <c r="I536" s="17" t="n">
        <v>0</v>
      </c>
      <c r="J536" s="17" t="n">
        <v>510</v>
      </c>
      <c r="K536" s="17" t="n">
        <v>90</v>
      </c>
      <c r="L536" s="17" t="n">
        <v>0</v>
      </c>
      <c r="M536" s="17" t="n">
        <v>90</v>
      </c>
      <c r="N536" s="17" t="n">
        <v>450</v>
      </c>
      <c r="O536" s="17" t="n">
        <v>270</v>
      </c>
      <c r="P536" s="17" t="n">
        <v>0</v>
      </c>
      <c r="Q536" s="18" t="n">
        <v>0</v>
      </c>
      <c r="R536" s="16" t="n">
        <v>1.41</v>
      </c>
      <c r="S536" s="17" t="n">
        <v>0</v>
      </c>
      <c r="T536" s="17" t="n">
        <v>0</v>
      </c>
      <c r="U536" s="17" t="n">
        <v>0.51</v>
      </c>
      <c r="V536" s="17" t="n">
        <v>0.09</v>
      </c>
      <c r="W536" s="17" t="n">
        <v>0</v>
      </c>
      <c r="X536" s="17" t="n">
        <v>0.09</v>
      </c>
      <c r="Y536" s="17" t="n">
        <v>0.45</v>
      </c>
      <c r="Z536" s="17" t="n">
        <v>0.27</v>
      </c>
      <c r="AA536" s="17" t="n">
        <v>0</v>
      </c>
      <c r="AB536" s="18" t="n">
        <v>0</v>
      </c>
      <c r="AC536" s="16" t="n">
        <v>-1.41</v>
      </c>
      <c r="AD536" s="17" t="n">
        <v>0</v>
      </c>
      <c r="AE536" s="17" t="n">
        <v>0</v>
      </c>
      <c r="AF536" s="17" t="n">
        <v>-0.51</v>
      </c>
      <c r="AG536" s="17" t="n">
        <v>-0.09</v>
      </c>
      <c r="AH536" s="17" t="n">
        <v>0</v>
      </c>
      <c r="AI536" s="17" t="n">
        <v>-0.09</v>
      </c>
      <c r="AJ536" s="17" t="n">
        <v>-0.45</v>
      </c>
      <c r="AK536" s="17" t="n">
        <v>-0.27</v>
      </c>
      <c r="AL536" s="17" t="n">
        <v>0</v>
      </c>
      <c r="AM536" s="18" t="n">
        <v>0</v>
      </c>
      <c r="AN536" s="16" t="n">
        <v>177</v>
      </c>
      <c r="AO536" s="17" t="n">
        <v>0</v>
      </c>
      <c r="AP536" s="17" t="n">
        <v>0</v>
      </c>
      <c r="AQ536" s="17" t="n">
        <v>28</v>
      </c>
      <c r="AR536" s="17" t="n">
        <v>0</v>
      </c>
      <c r="AS536" s="17" t="n">
        <v>0</v>
      </c>
      <c r="AT536" s="17" t="n">
        <v>8</v>
      </c>
      <c r="AU536" s="17" t="n">
        <v>74</v>
      </c>
      <c r="AV536" s="17" t="n">
        <v>25</v>
      </c>
      <c r="AW536" s="17" t="n">
        <v>0</v>
      </c>
      <c r="AX536" s="18" t="n">
        <v>0</v>
      </c>
      <c r="AY536" s="16" t="n">
        <v>0</v>
      </c>
      <c r="AZ536" s="17" t="n">
        <v>0</v>
      </c>
      <c r="BA536" s="17" t="n">
        <v>0</v>
      </c>
      <c r="BB536" s="17" t="n">
        <v>0</v>
      </c>
      <c r="BC536" s="17" t="n">
        <v>0</v>
      </c>
      <c r="BD536" s="17" t="n">
        <v>0</v>
      </c>
      <c r="BE536" s="17" t="n">
        <v>0</v>
      </c>
      <c r="BF536" s="17" t="n">
        <v>0</v>
      </c>
      <c r="BG536" s="17" t="n">
        <v>0</v>
      </c>
      <c r="BH536" s="17" t="n">
        <v>0</v>
      </c>
      <c r="BI536" s="18" t="n">
        <v>0</v>
      </c>
      <c r="BJ536" s="16" t="n">
        <v>177</v>
      </c>
      <c r="BK536" s="17" t="n">
        <v>0</v>
      </c>
      <c r="BL536" s="17" t="n">
        <v>0</v>
      </c>
      <c r="BM536" s="17" t="n">
        <v>28</v>
      </c>
      <c r="BN536" s="17" t="n">
        <v>0</v>
      </c>
      <c r="BO536" s="17" t="n">
        <v>0</v>
      </c>
      <c r="BP536" s="17" t="n">
        <v>8</v>
      </c>
      <c r="BQ536" s="17" t="n">
        <v>74</v>
      </c>
      <c r="BR536" s="17" t="n">
        <v>25</v>
      </c>
      <c r="BS536" s="17" t="n">
        <v>0</v>
      </c>
      <c r="BT536" s="18" t="n">
        <v>0</v>
      </c>
      <c r="BU536" s="17" t="inlineStr">
        <is>
          <t>Unclassified</t>
        </is>
      </c>
    </row>
    <row r="537" ht="20" customHeight="1">
      <c r="A537" s="15" t="inlineStr">
        <is>
          <t>70010078205</t>
        </is>
      </c>
      <c r="B537" s="15" t="inlineStr">
        <is>
          <t>METOPROLOL SUCCINATE ER 100MG TABLET</t>
        </is>
      </c>
      <c r="C537" s="16" t="n">
        <v>500</v>
      </c>
      <c r="D537" s="16" t="n">
        <v>2</v>
      </c>
      <c r="E537" s="16" t="n">
        <v>2</v>
      </c>
      <c r="F537" s="16" t="n">
        <v>68</v>
      </c>
      <c r="G537" s="16" t="n">
        <v>720</v>
      </c>
      <c r="H537" s="17" t="n">
        <v>0</v>
      </c>
      <c r="I537" s="17" t="n">
        <v>60</v>
      </c>
      <c r="J537" s="17" t="n">
        <v>180</v>
      </c>
      <c r="K537" s="17" t="n">
        <v>360</v>
      </c>
      <c r="L537" s="17" t="n">
        <v>0</v>
      </c>
      <c r="M537" s="17" t="n">
        <v>90</v>
      </c>
      <c r="N537" s="17" t="n">
        <v>30</v>
      </c>
      <c r="O537" s="17" t="n">
        <v>0</v>
      </c>
      <c r="P537" s="17" t="n">
        <v>0</v>
      </c>
      <c r="Q537" s="18" t="n">
        <v>0</v>
      </c>
      <c r="R537" s="16" t="n">
        <v>1.44</v>
      </c>
      <c r="S537" s="17" t="n">
        <v>0</v>
      </c>
      <c r="T537" s="17" t="n">
        <v>0.12</v>
      </c>
      <c r="U537" s="17" t="n">
        <v>0.36</v>
      </c>
      <c r="V537" s="17" t="n">
        <v>0.72</v>
      </c>
      <c r="W537" s="17" t="n">
        <v>0</v>
      </c>
      <c r="X537" s="17" t="n">
        <v>0.18</v>
      </c>
      <c r="Y537" s="17" t="n">
        <v>0.06</v>
      </c>
      <c r="Z537" s="17" t="n">
        <v>0</v>
      </c>
      <c r="AA537" s="17" t="n">
        <v>0</v>
      </c>
      <c r="AB537" s="18" t="n">
        <v>0</v>
      </c>
      <c r="AC537" s="16" t="n">
        <v>0.5600000000000001</v>
      </c>
      <c r="AD537" s="17" t="n">
        <v>2</v>
      </c>
      <c r="AE537" s="17" t="n">
        <v>1.88</v>
      </c>
      <c r="AF537" s="17" t="n">
        <v>1.64</v>
      </c>
      <c r="AG537" s="17" t="n">
        <v>1.28</v>
      </c>
      <c r="AH537" s="17" t="n">
        <v>2</v>
      </c>
      <c r="AI537" s="17" t="n">
        <v>1.82</v>
      </c>
      <c r="AJ537" s="17" t="n">
        <v>1.94</v>
      </c>
      <c r="AK537" s="17" t="n">
        <v>2</v>
      </c>
      <c r="AL537" s="17" t="n">
        <v>2</v>
      </c>
      <c r="AM537" s="18" t="n">
        <v>2</v>
      </c>
      <c r="AN537" s="16" t="n">
        <v>178</v>
      </c>
      <c r="AO537" s="17" t="n">
        <v>0</v>
      </c>
      <c r="AP537" s="17" t="n">
        <v>6</v>
      </c>
      <c r="AQ537" s="17" t="n">
        <v>30</v>
      </c>
      <c r="AR537" s="17" t="n">
        <v>96</v>
      </c>
      <c r="AS537" s="17" t="n">
        <v>0</v>
      </c>
      <c r="AT537" s="17" t="n">
        <v>13</v>
      </c>
      <c r="AU537" s="17" t="n">
        <v>13</v>
      </c>
      <c r="AV537" s="17" t="n">
        <v>0</v>
      </c>
      <c r="AW537" s="17" t="n">
        <v>0</v>
      </c>
      <c r="AX537" s="18" t="n">
        <v>0</v>
      </c>
      <c r="AY537" s="16" t="n">
        <v>98</v>
      </c>
      <c r="AZ537" s="17" t="n">
        <v>0</v>
      </c>
      <c r="BA537" s="17" t="n">
        <v>8</v>
      </c>
      <c r="BB537" s="17" t="n">
        <v>24</v>
      </c>
      <c r="BC537" s="17" t="n">
        <v>49</v>
      </c>
      <c r="BD537" s="17" t="n">
        <v>0</v>
      </c>
      <c r="BE537" s="17" t="n">
        <v>12</v>
      </c>
      <c r="BF537" s="17" t="n">
        <v>4</v>
      </c>
      <c r="BG537" s="17" t="n">
        <v>0</v>
      </c>
      <c r="BH537" s="17" t="n">
        <v>0</v>
      </c>
      <c r="BI537" s="18" t="n">
        <v>0</v>
      </c>
      <c r="BJ537" s="16" t="n">
        <v>80</v>
      </c>
      <c r="BK537" s="17" t="n">
        <v>0</v>
      </c>
      <c r="BL537" s="17" t="n">
        <v>-2</v>
      </c>
      <c r="BM537" s="17" t="n">
        <v>5</v>
      </c>
      <c r="BN537" s="17" t="n">
        <v>47</v>
      </c>
      <c r="BO537" s="17" t="n">
        <v>0</v>
      </c>
      <c r="BP537" s="17" t="n">
        <v>0</v>
      </c>
      <c r="BQ537" s="17" t="n">
        <v>9</v>
      </c>
      <c r="BR537" s="17" t="n">
        <v>0</v>
      </c>
      <c r="BS537" s="17" t="n">
        <v>0</v>
      </c>
      <c r="BT537" s="18" t="n">
        <v>0</v>
      </c>
      <c r="BU537" s="17" t="inlineStr">
        <is>
          <t>Generic Drug</t>
        </is>
      </c>
    </row>
    <row r="538" ht="20" customHeight="1">
      <c r="A538" s="15" t="inlineStr">
        <is>
          <t>70010078305</t>
        </is>
      </c>
      <c r="B538" s="15" t="inlineStr">
        <is>
          <t>METOPROLOL SUCCINATE ER 200MG TABLET</t>
        </is>
      </c>
      <c r="C538" s="16" t="n">
        <v>500</v>
      </c>
      <c r="D538" s="16" t="n">
        <v>0</v>
      </c>
      <c r="E538" s="16" t="n">
        <v>0</v>
      </c>
      <c r="F538" s="16" t="n">
        <v>0</v>
      </c>
      <c r="G538" s="16" t="n">
        <v>330</v>
      </c>
      <c r="H538" s="17" t="n">
        <v>0</v>
      </c>
      <c r="I538" s="17" t="n">
        <v>0</v>
      </c>
      <c r="J538" s="17" t="n">
        <v>150</v>
      </c>
      <c r="K538" s="17" t="n">
        <v>90</v>
      </c>
      <c r="L538" s="17" t="n">
        <v>0</v>
      </c>
      <c r="M538" s="17" t="n">
        <v>0</v>
      </c>
      <c r="N538" s="17" t="n">
        <v>90</v>
      </c>
      <c r="O538" s="17" t="n">
        <v>0</v>
      </c>
      <c r="P538" s="17" t="n">
        <v>0</v>
      </c>
      <c r="Q538" s="18" t="n">
        <v>0</v>
      </c>
      <c r="R538" s="16" t="n">
        <v>0.66</v>
      </c>
      <c r="S538" s="17" t="n">
        <v>0</v>
      </c>
      <c r="T538" s="17" t="n">
        <v>0</v>
      </c>
      <c r="U538" s="17" t="n">
        <v>0.3</v>
      </c>
      <c r="V538" s="17" t="n">
        <v>0.18</v>
      </c>
      <c r="W538" s="17" t="n">
        <v>0</v>
      </c>
      <c r="X538" s="17" t="n">
        <v>0</v>
      </c>
      <c r="Y538" s="17" t="n">
        <v>0.18</v>
      </c>
      <c r="Z538" s="17" t="n">
        <v>0</v>
      </c>
      <c r="AA538" s="17" t="n">
        <v>0</v>
      </c>
      <c r="AB538" s="18" t="n">
        <v>0</v>
      </c>
      <c r="AC538" s="16" t="n">
        <v>-0.66</v>
      </c>
      <c r="AD538" s="17" t="n">
        <v>0</v>
      </c>
      <c r="AE538" s="17" t="n">
        <v>0</v>
      </c>
      <c r="AF538" s="17" t="n">
        <v>-0.3</v>
      </c>
      <c r="AG538" s="17" t="n">
        <v>-0.18</v>
      </c>
      <c r="AH538" s="17" t="n">
        <v>0</v>
      </c>
      <c r="AI538" s="17" t="n">
        <v>0</v>
      </c>
      <c r="AJ538" s="17" t="n">
        <v>-0.18</v>
      </c>
      <c r="AK538" s="17" t="n">
        <v>0</v>
      </c>
      <c r="AL538" s="17" t="n">
        <v>0</v>
      </c>
      <c r="AM538" s="18" t="n">
        <v>0</v>
      </c>
      <c r="AN538" s="16" t="n">
        <v>108</v>
      </c>
      <c r="AO538" s="17" t="n">
        <v>0</v>
      </c>
      <c r="AP538" s="17" t="n">
        <v>0</v>
      </c>
      <c r="AQ538" s="17" t="n">
        <v>42</v>
      </c>
      <c r="AR538" s="17" t="n">
        <v>42</v>
      </c>
      <c r="AS538" s="17" t="n">
        <v>0</v>
      </c>
      <c r="AT538" s="17" t="n">
        <v>0</v>
      </c>
      <c r="AU538" s="17" t="n">
        <v>24</v>
      </c>
      <c r="AV538" s="17" t="n">
        <v>0</v>
      </c>
      <c r="AW538" s="17" t="n">
        <v>0</v>
      </c>
      <c r="AX538" s="18" t="n">
        <v>0</v>
      </c>
      <c r="AY538" s="16" t="n">
        <v>0</v>
      </c>
      <c r="AZ538" s="17" t="n">
        <v>0</v>
      </c>
      <c r="BA538" s="17" t="n">
        <v>0</v>
      </c>
      <c r="BB538" s="17" t="n">
        <v>0</v>
      </c>
      <c r="BC538" s="17" t="n">
        <v>0</v>
      </c>
      <c r="BD538" s="17" t="n">
        <v>0</v>
      </c>
      <c r="BE538" s="17" t="n">
        <v>0</v>
      </c>
      <c r="BF538" s="17" t="n">
        <v>0</v>
      </c>
      <c r="BG538" s="17" t="n">
        <v>0</v>
      </c>
      <c r="BH538" s="17" t="n">
        <v>0</v>
      </c>
      <c r="BI538" s="18" t="n">
        <v>0</v>
      </c>
      <c r="BJ538" s="16" t="n">
        <v>108</v>
      </c>
      <c r="BK538" s="17" t="n">
        <v>0</v>
      </c>
      <c r="BL538" s="17" t="n">
        <v>0</v>
      </c>
      <c r="BM538" s="17" t="n">
        <v>42</v>
      </c>
      <c r="BN538" s="17" t="n">
        <v>42</v>
      </c>
      <c r="BO538" s="17" t="n">
        <v>0</v>
      </c>
      <c r="BP538" s="17" t="n">
        <v>0</v>
      </c>
      <c r="BQ538" s="17" t="n">
        <v>24</v>
      </c>
      <c r="BR538" s="17" t="n">
        <v>0</v>
      </c>
      <c r="BS538" s="17" t="n">
        <v>0</v>
      </c>
      <c r="BT538" s="18" t="n">
        <v>0</v>
      </c>
      <c r="BU538" s="17" t="inlineStr">
        <is>
          <t>Unclassified</t>
        </is>
      </c>
    </row>
    <row r="539" ht="20" customHeight="1">
      <c r="A539" s="15" t="inlineStr">
        <is>
          <t>70010078005</t>
        </is>
      </c>
      <c r="B539" s="15" t="inlineStr">
        <is>
          <t>METOPROLOL SUCCINATE ER 25MG TABLET</t>
        </is>
      </c>
      <c r="C539" s="16" t="n">
        <v>500</v>
      </c>
      <c r="D539" s="16" t="n">
        <v>4</v>
      </c>
      <c r="E539" s="16" t="n">
        <v>4</v>
      </c>
      <c r="F539" s="16" t="n">
        <v>21</v>
      </c>
      <c r="G539" s="16" t="n">
        <v>1140</v>
      </c>
      <c r="H539" s="17" t="n">
        <v>0</v>
      </c>
      <c r="I539" s="17" t="n">
        <v>0</v>
      </c>
      <c r="J539" s="17" t="n">
        <v>660</v>
      </c>
      <c r="K539" s="17" t="n">
        <v>90</v>
      </c>
      <c r="L539" s="17" t="n">
        <v>0</v>
      </c>
      <c r="M539" s="17" t="n">
        <v>90</v>
      </c>
      <c r="N539" s="17" t="n">
        <v>270</v>
      </c>
      <c r="O539" s="17" t="n">
        <v>30</v>
      </c>
      <c r="P539" s="17" t="n">
        <v>0</v>
      </c>
      <c r="Q539" s="18" t="n">
        <v>0</v>
      </c>
      <c r="R539" s="16" t="n">
        <v>2.28</v>
      </c>
      <c r="S539" s="17" t="n">
        <v>0</v>
      </c>
      <c r="T539" s="17" t="n">
        <v>0</v>
      </c>
      <c r="U539" s="17" t="n">
        <v>1.32</v>
      </c>
      <c r="V539" s="17" t="n">
        <v>0.18</v>
      </c>
      <c r="W539" s="17" t="n">
        <v>0</v>
      </c>
      <c r="X539" s="17" t="n">
        <v>0.18</v>
      </c>
      <c r="Y539" s="17" t="n">
        <v>0.54</v>
      </c>
      <c r="Z539" s="17" t="n">
        <v>0.06</v>
      </c>
      <c r="AA539" s="17" t="n">
        <v>0</v>
      </c>
      <c r="AB539" s="18" t="n">
        <v>0</v>
      </c>
      <c r="AC539" s="16" t="n">
        <v>1.72</v>
      </c>
      <c r="AD539" s="17" t="n">
        <v>4</v>
      </c>
      <c r="AE539" s="17" t="n">
        <v>4</v>
      </c>
      <c r="AF539" s="17" t="n">
        <v>2.68</v>
      </c>
      <c r="AG539" s="17" t="n">
        <v>3.82</v>
      </c>
      <c r="AH539" s="17" t="n">
        <v>4</v>
      </c>
      <c r="AI539" s="17" t="n">
        <v>3.82</v>
      </c>
      <c r="AJ539" s="17" t="n">
        <v>3.46</v>
      </c>
      <c r="AK539" s="17" t="n">
        <v>3.94</v>
      </c>
      <c r="AL539" s="17" t="n">
        <v>4</v>
      </c>
      <c r="AM539" s="18" t="n">
        <v>4</v>
      </c>
      <c r="AN539" s="16" t="n">
        <v>99</v>
      </c>
      <c r="AO539" s="17" t="n">
        <v>0</v>
      </c>
      <c r="AP539" s="17" t="n">
        <v>0</v>
      </c>
      <c r="AQ539" s="17" t="n">
        <v>31</v>
      </c>
      <c r="AR539" s="17" t="n">
        <v>0</v>
      </c>
      <c r="AS539" s="17" t="n">
        <v>0</v>
      </c>
      <c r="AT539" s="17" t="n">
        <v>2</v>
      </c>
      <c r="AU539" s="17" t="n">
        <v>42</v>
      </c>
      <c r="AV539" s="17" t="n">
        <v>0</v>
      </c>
      <c r="AW539" s="17" t="n">
        <v>0</v>
      </c>
      <c r="AX539" s="18" t="n">
        <v>0</v>
      </c>
      <c r="AY539" s="16" t="n">
        <v>48</v>
      </c>
      <c r="AZ539" s="17" t="n">
        <v>0</v>
      </c>
      <c r="BA539" s="17" t="n">
        <v>0</v>
      </c>
      <c r="BB539" s="17" t="n">
        <v>28</v>
      </c>
      <c r="BC539" s="17" t="n">
        <v>4</v>
      </c>
      <c r="BD539" s="17" t="n">
        <v>0</v>
      </c>
      <c r="BE539" s="17" t="n">
        <v>4</v>
      </c>
      <c r="BF539" s="17" t="n">
        <v>11</v>
      </c>
      <c r="BG539" s="17" t="n">
        <v>1</v>
      </c>
      <c r="BH539" s="17" t="n">
        <v>0</v>
      </c>
      <c r="BI539" s="18" t="n">
        <v>0</v>
      </c>
      <c r="BJ539" s="16" t="n">
        <v>51</v>
      </c>
      <c r="BK539" s="17" t="n">
        <v>0</v>
      </c>
      <c r="BL539" s="17" t="n">
        <v>0</v>
      </c>
      <c r="BM539" s="17" t="n">
        <v>3</v>
      </c>
      <c r="BN539" s="17" t="n">
        <v>-4</v>
      </c>
      <c r="BO539" s="17" t="n">
        <v>0</v>
      </c>
      <c r="BP539" s="17" t="n">
        <v>-2</v>
      </c>
      <c r="BQ539" s="17" t="n">
        <v>30</v>
      </c>
      <c r="BR539" s="17" t="n">
        <v>-1</v>
      </c>
      <c r="BS539" s="17" t="n">
        <v>0</v>
      </c>
      <c r="BT539" s="18" t="n">
        <v>0</v>
      </c>
      <c r="BU539" s="17" t="inlineStr">
        <is>
          <t>Generic Drug</t>
        </is>
      </c>
    </row>
    <row r="540" ht="20" customHeight="1">
      <c r="A540" s="15" t="inlineStr">
        <is>
          <t>57237010099</t>
        </is>
      </c>
      <c r="B540" s="15" t="inlineStr">
        <is>
          <t>METOPROLOL TARTRATE 25MG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150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150</v>
      </c>
      <c r="O540" s="17" t="n">
        <v>0</v>
      </c>
      <c r="P540" s="17" t="n">
        <v>0</v>
      </c>
      <c r="Q540" s="18" t="n">
        <v>0</v>
      </c>
      <c r="R540" s="16" t="n">
        <v>0.15</v>
      </c>
      <c r="S540" s="17" t="n">
        <v>0</v>
      </c>
      <c r="T540" s="17" t="n">
        <v>0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0.15</v>
      </c>
      <c r="Z540" s="17" t="n">
        <v>0</v>
      </c>
      <c r="AA540" s="17" t="n">
        <v>0</v>
      </c>
      <c r="AB540" s="18" t="n">
        <v>0</v>
      </c>
      <c r="AC540" s="16" t="n">
        <v>-0.15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0</v>
      </c>
      <c r="AI540" s="17" t="n">
        <v>0</v>
      </c>
      <c r="AJ540" s="17" t="n">
        <v>-0.15</v>
      </c>
      <c r="AK540" s="17" t="n">
        <v>0</v>
      </c>
      <c r="AL540" s="17" t="n">
        <v>0</v>
      </c>
      <c r="AM540" s="18" t="n">
        <v>0</v>
      </c>
      <c r="AN540" s="16" t="n">
        <v>23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7" t="n">
        <v>0</v>
      </c>
      <c r="AT540" s="17" t="n">
        <v>0</v>
      </c>
      <c r="AU540" s="17" t="n">
        <v>22</v>
      </c>
      <c r="AV540" s="17" t="n">
        <v>0</v>
      </c>
      <c r="AW540" s="17" t="n">
        <v>0</v>
      </c>
      <c r="AX540" s="18" t="n">
        <v>0</v>
      </c>
      <c r="AY540" s="16" t="n">
        <v>0</v>
      </c>
      <c r="AZ540" s="17" t="n">
        <v>0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7" t="n">
        <v>0</v>
      </c>
      <c r="BI540" s="18" t="n">
        <v>0</v>
      </c>
      <c r="BJ540" s="16" t="n">
        <v>23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22</v>
      </c>
      <c r="BR540" s="17" t="n">
        <v>0</v>
      </c>
      <c r="BS540" s="17" t="n">
        <v>0</v>
      </c>
      <c r="BT540" s="18" t="n">
        <v>0</v>
      </c>
      <c r="BU540" s="17" t="inlineStr">
        <is>
          <t>Unclassified</t>
        </is>
      </c>
    </row>
    <row r="541" ht="20" customHeight="1">
      <c r="A541" s="15" t="inlineStr">
        <is>
          <t>57237010199</t>
        </is>
      </c>
      <c r="B541" s="15" t="inlineStr">
        <is>
          <t>METOPROLOL TARTRATE 50MG TABLET</t>
        </is>
      </c>
      <c r="C541" s="16" t="n">
        <v>1000</v>
      </c>
      <c r="D541" s="16" t="n">
        <v>0</v>
      </c>
      <c r="E541" s="16" t="n">
        <v>0</v>
      </c>
      <c r="F541" s="16" t="n">
        <v>0</v>
      </c>
      <c r="G541" s="16" t="n">
        <v>240</v>
      </c>
      <c r="H541" s="17" t="n">
        <v>0</v>
      </c>
      <c r="I541" s="17" t="n">
        <v>0</v>
      </c>
      <c r="J541" s="17" t="n">
        <v>180</v>
      </c>
      <c r="K541" s="17" t="n">
        <v>60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8" t="n">
        <v>0</v>
      </c>
      <c r="R541" s="16" t="n">
        <v>0.24</v>
      </c>
      <c r="S541" s="17" t="n">
        <v>0</v>
      </c>
      <c r="T541" s="17" t="n">
        <v>0</v>
      </c>
      <c r="U541" s="17" t="n">
        <v>0.18</v>
      </c>
      <c r="V541" s="17" t="n">
        <v>0.06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8" t="n">
        <v>0</v>
      </c>
      <c r="AC541" s="16" t="n">
        <v>-0.24</v>
      </c>
      <c r="AD541" s="17" t="n">
        <v>0</v>
      </c>
      <c r="AE541" s="17" t="n">
        <v>0</v>
      </c>
      <c r="AF541" s="17" t="n">
        <v>-0.18</v>
      </c>
      <c r="AG541" s="17" t="n">
        <v>-0.06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8" t="n">
        <v>0</v>
      </c>
      <c r="AN541" s="16" t="n">
        <v>4</v>
      </c>
      <c r="AO541" s="17" t="n">
        <v>0</v>
      </c>
      <c r="AP541" s="17" t="n">
        <v>0</v>
      </c>
      <c r="AQ541" s="17" t="n">
        <v>3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8" t="n">
        <v>0</v>
      </c>
      <c r="AY541" s="16" t="n">
        <v>0</v>
      </c>
      <c r="AZ541" s="17" t="n">
        <v>0</v>
      </c>
      <c r="BA541" s="17" t="n">
        <v>0</v>
      </c>
      <c r="BB541" s="17" t="n">
        <v>0</v>
      </c>
      <c r="BC541" s="17" t="n">
        <v>0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8" t="n">
        <v>0</v>
      </c>
      <c r="BJ541" s="16" t="n">
        <v>4</v>
      </c>
      <c r="BK541" s="17" t="n">
        <v>0</v>
      </c>
      <c r="BL541" s="17" t="n">
        <v>0</v>
      </c>
      <c r="BM541" s="17" t="n">
        <v>3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7" t="n">
        <v>0</v>
      </c>
      <c r="BT541" s="18" t="n">
        <v>0</v>
      </c>
      <c r="BU541" s="17" t="inlineStr">
        <is>
          <t>Unclassified</t>
        </is>
      </c>
    </row>
    <row r="542" ht="20" customHeight="1">
      <c r="A542" s="15" t="inlineStr">
        <is>
          <t>00713063737</t>
        </is>
      </c>
      <c r="B542" s="15" t="inlineStr">
        <is>
          <t>METRONIDAZOLE 0.75 % EXTERNAL GEL</t>
        </is>
      </c>
      <c r="C542" s="16" t="n">
        <v>45</v>
      </c>
      <c r="D542" s="16" t="n">
        <v>0</v>
      </c>
      <c r="E542" s="16" t="n">
        <v>0</v>
      </c>
      <c r="F542" s="16" t="n">
        <v>0</v>
      </c>
      <c r="G542" s="16" t="n">
        <v>45</v>
      </c>
      <c r="H542" s="17" t="n">
        <v>0</v>
      </c>
      <c r="I542" s="17" t="n">
        <v>0</v>
      </c>
      <c r="J542" s="17" t="n">
        <v>0</v>
      </c>
      <c r="K542" s="17" t="n">
        <v>45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8" t="n">
        <v>0</v>
      </c>
      <c r="R542" s="16" t="n">
        <v>1</v>
      </c>
      <c r="S542" s="17" t="n">
        <v>0</v>
      </c>
      <c r="T542" s="17" t="n">
        <v>0</v>
      </c>
      <c r="U542" s="17" t="n">
        <v>0</v>
      </c>
      <c r="V542" s="17" t="n">
        <v>1</v>
      </c>
      <c r="W542" s="17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8" t="n">
        <v>0</v>
      </c>
      <c r="AC542" s="16" t="n">
        <v>-1</v>
      </c>
      <c r="AD542" s="17" t="n">
        <v>0</v>
      </c>
      <c r="AE542" s="17" t="n">
        <v>0</v>
      </c>
      <c r="AF542" s="17" t="n">
        <v>0</v>
      </c>
      <c r="AG542" s="17" t="n">
        <v>-1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8" t="n">
        <v>0</v>
      </c>
      <c r="AN542" s="16" t="n">
        <v>45</v>
      </c>
      <c r="AO542" s="17" t="n">
        <v>0</v>
      </c>
      <c r="AP542" s="17" t="n">
        <v>0</v>
      </c>
      <c r="AQ542" s="17" t="n">
        <v>0</v>
      </c>
      <c r="AR542" s="17" t="n">
        <v>44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8" t="n">
        <v>0</v>
      </c>
      <c r="AY542" s="16" t="n">
        <v>0</v>
      </c>
      <c r="AZ542" s="17" t="n">
        <v>0</v>
      </c>
      <c r="BA542" s="17" t="n">
        <v>0</v>
      </c>
      <c r="BB542" s="17" t="n">
        <v>0</v>
      </c>
      <c r="BC542" s="17" t="n">
        <v>0</v>
      </c>
      <c r="BD542" s="17" t="n">
        <v>0</v>
      </c>
      <c r="BE542" s="17" t="n">
        <v>0</v>
      </c>
      <c r="BF542" s="17" t="n">
        <v>0</v>
      </c>
      <c r="BG542" s="17" t="n">
        <v>0</v>
      </c>
      <c r="BH542" s="17" t="n">
        <v>0</v>
      </c>
      <c r="BI542" s="18" t="n">
        <v>0</v>
      </c>
      <c r="BJ542" s="16" t="n">
        <v>45</v>
      </c>
      <c r="BK542" s="17" t="n">
        <v>0</v>
      </c>
      <c r="BL542" s="17" t="n">
        <v>0</v>
      </c>
      <c r="BM542" s="17" t="n">
        <v>0</v>
      </c>
      <c r="BN542" s="17" t="n">
        <v>44</v>
      </c>
      <c r="BO542" s="17" t="n">
        <v>0</v>
      </c>
      <c r="BP542" s="17" t="n">
        <v>0</v>
      </c>
      <c r="BQ542" s="17" t="n">
        <v>0</v>
      </c>
      <c r="BR542" s="17" t="n">
        <v>0</v>
      </c>
      <c r="BS542" s="17" t="n">
        <v>0</v>
      </c>
      <c r="BT542" s="18" t="n">
        <v>0</v>
      </c>
      <c r="BU542" s="17" t="inlineStr">
        <is>
          <t>Unclassified</t>
        </is>
      </c>
    </row>
    <row r="543" ht="20" customHeight="1">
      <c r="A543" s="15" t="inlineStr">
        <is>
          <t>73473030370</t>
        </is>
      </c>
      <c r="B543" s="15" t="inlineStr">
        <is>
          <t>METRONIDAZOLE 0.75% VAGINAL GEL</t>
        </is>
      </c>
      <c r="C543" s="16" t="n">
        <v>70</v>
      </c>
      <c r="D543" s="16" t="n">
        <v>0</v>
      </c>
      <c r="E543" s="16" t="n">
        <v>0</v>
      </c>
      <c r="F543" s="16" t="n">
        <v>0</v>
      </c>
      <c r="G543" s="16" t="n">
        <v>140</v>
      </c>
      <c r="H543" s="17" t="n">
        <v>0</v>
      </c>
      <c r="I543" s="17" t="n">
        <v>0</v>
      </c>
      <c r="J543" s="17" t="n">
        <v>70</v>
      </c>
      <c r="K543" s="17" t="n">
        <v>0</v>
      </c>
      <c r="L543" s="17" t="n">
        <v>0</v>
      </c>
      <c r="M543" s="17" t="n">
        <v>0</v>
      </c>
      <c r="N543" s="17" t="n">
        <v>70</v>
      </c>
      <c r="O543" s="17" t="n">
        <v>0</v>
      </c>
      <c r="P543" s="17" t="n">
        <v>0</v>
      </c>
      <c r="Q543" s="18" t="n">
        <v>0</v>
      </c>
      <c r="R543" s="16" t="n">
        <v>2</v>
      </c>
      <c r="S543" s="17" t="n">
        <v>0</v>
      </c>
      <c r="T543" s="17" t="n">
        <v>0</v>
      </c>
      <c r="U543" s="17" t="n">
        <v>1</v>
      </c>
      <c r="V543" s="17" t="n">
        <v>0</v>
      </c>
      <c r="W543" s="17" t="n">
        <v>0</v>
      </c>
      <c r="X543" s="17" t="n">
        <v>0</v>
      </c>
      <c r="Y543" s="17" t="n">
        <v>1</v>
      </c>
      <c r="Z543" s="17" t="n">
        <v>0</v>
      </c>
      <c r="AA543" s="17" t="n">
        <v>0</v>
      </c>
      <c r="AB543" s="18" t="n">
        <v>0</v>
      </c>
      <c r="AC543" s="16" t="n">
        <v>-2</v>
      </c>
      <c r="AD543" s="17" t="n">
        <v>0</v>
      </c>
      <c r="AE543" s="17" t="n">
        <v>0</v>
      </c>
      <c r="AF543" s="17" t="n">
        <v>-1</v>
      </c>
      <c r="AG543" s="17" t="n">
        <v>0</v>
      </c>
      <c r="AH543" s="17" t="n">
        <v>0</v>
      </c>
      <c r="AI543" s="17" t="n">
        <v>0</v>
      </c>
      <c r="AJ543" s="17" t="n">
        <v>-1</v>
      </c>
      <c r="AK543" s="17" t="n">
        <v>0</v>
      </c>
      <c r="AL543" s="17" t="n">
        <v>0</v>
      </c>
      <c r="AM543" s="18" t="n">
        <v>0</v>
      </c>
      <c r="AN543" s="16" t="n">
        <v>35</v>
      </c>
      <c r="AO543" s="17" t="n">
        <v>0</v>
      </c>
      <c r="AP543" s="17" t="n">
        <v>0</v>
      </c>
      <c r="AQ543" s="17" t="n">
        <v>12</v>
      </c>
      <c r="AR543" s="17" t="n">
        <v>0</v>
      </c>
      <c r="AS543" s="17" t="n">
        <v>0</v>
      </c>
      <c r="AT543" s="17" t="n">
        <v>0</v>
      </c>
      <c r="AU543" s="17" t="n">
        <v>22</v>
      </c>
      <c r="AV543" s="17" t="n">
        <v>0</v>
      </c>
      <c r="AW543" s="17" t="n">
        <v>0</v>
      </c>
      <c r="AX543" s="18" t="n">
        <v>0</v>
      </c>
      <c r="AY543" s="16" t="n">
        <v>0</v>
      </c>
      <c r="AZ543" s="17" t="n">
        <v>0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8" t="n">
        <v>0</v>
      </c>
      <c r="BJ543" s="16" t="n">
        <v>35</v>
      </c>
      <c r="BK543" s="17" t="n">
        <v>0</v>
      </c>
      <c r="BL543" s="17" t="n">
        <v>0</v>
      </c>
      <c r="BM543" s="17" t="n">
        <v>12</v>
      </c>
      <c r="BN543" s="17" t="n">
        <v>0</v>
      </c>
      <c r="BO543" s="17" t="n">
        <v>0</v>
      </c>
      <c r="BP543" s="17" t="n">
        <v>0</v>
      </c>
      <c r="BQ543" s="17" t="n">
        <v>22</v>
      </c>
      <c r="BR543" s="17" t="n">
        <v>0</v>
      </c>
      <c r="BS543" s="17" t="n">
        <v>0</v>
      </c>
      <c r="BT543" s="18" t="n">
        <v>0</v>
      </c>
      <c r="BU543" s="17" t="inlineStr">
        <is>
          <t>Unclassified</t>
        </is>
      </c>
    </row>
    <row r="544" ht="20" customHeight="1">
      <c r="A544" s="15" t="inlineStr">
        <is>
          <t>72578000805</t>
        </is>
      </c>
      <c r="B544" s="15" t="inlineStr">
        <is>
          <t>METRONIDAZOLE 500MG TABLET</t>
        </is>
      </c>
      <c r="C544" s="16" t="n">
        <v>500</v>
      </c>
      <c r="D544" s="16" t="n">
        <v>0</v>
      </c>
      <c r="E544" s="16" t="n">
        <v>0</v>
      </c>
      <c r="F544" s="16" t="n">
        <v>0</v>
      </c>
      <c r="G544" s="16" t="n">
        <v>65</v>
      </c>
      <c r="H544" s="17" t="n">
        <v>0</v>
      </c>
      <c r="I544" s="17" t="n">
        <v>0</v>
      </c>
      <c r="J544" s="17" t="n">
        <v>17</v>
      </c>
      <c r="K544" s="17" t="n">
        <v>0</v>
      </c>
      <c r="L544" s="17" t="n">
        <v>0</v>
      </c>
      <c r="M544" s="17" t="n">
        <v>0</v>
      </c>
      <c r="N544" s="17" t="n">
        <v>48</v>
      </c>
      <c r="O544" s="17" t="n">
        <v>0</v>
      </c>
      <c r="P544" s="17" t="n">
        <v>0</v>
      </c>
      <c r="Q544" s="18" t="n">
        <v>0</v>
      </c>
      <c r="R544" s="16" t="n">
        <v>0.13</v>
      </c>
      <c r="S544" s="17" t="n">
        <v>0</v>
      </c>
      <c r="T544" s="17" t="n">
        <v>0</v>
      </c>
      <c r="U544" s="17" t="n">
        <v>0.034</v>
      </c>
      <c r="V544" s="17" t="n">
        <v>0</v>
      </c>
      <c r="W544" s="17" t="n">
        <v>0</v>
      </c>
      <c r="X544" s="17" t="n">
        <v>0</v>
      </c>
      <c r="Y544" s="17" t="n">
        <v>0.096</v>
      </c>
      <c r="Z544" s="17" t="n">
        <v>0</v>
      </c>
      <c r="AA544" s="17" t="n">
        <v>0</v>
      </c>
      <c r="AB544" s="18" t="n">
        <v>0</v>
      </c>
      <c r="AC544" s="16" t="n">
        <v>-0.13</v>
      </c>
      <c r="AD544" s="17" t="n">
        <v>0</v>
      </c>
      <c r="AE544" s="17" t="n">
        <v>0</v>
      </c>
      <c r="AF544" s="17" t="n">
        <v>-0.034</v>
      </c>
      <c r="AG544" s="17" t="n">
        <v>0</v>
      </c>
      <c r="AH544" s="17" t="n">
        <v>0</v>
      </c>
      <c r="AI544" s="17" t="n">
        <v>0</v>
      </c>
      <c r="AJ544" s="17" t="n">
        <v>-0.096</v>
      </c>
      <c r="AK544" s="17" t="n">
        <v>0</v>
      </c>
      <c r="AL544" s="17" t="n">
        <v>0</v>
      </c>
      <c r="AM544" s="18" t="n">
        <v>0</v>
      </c>
      <c r="AN544" s="16" t="n">
        <v>46</v>
      </c>
      <c r="AO544" s="17" t="n">
        <v>0</v>
      </c>
      <c r="AP544" s="17" t="n">
        <v>0</v>
      </c>
      <c r="AQ544" s="17" t="n">
        <v>0</v>
      </c>
      <c r="AR544" s="17" t="n">
        <v>0</v>
      </c>
      <c r="AS544" s="17" t="n">
        <v>0</v>
      </c>
      <c r="AT544" s="17" t="n">
        <v>0</v>
      </c>
      <c r="AU544" s="17" t="n">
        <v>45</v>
      </c>
      <c r="AV544" s="17" t="n">
        <v>0</v>
      </c>
      <c r="AW544" s="17" t="n">
        <v>0</v>
      </c>
      <c r="AX544" s="18" t="n">
        <v>0</v>
      </c>
      <c r="AY544" s="16" t="n">
        <v>0</v>
      </c>
      <c r="AZ544" s="17" t="n">
        <v>0</v>
      </c>
      <c r="BA544" s="17" t="n">
        <v>0</v>
      </c>
      <c r="BB544" s="17" t="n">
        <v>0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7" t="n">
        <v>0</v>
      </c>
      <c r="BI544" s="18" t="n">
        <v>0</v>
      </c>
      <c r="BJ544" s="16" t="n">
        <v>46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0</v>
      </c>
      <c r="BP544" s="17" t="n">
        <v>0</v>
      </c>
      <c r="BQ544" s="17" t="n">
        <v>45</v>
      </c>
      <c r="BR544" s="17" t="n">
        <v>0</v>
      </c>
      <c r="BS544" s="17" t="n">
        <v>0</v>
      </c>
      <c r="BT544" s="18" t="n">
        <v>0</v>
      </c>
      <c r="BU544" s="17" t="inlineStr">
        <is>
          <t>Unclassified</t>
        </is>
      </c>
    </row>
    <row r="545" ht="20" customHeight="1">
      <c r="A545" s="15" t="inlineStr">
        <is>
          <t>00168032346</t>
        </is>
      </c>
      <c r="B545" s="15" t="inlineStr">
        <is>
          <t>METRONIDAZOLE TOPICAL 0.75% CREAM</t>
        </is>
      </c>
      <c r="C545" s="16" t="n">
        <v>45</v>
      </c>
      <c r="D545" s="16" t="n">
        <v>0</v>
      </c>
      <c r="E545" s="16" t="n">
        <v>0</v>
      </c>
      <c r="F545" s="16" t="n">
        <v>0</v>
      </c>
      <c r="G545" s="16" t="n">
        <v>45</v>
      </c>
      <c r="H545" s="17" t="n">
        <v>0</v>
      </c>
      <c r="I545" s="17" t="n">
        <v>45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8" t="n">
        <v>0</v>
      </c>
      <c r="R545" s="16" t="n">
        <v>1</v>
      </c>
      <c r="S545" s="17" t="n">
        <v>0</v>
      </c>
      <c r="T545" s="17" t="n">
        <v>1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8" t="n">
        <v>0</v>
      </c>
      <c r="AC545" s="16" t="n">
        <v>-1</v>
      </c>
      <c r="AD545" s="17" t="n">
        <v>0</v>
      </c>
      <c r="AE545" s="17" t="n">
        <v>-1</v>
      </c>
      <c r="AF545" s="17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8" t="n">
        <v>0</v>
      </c>
      <c r="AN545" s="16" t="n">
        <v>27</v>
      </c>
      <c r="AO545" s="17" t="n">
        <v>0</v>
      </c>
      <c r="AP545" s="17" t="n">
        <v>13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  <c r="AW545" s="17" t="n">
        <v>0</v>
      </c>
      <c r="AX545" s="18" t="n">
        <v>0</v>
      </c>
      <c r="AY545" s="16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8" t="n">
        <v>0</v>
      </c>
      <c r="BJ545" s="16" t="n">
        <v>27</v>
      </c>
      <c r="BK545" s="17" t="n">
        <v>0</v>
      </c>
      <c r="BL545" s="17" t="n">
        <v>13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8" t="n">
        <v>0</v>
      </c>
      <c r="BU545" s="17" t="inlineStr">
        <is>
          <t>Unclassified</t>
        </is>
      </c>
    </row>
    <row r="546" ht="20" customHeight="1">
      <c r="A546" s="15" t="inlineStr">
        <is>
          <t>64980043401</t>
        </is>
      </c>
      <c r="B546" s="15" t="inlineStr">
        <is>
          <t>MIDODRINE 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12</v>
      </c>
      <c r="H546" s="17" t="n">
        <v>0</v>
      </c>
      <c r="I546" s="17" t="n">
        <v>0</v>
      </c>
      <c r="J546" s="17" t="n">
        <v>12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8" t="n">
        <v>0</v>
      </c>
      <c r="R546" s="16" t="n">
        <v>0.12</v>
      </c>
      <c r="S546" s="17" t="n">
        <v>0</v>
      </c>
      <c r="T546" s="17" t="n">
        <v>0</v>
      </c>
      <c r="U546" s="17" t="n">
        <v>0.12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8" t="n">
        <v>0</v>
      </c>
      <c r="AC546" s="16" t="n">
        <v>-0.12</v>
      </c>
      <c r="AD546" s="17" t="n">
        <v>0</v>
      </c>
      <c r="AE546" s="17" t="n">
        <v>0</v>
      </c>
      <c r="AF546" s="17" t="n">
        <v>-0.12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8" t="n">
        <v>0</v>
      </c>
      <c r="AN546" s="16" t="n">
        <v>2</v>
      </c>
      <c r="AO546" s="17" t="n">
        <v>0</v>
      </c>
      <c r="AP546" s="17" t="n">
        <v>0</v>
      </c>
      <c r="AQ546" s="17" t="n">
        <v>2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8" t="n">
        <v>0</v>
      </c>
      <c r="AY546" s="16" t="n">
        <v>0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7" t="n">
        <v>0</v>
      </c>
      <c r="BI546" s="18" t="n">
        <v>0</v>
      </c>
      <c r="BJ546" s="16" t="n">
        <v>2</v>
      </c>
      <c r="BK546" s="17" t="n">
        <v>0</v>
      </c>
      <c r="BL546" s="17" t="n">
        <v>0</v>
      </c>
      <c r="BM546" s="17" t="n">
        <v>2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7" t="n">
        <v>0</v>
      </c>
      <c r="BT546" s="18" t="n">
        <v>0</v>
      </c>
      <c r="BU546" s="17" t="inlineStr">
        <is>
          <t>Unclassified</t>
        </is>
      </c>
    </row>
    <row r="547" ht="20" customHeight="1">
      <c r="A547" s="15" t="inlineStr">
        <is>
          <t>24208037705</t>
        </is>
      </c>
      <c r="B547" s="15" t="inlineStr">
        <is>
          <t>MIEBO 1.338 GM/ML OPHTHALMIC SOLUTION</t>
        </is>
      </c>
      <c r="C547" s="16" t="n">
        <v>3</v>
      </c>
      <c r="D547" s="16" t="n">
        <v>20</v>
      </c>
      <c r="E547" s="16" t="n">
        <v>20</v>
      </c>
      <c r="F547" s="16" t="n">
        <v>803</v>
      </c>
      <c r="G547" s="16" t="n">
        <v>57</v>
      </c>
      <c r="H547" s="17" t="n">
        <v>0</v>
      </c>
      <c r="I547" s="17" t="n">
        <v>0</v>
      </c>
      <c r="J547" s="17" t="n">
        <v>51</v>
      </c>
      <c r="K547" s="17" t="n">
        <v>0</v>
      </c>
      <c r="L547" s="17" t="n">
        <v>0</v>
      </c>
      <c r="M547" s="17" t="n">
        <v>0</v>
      </c>
      <c r="N547" s="17" t="n">
        <v>6</v>
      </c>
      <c r="O547" s="17" t="n">
        <v>0</v>
      </c>
      <c r="P547" s="17" t="n">
        <v>0</v>
      </c>
      <c r="Q547" s="18" t="n">
        <v>0</v>
      </c>
      <c r="R547" s="16" t="n">
        <v>19</v>
      </c>
      <c r="S547" s="17" t="n">
        <v>0</v>
      </c>
      <c r="T547" s="17" t="n">
        <v>0</v>
      </c>
      <c r="U547" s="17" t="n">
        <v>17</v>
      </c>
      <c r="V547" s="17" t="n">
        <v>0</v>
      </c>
      <c r="W547" s="17" t="n">
        <v>0</v>
      </c>
      <c r="X547" s="17" t="n">
        <v>0</v>
      </c>
      <c r="Y547" s="17" t="n">
        <v>2</v>
      </c>
      <c r="Z547" s="17" t="n">
        <v>0</v>
      </c>
      <c r="AA547" s="17" t="n">
        <v>0</v>
      </c>
      <c r="AB547" s="18" t="n">
        <v>0</v>
      </c>
      <c r="AC547" s="16" t="n">
        <v>1</v>
      </c>
      <c r="AD547" s="17" t="n">
        <v>20</v>
      </c>
      <c r="AE547" s="17" t="n">
        <v>20</v>
      </c>
      <c r="AF547" s="17" t="n">
        <v>3</v>
      </c>
      <c r="AG547" s="17" t="n">
        <v>20</v>
      </c>
      <c r="AH547" s="17" t="n">
        <v>20</v>
      </c>
      <c r="AI547" s="17" t="n">
        <v>20</v>
      </c>
      <c r="AJ547" s="17" t="n">
        <v>18</v>
      </c>
      <c r="AK547" s="17" t="n">
        <v>20</v>
      </c>
      <c r="AL547" s="17" t="n">
        <v>20</v>
      </c>
      <c r="AM547" s="18" t="n">
        <v>20</v>
      </c>
      <c r="AN547" s="16" t="n">
        <v>14841</v>
      </c>
      <c r="AO547" s="17" t="n">
        <v>0</v>
      </c>
      <c r="AP547" s="17" t="n">
        <v>0</v>
      </c>
      <c r="AQ547" s="17" t="n">
        <v>13001</v>
      </c>
      <c r="AR547" s="17" t="n">
        <v>0</v>
      </c>
      <c r="AS547" s="17" t="n">
        <v>0</v>
      </c>
      <c r="AT547" s="17" t="n">
        <v>0</v>
      </c>
      <c r="AU547" s="17" t="n">
        <v>1603</v>
      </c>
      <c r="AV547" s="17" t="n">
        <v>0</v>
      </c>
      <c r="AW547" s="17" t="n">
        <v>0</v>
      </c>
      <c r="AX547" s="18" t="n">
        <v>0</v>
      </c>
      <c r="AY547" s="16" t="n">
        <v>15257</v>
      </c>
      <c r="AZ547" s="17" t="n">
        <v>0</v>
      </c>
      <c r="BA547" s="17" t="n">
        <v>0</v>
      </c>
      <c r="BB547" s="17" t="n">
        <v>13651</v>
      </c>
      <c r="BC547" s="17" t="n">
        <v>0</v>
      </c>
      <c r="BD547" s="17" t="n">
        <v>0</v>
      </c>
      <c r="BE547" s="17" t="n">
        <v>0</v>
      </c>
      <c r="BF547" s="17" t="n">
        <v>1606</v>
      </c>
      <c r="BG547" s="17" t="n">
        <v>0</v>
      </c>
      <c r="BH547" s="17" t="n">
        <v>0</v>
      </c>
      <c r="BI547" s="18" t="n">
        <v>0</v>
      </c>
      <c r="BJ547" s="16" t="n">
        <v>-416</v>
      </c>
      <c r="BK547" s="17" t="n">
        <v>0</v>
      </c>
      <c r="BL547" s="17" t="n">
        <v>0</v>
      </c>
      <c r="BM547" s="17" t="n">
        <v>-650</v>
      </c>
      <c r="BN547" s="17" t="n">
        <v>0</v>
      </c>
      <c r="BO547" s="17" t="n">
        <v>0</v>
      </c>
      <c r="BP547" s="17" t="n">
        <v>0</v>
      </c>
      <c r="BQ547" s="17" t="n">
        <v>-3</v>
      </c>
      <c r="BR547" s="17" t="n">
        <v>0</v>
      </c>
      <c r="BS547" s="17" t="n">
        <v>0</v>
      </c>
      <c r="BT547" s="18" t="n">
        <v>0</v>
      </c>
      <c r="BU547" s="17" t="inlineStr">
        <is>
          <t>Branded Drug</t>
        </is>
      </c>
    </row>
    <row r="548" ht="20" customHeight="1">
      <c r="A548" s="15" t="inlineStr">
        <is>
          <t>53489038601</t>
        </is>
      </c>
      <c r="B548" s="15" t="inlineStr">
        <is>
          <t>MINOXIDIL 2.5MG TABLET</t>
        </is>
      </c>
      <c r="C548" s="16" t="n">
        <v>100</v>
      </c>
      <c r="D548" s="16" t="n">
        <v>0</v>
      </c>
      <c r="E548" s="16" t="n">
        <v>0</v>
      </c>
      <c r="F548" s="16" t="n">
        <v>0</v>
      </c>
      <c r="G548" s="16" t="n">
        <v>30</v>
      </c>
      <c r="H548" s="17" t="n">
        <v>0</v>
      </c>
      <c r="I548" s="17" t="n">
        <v>0</v>
      </c>
      <c r="J548" s="17" t="n">
        <v>0</v>
      </c>
      <c r="K548" s="17" t="n">
        <v>30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8" t="n">
        <v>0</v>
      </c>
      <c r="R548" s="16" t="n">
        <v>0.3</v>
      </c>
      <c r="S548" s="17" t="n">
        <v>0</v>
      </c>
      <c r="T548" s="17" t="n">
        <v>0</v>
      </c>
      <c r="U548" s="17" t="n">
        <v>0</v>
      </c>
      <c r="V548" s="17" t="n">
        <v>0.3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8" t="n">
        <v>0</v>
      </c>
      <c r="AC548" s="16" t="n">
        <v>-0.3</v>
      </c>
      <c r="AD548" s="17" t="n">
        <v>0</v>
      </c>
      <c r="AE548" s="17" t="n">
        <v>0</v>
      </c>
      <c r="AF548" s="17" t="n">
        <v>0</v>
      </c>
      <c r="AG548" s="17" t="n">
        <v>-0.3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8" t="n">
        <v>0</v>
      </c>
      <c r="AN548" s="16" t="n">
        <v>3</v>
      </c>
      <c r="AO548" s="17" t="n">
        <v>0</v>
      </c>
      <c r="AP548" s="17" t="n">
        <v>0</v>
      </c>
      <c r="AQ548" s="17" t="n">
        <v>0</v>
      </c>
      <c r="AR548" s="17" t="n">
        <v>2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8" t="n">
        <v>0</v>
      </c>
      <c r="AY548" s="16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7" t="n">
        <v>0</v>
      </c>
      <c r="BG548" s="17" t="n">
        <v>0</v>
      </c>
      <c r="BH548" s="17" t="n">
        <v>0</v>
      </c>
      <c r="BI548" s="18" t="n">
        <v>0</v>
      </c>
      <c r="BJ548" s="16" t="n">
        <v>3</v>
      </c>
      <c r="BK548" s="17" t="n">
        <v>0</v>
      </c>
      <c r="BL548" s="17" t="n">
        <v>0</v>
      </c>
      <c r="BM548" s="17" t="n">
        <v>0</v>
      </c>
      <c r="BN548" s="17" t="n">
        <v>2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7" t="n">
        <v>0</v>
      </c>
      <c r="BT548" s="18" t="n">
        <v>0</v>
      </c>
      <c r="BU548" s="17" t="inlineStr">
        <is>
          <t>Unclassified</t>
        </is>
      </c>
    </row>
    <row r="549" ht="20" customHeight="1">
      <c r="A549" s="15" t="inlineStr">
        <is>
          <t>70710115903</t>
        </is>
      </c>
      <c r="B549" s="15" t="inlineStr">
        <is>
          <t>MIRABEGRON ER 25MG TABLET</t>
        </is>
      </c>
      <c r="C549" s="16" t="n">
        <v>30</v>
      </c>
      <c r="D549" s="16" t="n">
        <v>2</v>
      </c>
      <c r="E549" s="16" t="n">
        <v>2</v>
      </c>
      <c r="F549" s="16" t="n">
        <v>325</v>
      </c>
      <c r="G549" s="16" t="n">
        <v>120</v>
      </c>
      <c r="H549" s="17" t="n">
        <v>0</v>
      </c>
      <c r="I549" s="17" t="n">
        <v>0</v>
      </c>
      <c r="J549" s="17" t="n">
        <v>60</v>
      </c>
      <c r="K549" s="17" t="n">
        <v>60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8" t="n">
        <v>0</v>
      </c>
      <c r="R549" s="16" t="n">
        <v>4</v>
      </c>
      <c r="S549" s="17" t="n">
        <v>0</v>
      </c>
      <c r="T549" s="17" t="n">
        <v>0</v>
      </c>
      <c r="U549" s="17" t="n">
        <v>2</v>
      </c>
      <c r="V549" s="17" t="n">
        <v>2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8" t="n">
        <v>0</v>
      </c>
      <c r="AC549" s="16" t="n">
        <v>-2</v>
      </c>
      <c r="AD549" s="17" t="n">
        <v>2</v>
      </c>
      <c r="AE549" s="17" t="n">
        <v>2</v>
      </c>
      <c r="AF549" s="17" t="n">
        <v>0</v>
      </c>
      <c r="AG549" s="17" t="n">
        <v>0</v>
      </c>
      <c r="AH549" s="17" t="n">
        <v>2</v>
      </c>
      <c r="AI549" s="17" t="n">
        <v>2</v>
      </c>
      <c r="AJ549" s="17" t="n">
        <v>2</v>
      </c>
      <c r="AK549" s="17" t="n">
        <v>2</v>
      </c>
      <c r="AL549" s="17" t="n">
        <v>2</v>
      </c>
      <c r="AM549" s="18" t="n">
        <v>2</v>
      </c>
      <c r="AN549" s="16" t="n">
        <v>952</v>
      </c>
      <c r="AO549" s="17" t="n">
        <v>0</v>
      </c>
      <c r="AP549" s="17" t="n">
        <v>0</v>
      </c>
      <c r="AQ549" s="17" t="n">
        <v>451</v>
      </c>
      <c r="AR549" s="17" t="n">
        <v>440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8" t="n">
        <v>0</v>
      </c>
      <c r="AY549" s="16" t="n">
        <v>1300</v>
      </c>
      <c r="AZ549" s="17" t="n">
        <v>0</v>
      </c>
      <c r="BA549" s="17" t="n">
        <v>0</v>
      </c>
      <c r="BB549" s="17" t="n">
        <v>650</v>
      </c>
      <c r="BC549" s="17" t="n">
        <v>650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8" t="n">
        <v>0</v>
      </c>
      <c r="BJ549" s="16" t="n">
        <v>-348</v>
      </c>
      <c r="BK549" s="17" t="n">
        <v>0</v>
      </c>
      <c r="BL549" s="17" t="n">
        <v>0</v>
      </c>
      <c r="BM549" s="17" t="n">
        <v>-199</v>
      </c>
      <c r="BN549" s="17" t="n">
        <v>-210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8" t="n">
        <v>0</v>
      </c>
      <c r="BU549" s="17" t="inlineStr">
        <is>
          <t>Generic Drug</t>
        </is>
      </c>
    </row>
    <row r="550" ht="20" customHeight="1">
      <c r="A550" s="15" t="inlineStr">
        <is>
          <t>13107003105</t>
        </is>
      </c>
      <c r="B550" s="15" t="inlineStr">
        <is>
          <t>MIRTAZAPINE 15MG TABLET</t>
        </is>
      </c>
      <c r="C550" s="16" t="n">
        <v>500</v>
      </c>
      <c r="D550" s="16" t="n">
        <v>0</v>
      </c>
      <c r="E550" s="16" t="n">
        <v>0</v>
      </c>
      <c r="F550" s="16" t="n">
        <v>0</v>
      </c>
      <c r="G550" s="16" t="n">
        <v>300</v>
      </c>
      <c r="H550" s="17" t="n">
        <v>0</v>
      </c>
      <c r="I550" s="17" t="n">
        <v>0</v>
      </c>
      <c r="J550" s="17" t="n">
        <v>240</v>
      </c>
      <c r="K550" s="17" t="n">
        <v>0</v>
      </c>
      <c r="L550" s="17" t="n">
        <v>0</v>
      </c>
      <c r="M550" s="17" t="n">
        <v>0</v>
      </c>
      <c r="N550" s="17" t="n">
        <v>60</v>
      </c>
      <c r="O550" s="17" t="n">
        <v>0</v>
      </c>
      <c r="P550" s="17" t="n">
        <v>0</v>
      </c>
      <c r="Q550" s="18" t="n">
        <v>0</v>
      </c>
      <c r="R550" s="16" t="n">
        <v>0.6</v>
      </c>
      <c r="S550" s="17" t="n">
        <v>0</v>
      </c>
      <c r="T550" s="17" t="n">
        <v>0</v>
      </c>
      <c r="U550" s="17" t="n">
        <v>0.48</v>
      </c>
      <c r="V550" s="17" t="n">
        <v>0</v>
      </c>
      <c r="W550" s="17" t="n">
        <v>0</v>
      </c>
      <c r="X550" s="17" t="n">
        <v>0</v>
      </c>
      <c r="Y550" s="17" t="n">
        <v>0.12</v>
      </c>
      <c r="Z550" s="17" t="n">
        <v>0</v>
      </c>
      <c r="AA550" s="17" t="n">
        <v>0</v>
      </c>
      <c r="AB550" s="18" t="n">
        <v>0</v>
      </c>
      <c r="AC550" s="16" t="n">
        <v>-0.6</v>
      </c>
      <c r="AD550" s="17" t="n">
        <v>0</v>
      </c>
      <c r="AE550" s="17" t="n">
        <v>0</v>
      </c>
      <c r="AF550" s="17" t="n">
        <v>-0.48</v>
      </c>
      <c r="AG550" s="17" t="n">
        <v>0</v>
      </c>
      <c r="AH550" s="17" t="n">
        <v>0</v>
      </c>
      <c r="AI550" s="17" t="n">
        <v>0</v>
      </c>
      <c r="AJ550" s="17" t="n">
        <v>-0.12</v>
      </c>
      <c r="AK550" s="17" t="n">
        <v>0</v>
      </c>
      <c r="AL550" s="17" t="n">
        <v>0</v>
      </c>
      <c r="AM550" s="18" t="n">
        <v>0</v>
      </c>
      <c r="AN550" s="16" t="n">
        <v>44</v>
      </c>
      <c r="AO550" s="17" t="n">
        <v>0</v>
      </c>
      <c r="AP550" s="17" t="n">
        <v>0</v>
      </c>
      <c r="AQ550" s="17" t="n">
        <v>17</v>
      </c>
      <c r="AR550" s="17" t="n">
        <v>0</v>
      </c>
      <c r="AS550" s="17" t="n">
        <v>0</v>
      </c>
      <c r="AT550" s="17" t="n">
        <v>0</v>
      </c>
      <c r="AU550" s="17" t="n">
        <v>25</v>
      </c>
      <c r="AV550" s="17" t="n">
        <v>0</v>
      </c>
      <c r="AW550" s="17" t="n">
        <v>0</v>
      </c>
      <c r="AX550" s="18" t="n">
        <v>0</v>
      </c>
      <c r="AY550" s="16" t="n">
        <v>0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7" t="n">
        <v>0</v>
      </c>
      <c r="BG550" s="17" t="n">
        <v>0</v>
      </c>
      <c r="BH550" s="17" t="n">
        <v>0</v>
      </c>
      <c r="BI550" s="18" t="n">
        <v>0</v>
      </c>
      <c r="BJ550" s="16" t="n">
        <v>44</v>
      </c>
      <c r="BK550" s="17" t="n">
        <v>0</v>
      </c>
      <c r="BL550" s="17" t="n">
        <v>0</v>
      </c>
      <c r="BM550" s="17" t="n">
        <v>17</v>
      </c>
      <c r="BN550" s="17" t="n">
        <v>0</v>
      </c>
      <c r="BO550" s="17" t="n">
        <v>0</v>
      </c>
      <c r="BP550" s="17" t="n">
        <v>0</v>
      </c>
      <c r="BQ550" s="17" t="n">
        <v>25</v>
      </c>
      <c r="BR550" s="17" t="n">
        <v>0</v>
      </c>
      <c r="BS550" s="17" t="n">
        <v>0</v>
      </c>
      <c r="BT550" s="18" t="n">
        <v>0</v>
      </c>
      <c r="BU550" s="17" t="inlineStr">
        <is>
          <t>Unclassified</t>
        </is>
      </c>
    </row>
    <row r="551" ht="20" customHeight="1">
      <c r="A551" s="15" t="inlineStr">
        <is>
          <t>65862002306</t>
        </is>
      </c>
      <c r="B551" s="15" t="inlineStr">
        <is>
          <t>MIRTAZAPINE 45 MG TABLET DISINTEGRATING</t>
        </is>
      </c>
      <c r="C551" s="16" t="n">
        <v>30</v>
      </c>
      <c r="D551" s="16" t="n">
        <v>0</v>
      </c>
      <c r="E551" s="16" t="n">
        <v>0</v>
      </c>
      <c r="F551" s="16" t="n">
        <v>0</v>
      </c>
      <c r="G551" s="16" t="n">
        <v>30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0</v>
      </c>
      <c r="M551" s="17" t="n">
        <v>30</v>
      </c>
      <c r="N551" s="17" t="n">
        <v>0</v>
      </c>
      <c r="O551" s="17" t="n">
        <v>0</v>
      </c>
      <c r="P551" s="17" t="n">
        <v>0</v>
      </c>
      <c r="Q551" s="18" t="n">
        <v>0</v>
      </c>
      <c r="R551" s="16" t="n">
        <v>1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1</v>
      </c>
      <c r="Y551" s="17" t="n">
        <v>0</v>
      </c>
      <c r="Z551" s="17" t="n">
        <v>0</v>
      </c>
      <c r="AA551" s="17" t="n">
        <v>0</v>
      </c>
      <c r="AB551" s="18" t="n">
        <v>0</v>
      </c>
      <c r="AC551" s="16" t="n">
        <v>-1</v>
      </c>
      <c r="AD551" s="17" t="n">
        <v>0</v>
      </c>
      <c r="AE551" s="17" t="n">
        <v>0</v>
      </c>
      <c r="AF551" s="17" t="n">
        <v>0</v>
      </c>
      <c r="AG551" s="17" t="n">
        <v>0</v>
      </c>
      <c r="AH551" s="17" t="n">
        <v>0</v>
      </c>
      <c r="AI551" s="17" t="n">
        <v>-1</v>
      </c>
      <c r="AJ551" s="17" t="n">
        <v>0</v>
      </c>
      <c r="AK551" s="17" t="n">
        <v>0</v>
      </c>
      <c r="AL551" s="17" t="n">
        <v>0</v>
      </c>
      <c r="AM551" s="18" t="n">
        <v>0</v>
      </c>
      <c r="AN551" s="16" t="n">
        <v>17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0</v>
      </c>
      <c r="AT551" s="17" t="n">
        <v>15</v>
      </c>
      <c r="AU551" s="17" t="n">
        <v>0</v>
      </c>
      <c r="AV551" s="17" t="n">
        <v>0</v>
      </c>
      <c r="AW551" s="17" t="n">
        <v>0</v>
      </c>
      <c r="AX551" s="18" t="n">
        <v>0</v>
      </c>
      <c r="AY551" s="16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8" t="n">
        <v>0</v>
      </c>
      <c r="BJ551" s="16" t="n">
        <v>17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15</v>
      </c>
      <c r="BQ551" s="17" t="n">
        <v>0</v>
      </c>
      <c r="BR551" s="17" t="n">
        <v>0</v>
      </c>
      <c r="BS551" s="17" t="n">
        <v>0</v>
      </c>
      <c r="BT551" s="18" t="n">
        <v>0</v>
      </c>
      <c r="BU551" s="17" t="inlineStr">
        <is>
          <t>Unclassified</t>
        </is>
      </c>
    </row>
    <row r="552" ht="20" customHeight="1">
      <c r="A552" s="15" t="inlineStr">
        <is>
          <t>70954044420</t>
        </is>
      </c>
      <c r="B552" s="15" t="inlineStr">
        <is>
          <t>MISOPROSTOL 200 MCG ORAL TABLET</t>
        </is>
      </c>
      <c r="C552" s="16" t="n">
        <v>100</v>
      </c>
      <c r="D552" s="16" t="n">
        <v>0</v>
      </c>
      <c r="E552" s="16" t="n">
        <v>0</v>
      </c>
      <c r="F552" s="16" t="n">
        <v>0</v>
      </c>
      <c r="G552" s="16" t="n">
        <v>2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0</v>
      </c>
      <c r="M552" s="17" t="n">
        <v>0</v>
      </c>
      <c r="N552" s="17" t="n">
        <v>2</v>
      </c>
      <c r="O552" s="17" t="n">
        <v>0</v>
      </c>
      <c r="P552" s="17" t="n">
        <v>0</v>
      </c>
      <c r="Q552" s="18" t="n">
        <v>0</v>
      </c>
      <c r="R552" s="16" t="n">
        <v>0.02</v>
      </c>
      <c r="S552" s="17" t="n">
        <v>0</v>
      </c>
      <c r="T552" s="17" t="n">
        <v>0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0.02</v>
      </c>
      <c r="Z552" s="17" t="n">
        <v>0</v>
      </c>
      <c r="AA552" s="17" t="n">
        <v>0</v>
      </c>
      <c r="AB552" s="18" t="n">
        <v>0</v>
      </c>
      <c r="AC552" s="16" t="n">
        <v>-0.02</v>
      </c>
      <c r="AD552" s="17" t="n">
        <v>0</v>
      </c>
      <c r="AE552" s="17" t="n">
        <v>0</v>
      </c>
      <c r="AF552" s="17" t="n">
        <v>0</v>
      </c>
      <c r="AG552" s="17" t="n">
        <v>0</v>
      </c>
      <c r="AH552" s="17" t="n">
        <v>0</v>
      </c>
      <c r="AI552" s="17" t="n">
        <v>0</v>
      </c>
      <c r="AJ552" s="17" t="n">
        <v>-0.02</v>
      </c>
      <c r="AK552" s="17" t="n">
        <v>0</v>
      </c>
      <c r="AL552" s="17" t="n">
        <v>0</v>
      </c>
      <c r="AM552" s="18" t="n">
        <v>0</v>
      </c>
      <c r="AN552" s="16" t="n">
        <v>11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0</v>
      </c>
      <c r="AT552" s="17" t="n">
        <v>0</v>
      </c>
      <c r="AU552" s="17" t="n">
        <v>11</v>
      </c>
      <c r="AV552" s="17" t="n">
        <v>0</v>
      </c>
      <c r="AW552" s="17" t="n">
        <v>0</v>
      </c>
      <c r="AX552" s="18" t="n">
        <v>0</v>
      </c>
      <c r="AY552" s="16" t="n">
        <v>0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7" t="n">
        <v>0</v>
      </c>
      <c r="BG552" s="17" t="n">
        <v>0</v>
      </c>
      <c r="BH552" s="17" t="n">
        <v>0</v>
      </c>
      <c r="BI552" s="18" t="n">
        <v>0</v>
      </c>
      <c r="BJ552" s="16" t="n">
        <v>11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11</v>
      </c>
      <c r="BR552" s="17" t="n">
        <v>0</v>
      </c>
      <c r="BS552" s="17" t="n">
        <v>0</v>
      </c>
      <c r="BT552" s="18" t="n">
        <v>0</v>
      </c>
      <c r="BU552" s="17" t="inlineStr">
        <is>
          <t>Unclassified</t>
        </is>
      </c>
    </row>
    <row r="553" ht="20" customHeight="1">
      <c r="A553" s="15" t="inlineStr">
        <is>
          <t>00713063437</t>
        </is>
      </c>
      <c r="B553" s="15" t="inlineStr">
        <is>
          <t>MOMETASONE FUROATE 0.1 % EXTERNAL CREAM</t>
        </is>
      </c>
      <c r="C553" s="16" t="n">
        <v>45</v>
      </c>
      <c r="D553" s="16" t="n">
        <v>0</v>
      </c>
      <c r="E553" s="16" t="n">
        <v>0</v>
      </c>
      <c r="F553" s="16" t="n">
        <v>0</v>
      </c>
      <c r="G553" s="16" t="n">
        <v>135</v>
      </c>
      <c r="H553" s="17" t="n">
        <v>0</v>
      </c>
      <c r="I553" s="17" t="n">
        <v>0</v>
      </c>
      <c r="J553" s="17" t="n">
        <v>45</v>
      </c>
      <c r="K553" s="17" t="n">
        <v>0</v>
      </c>
      <c r="L553" s="17" t="n">
        <v>0</v>
      </c>
      <c r="M553" s="17" t="n">
        <v>0</v>
      </c>
      <c r="N553" s="17" t="n">
        <v>90</v>
      </c>
      <c r="O553" s="17" t="n">
        <v>0</v>
      </c>
      <c r="P553" s="17" t="n">
        <v>0</v>
      </c>
      <c r="Q553" s="18" t="n">
        <v>0</v>
      </c>
      <c r="R553" s="16" t="n">
        <v>3</v>
      </c>
      <c r="S553" s="17" t="n">
        <v>0</v>
      </c>
      <c r="T553" s="17" t="n">
        <v>0</v>
      </c>
      <c r="U553" s="17" t="n">
        <v>1</v>
      </c>
      <c r="V553" s="17" t="n">
        <v>0</v>
      </c>
      <c r="W553" s="17" t="n">
        <v>0</v>
      </c>
      <c r="X553" s="17" t="n">
        <v>0</v>
      </c>
      <c r="Y553" s="17" t="n">
        <v>2</v>
      </c>
      <c r="Z553" s="17" t="n">
        <v>0</v>
      </c>
      <c r="AA553" s="17" t="n">
        <v>0</v>
      </c>
      <c r="AB553" s="18" t="n">
        <v>0</v>
      </c>
      <c r="AC553" s="16" t="n">
        <v>-3</v>
      </c>
      <c r="AD553" s="17" t="n">
        <v>0</v>
      </c>
      <c r="AE553" s="17" t="n">
        <v>0</v>
      </c>
      <c r="AF553" s="17" t="n">
        <v>-1</v>
      </c>
      <c r="AG553" s="17" t="n">
        <v>0</v>
      </c>
      <c r="AH553" s="17" t="n">
        <v>0</v>
      </c>
      <c r="AI553" s="17" t="n">
        <v>0</v>
      </c>
      <c r="AJ553" s="17" t="n">
        <v>-2</v>
      </c>
      <c r="AK553" s="17" t="n">
        <v>0</v>
      </c>
      <c r="AL553" s="17" t="n">
        <v>0</v>
      </c>
      <c r="AM553" s="18" t="n">
        <v>0</v>
      </c>
      <c r="AN553" s="16" t="n">
        <v>68</v>
      </c>
      <c r="AO553" s="17" t="n">
        <v>0</v>
      </c>
      <c r="AP553" s="17" t="n">
        <v>0</v>
      </c>
      <c r="AQ553" s="17" t="n">
        <v>19</v>
      </c>
      <c r="AR553" s="17" t="n">
        <v>0</v>
      </c>
      <c r="AS553" s="17" t="n">
        <v>0</v>
      </c>
      <c r="AT553" s="17" t="n">
        <v>0</v>
      </c>
      <c r="AU553" s="17" t="n">
        <v>45</v>
      </c>
      <c r="AV553" s="17" t="n">
        <v>0</v>
      </c>
      <c r="AW553" s="17" t="n">
        <v>0</v>
      </c>
      <c r="AX553" s="18" t="n">
        <v>0</v>
      </c>
      <c r="AY553" s="16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8" t="n">
        <v>0</v>
      </c>
      <c r="BJ553" s="16" t="n">
        <v>68</v>
      </c>
      <c r="BK553" s="17" t="n">
        <v>0</v>
      </c>
      <c r="BL553" s="17" t="n">
        <v>0</v>
      </c>
      <c r="BM553" s="17" t="n">
        <v>19</v>
      </c>
      <c r="BN553" s="17" t="n">
        <v>0</v>
      </c>
      <c r="BO553" s="17" t="n">
        <v>0</v>
      </c>
      <c r="BP553" s="17" t="n">
        <v>0</v>
      </c>
      <c r="BQ553" s="17" t="n">
        <v>45</v>
      </c>
      <c r="BR553" s="17" t="n">
        <v>0</v>
      </c>
      <c r="BS553" s="17" t="n">
        <v>0</v>
      </c>
      <c r="BT553" s="18" t="n">
        <v>0</v>
      </c>
      <c r="BU553" s="17" t="inlineStr">
        <is>
          <t>Unclassified</t>
        </is>
      </c>
    </row>
    <row r="554" ht="20" customHeight="1">
      <c r="A554" s="15" t="inlineStr">
        <is>
          <t>60505083001</t>
        </is>
      </c>
      <c r="B554" s="15" t="inlineStr">
        <is>
          <t>MOMETASONE FUROATE 50MCG/ACT SUSPENSION</t>
        </is>
      </c>
      <c r="C554" s="16" t="n">
        <v>17</v>
      </c>
      <c r="D554" s="16" t="n">
        <v>0</v>
      </c>
      <c r="E554" s="16" t="n">
        <v>0</v>
      </c>
      <c r="F554" s="16" t="n">
        <v>0</v>
      </c>
      <c r="G554" s="16" t="n">
        <v>51</v>
      </c>
      <c r="H554" s="17" t="n">
        <v>0</v>
      </c>
      <c r="I554" s="17" t="n">
        <v>0</v>
      </c>
      <c r="J554" s="17" t="n">
        <v>17</v>
      </c>
      <c r="K554" s="17" t="n">
        <v>17</v>
      </c>
      <c r="L554" s="17" t="n">
        <v>0</v>
      </c>
      <c r="M554" s="17" t="n">
        <v>17</v>
      </c>
      <c r="N554" s="17" t="n">
        <v>0</v>
      </c>
      <c r="O554" s="17" t="n">
        <v>0</v>
      </c>
      <c r="P554" s="17" t="n">
        <v>0</v>
      </c>
      <c r="Q554" s="18" t="n">
        <v>0</v>
      </c>
      <c r="R554" s="16" t="n">
        <v>3</v>
      </c>
      <c r="S554" s="17" t="n">
        <v>0</v>
      </c>
      <c r="T554" s="17" t="n">
        <v>0</v>
      </c>
      <c r="U554" s="17" t="n">
        <v>1</v>
      </c>
      <c r="V554" s="17" t="n">
        <v>1</v>
      </c>
      <c r="W554" s="17" t="n">
        <v>0</v>
      </c>
      <c r="X554" s="17" t="n">
        <v>1</v>
      </c>
      <c r="Y554" s="17" t="n">
        <v>0</v>
      </c>
      <c r="Z554" s="17" t="n">
        <v>0</v>
      </c>
      <c r="AA554" s="17" t="n">
        <v>0</v>
      </c>
      <c r="AB554" s="18" t="n">
        <v>0</v>
      </c>
      <c r="AC554" s="16" t="n">
        <v>-3</v>
      </c>
      <c r="AD554" s="17" t="n">
        <v>0</v>
      </c>
      <c r="AE554" s="17" t="n">
        <v>0</v>
      </c>
      <c r="AF554" s="17" t="n">
        <v>-1</v>
      </c>
      <c r="AG554" s="17" t="n">
        <v>-1</v>
      </c>
      <c r="AH554" s="17" t="n">
        <v>0</v>
      </c>
      <c r="AI554" s="17" t="n">
        <v>-1</v>
      </c>
      <c r="AJ554" s="17" t="n">
        <v>0</v>
      </c>
      <c r="AK554" s="17" t="n">
        <v>0</v>
      </c>
      <c r="AL554" s="17" t="n">
        <v>0</v>
      </c>
      <c r="AM554" s="18" t="n">
        <v>0</v>
      </c>
      <c r="AN554" s="16" t="n">
        <v>160</v>
      </c>
      <c r="AO554" s="17" t="n">
        <v>0</v>
      </c>
      <c r="AP554" s="17" t="n">
        <v>0</v>
      </c>
      <c r="AQ554" s="17" t="n">
        <v>84</v>
      </c>
      <c r="AR554" s="17" t="n">
        <v>31</v>
      </c>
      <c r="AS554" s="17" t="n">
        <v>0</v>
      </c>
      <c r="AT554" s="17" t="n">
        <v>24</v>
      </c>
      <c r="AU554" s="17" t="n">
        <v>0</v>
      </c>
      <c r="AV554" s="17" t="n">
        <v>0</v>
      </c>
      <c r="AW554" s="17" t="n">
        <v>0</v>
      </c>
      <c r="AX554" s="18" t="n">
        <v>0</v>
      </c>
      <c r="AY554" s="16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7" t="n">
        <v>0</v>
      </c>
      <c r="BG554" s="17" t="n">
        <v>0</v>
      </c>
      <c r="BH554" s="17" t="n">
        <v>0</v>
      </c>
      <c r="BI554" s="18" t="n">
        <v>0</v>
      </c>
      <c r="BJ554" s="16" t="n">
        <v>160</v>
      </c>
      <c r="BK554" s="17" t="n">
        <v>0</v>
      </c>
      <c r="BL554" s="17" t="n">
        <v>0</v>
      </c>
      <c r="BM554" s="17" t="n">
        <v>84</v>
      </c>
      <c r="BN554" s="17" t="n">
        <v>31</v>
      </c>
      <c r="BO554" s="17" t="n">
        <v>0</v>
      </c>
      <c r="BP554" s="17" t="n">
        <v>24</v>
      </c>
      <c r="BQ554" s="17" t="n">
        <v>0</v>
      </c>
      <c r="BR554" s="17" t="n">
        <v>0</v>
      </c>
      <c r="BS554" s="17" t="n">
        <v>0</v>
      </c>
      <c r="BT554" s="18" t="n">
        <v>0</v>
      </c>
      <c r="BU554" s="17" t="inlineStr">
        <is>
          <t>Unclassified</t>
        </is>
      </c>
    </row>
    <row r="555" ht="20" customHeight="1">
      <c r="A555" s="15" t="inlineStr">
        <is>
          <t>29300022010</t>
        </is>
      </c>
      <c r="B555" s="15" t="inlineStr">
        <is>
          <t xml:space="preserve">MONTELUKAST 10MG TAB 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1320</v>
      </c>
      <c r="H555" s="17" t="n">
        <v>0</v>
      </c>
      <c r="I555" s="17" t="n">
        <v>0</v>
      </c>
      <c r="J555" s="17" t="n">
        <v>570</v>
      </c>
      <c r="K555" s="17" t="n">
        <v>30</v>
      </c>
      <c r="L555" s="17" t="n">
        <v>0</v>
      </c>
      <c r="M555" s="17" t="n">
        <v>0</v>
      </c>
      <c r="N555" s="17" t="n">
        <v>630</v>
      </c>
      <c r="O555" s="17" t="n">
        <v>90</v>
      </c>
      <c r="P555" s="17" t="n">
        <v>0</v>
      </c>
      <c r="Q555" s="18" t="n">
        <v>0</v>
      </c>
      <c r="R555" s="16" t="n">
        <v>1.32</v>
      </c>
      <c r="S555" s="17" t="n">
        <v>0</v>
      </c>
      <c r="T555" s="17" t="n">
        <v>0</v>
      </c>
      <c r="U555" s="17" t="n">
        <v>0.57</v>
      </c>
      <c r="V555" s="17" t="n">
        <v>0.03</v>
      </c>
      <c r="W555" s="17" t="n">
        <v>0</v>
      </c>
      <c r="X555" s="17" t="n">
        <v>0</v>
      </c>
      <c r="Y555" s="17" t="n">
        <v>0.63</v>
      </c>
      <c r="Z555" s="17" t="n">
        <v>0.09</v>
      </c>
      <c r="AA555" s="17" t="n">
        <v>0</v>
      </c>
      <c r="AB555" s="18" t="n">
        <v>0</v>
      </c>
      <c r="AC555" s="16" t="n">
        <v>-1.32</v>
      </c>
      <c r="AD555" s="17" t="n">
        <v>0</v>
      </c>
      <c r="AE555" s="17" t="n">
        <v>0</v>
      </c>
      <c r="AF555" s="17" t="n">
        <v>-0.57</v>
      </c>
      <c r="AG555" s="17" t="n">
        <v>-0.03</v>
      </c>
      <c r="AH555" s="17" t="n">
        <v>0</v>
      </c>
      <c r="AI555" s="17" t="n">
        <v>0</v>
      </c>
      <c r="AJ555" s="17" t="n">
        <v>-0.63</v>
      </c>
      <c r="AK555" s="17" t="n">
        <v>-0.09</v>
      </c>
      <c r="AL555" s="17" t="n">
        <v>0</v>
      </c>
      <c r="AM555" s="18" t="n">
        <v>0</v>
      </c>
      <c r="AN555" s="16" t="n">
        <v>188</v>
      </c>
      <c r="AO555" s="17" t="n">
        <v>0</v>
      </c>
      <c r="AP555" s="17" t="n">
        <v>0</v>
      </c>
      <c r="AQ555" s="17" t="n">
        <v>51</v>
      </c>
      <c r="AR555" s="17" t="n">
        <v>3</v>
      </c>
      <c r="AS555" s="17" t="n">
        <v>0</v>
      </c>
      <c r="AT555" s="17" t="n">
        <v>0</v>
      </c>
      <c r="AU555" s="17" t="n">
        <v>110</v>
      </c>
      <c r="AV555" s="17" t="n">
        <v>8</v>
      </c>
      <c r="AW555" s="17" t="n">
        <v>0</v>
      </c>
      <c r="AX555" s="18" t="n">
        <v>0</v>
      </c>
      <c r="AY555" s="16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8" t="n">
        <v>0</v>
      </c>
      <c r="BJ555" s="16" t="n">
        <v>188</v>
      </c>
      <c r="BK555" s="17" t="n">
        <v>0</v>
      </c>
      <c r="BL555" s="17" t="n">
        <v>0</v>
      </c>
      <c r="BM555" s="17" t="n">
        <v>51</v>
      </c>
      <c r="BN555" s="17" t="n">
        <v>3</v>
      </c>
      <c r="BO555" s="17" t="n">
        <v>0</v>
      </c>
      <c r="BP555" s="17" t="n">
        <v>0</v>
      </c>
      <c r="BQ555" s="17" t="n">
        <v>110</v>
      </c>
      <c r="BR555" s="17" t="n">
        <v>8</v>
      </c>
      <c r="BS555" s="17" t="n">
        <v>0</v>
      </c>
      <c r="BT555" s="18" t="n">
        <v>0</v>
      </c>
      <c r="BU555" s="17" t="inlineStr">
        <is>
          <t>Unclassified</t>
        </is>
      </c>
    </row>
    <row r="556" ht="20" customHeight="1">
      <c r="A556" s="15" t="inlineStr">
        <is>
          <t>00832022500</t>
        </is>
      </c>
      <c r="B556" s="15" t="inlineStr">
        <is>
          <t>MORPHINE SULFATE ER 10 MG CAPSULE</t>
        </is>
      </c>
      <c r="C556" s="16" t="n">
        <v>100</v>
      </c>
      <c r="D556" s="16" t="n">
        <v>0</v>
      </c>
      <c r="E556" s="16" t="n">
        <v>0</v>
      </c>
      <c r="F556" s="16" t="n">
        <v>0</v>
      </c>
      <c r="G556" s="16" t="n">
        <v>30</v>
      </c>
      <c r="H556" s="17" t="n">
        <v>0</v>
      </c>
      <c r="I556" s="17" t="n">
        <v>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30</v>
      </c>
      <c r="O556" s="17" t="n">
        <v>0</v>
      </c>
      <c r="P556" s="17" t="n">
        <v>0</v>
      </c>
      <c r="Q556" s="18" t="n">
        <v>0</v>
      </c>
      <c r="R556" s="16" t="n">
        <v>0.3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0.3</v>
      </c>
      <c r="Z556" s="17" t="n">
        <v>0</v>
      </c>
      <c r="AA556" s="17" t="n">
        <v>0</v>
      </c>
      <c r="AB556" s="18" t="n">
        <v>0</v>
      </c>
      <c r="AC556" s="16" t="n">
        <v>-0.3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-0.3</v>
      </c>
      <c r="AK556" s="17" t="n">
        <v>0</v>
      </c>
      <c r="AL556" s="17" t="n">
        <v>0</v>
      </c>
      <c r="AM556" s="18" t="n">
        <v>0</v>
      </c>
      <c r="AN556" s="16" t="n">
        <v>124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124</v>
      </c>
      <c r="AV556" s="17" t="n">
        <v>0</v>
      </c>
      <c r="AW556" s="17" t="n">
        <v>0</v>
      </c>
      <c r="AX556" s="18" t="n">
        <v>0</v>
      </c>
      <c r="AY556" s="16" t="n">
        <v>0</v>
      </c>
      <c r="AZ556" s="17" t="n">
        <v>0</v>
      </c>
      <c r="BA556" s="17" t="n">
        <v>0</v>
      </c>
      <c r="BB556" s="17" t="n">
        <v>0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7" t="n">
        <v>0</v>
      </c>
      <c r="BI556" s="18" t="n">
        <v>0</v>
      </c>
      <c r="BJ556" s="16" t="n">
        <v>124</v>
      </c>
      <c r="BK556" s="17" t="n">
        <v>0</v>
      </c>
      <c r="BL556" s="17" t="n">
        <v>0</v>
      </c>
      <c r="BM556" s="17" t="n">
        <v>0</v>
      </c>
      <c r="BN556" s="17" t="n">
        <v>0</v>
      </c>
      <c r="BO556" s="17" t="n">
        <v>0</v>
      </c>
      <c r="BP556" s="17" t="n">
        <v>0</v>
      </c>
      <c r="BQ556" s="17" t="n">
        <v>124</v>
      </c>
      <c r="BR556" s="17" t="n">
        <v>0</v>
      </c>
      <c r="BS556" s="17" t="n">
        <v>0</v>
      </c>
      <c r="BT556" s="18" t="n">
        <v>0</v>
      </c>
      <c r="BU556" s="17" t="inlineStr">
        <is>
          <t>Unclassified</t>
        </is>
      </c>
    </row>
    <row r="557" ht="20" customHeight="1">
      <c r="A557" s="15" t="inlineStr">
        <is>
          <t>42858080201</t>
        </is>
      </c>
      <c r="B557" s="15" t="inlineStr">
        <is>
          <t>MORPHINE SULFATE ER 30 MG ORAL TABLET EXTENDED RELEASE</t>
        </is>
      </c>
      <c r="C557" s="16" t="n">
        <v>100</v>
      </c>
      <c r="D557" s="16" t="n">
        <v>1</v>
      </c>
      <c r="E557" s="16" t="n">
        <v>1</v>
      </c>
      <c r="F557" s="16" t="n">
        <v>37</v>
      </c>
      <c r="G557" s="16" t="n">
        <v>60</v>
      </c>
      <c r="H557" s="17" t="n">
        <v>0</v>
      </c>
      <c r="I557" s="17" t="n">
        <v>0</v>
      </c>
      <c r="J557" s="17" t="n">
        <v>0</v>
      </c>
      <c r="K557" s="17" t="n">
        <v>60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8" t="n">
        <v>0</v>
      </c>
      <c r="R557" s="16" t="n">
        <v>0.6</v>
      </c>
      <c r="S557" s="17" t="n">
        <v>0</v>
      </c>
      <c r="T557" s="17" t="n">
        <v>0</v>
      </c>
      <c r="U557" s="17" t="n">
        <v>0</v>
      </c>
      <c r="V557" s="17" t="n">
        <v>0.6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8" t="n">
        <v>0</v>
      </c>
      <c r="AC557" s="16" t="n">
        <v>0.4</v>
      </c>
      <c r="AD557" s="17" t="n">
        <v>1</v>
      </c>
      <c r="AE557" s="17" t="n">
        <v>1</v>
      </c>
      <c r="AF557" s="17" t="n">
        <v>1</v>
      </c>
      <c r="AG557" s="17" t="n">
        <v>0.4</v>
      </c>
      <c r="AH557" s="17" t="n">
        <v>1</v>
      </c>
      <c r="AI557" s="17" t="n">
        <v>1</v>
      </c>
      <c r="AJ557" s="17" t="n">
        <v>1</v>
      </c>
      <c r="AK557" s="17" t="n">
        <v>1</v>
      </c>
      <c r="AL557" s="17" t="n">
        <v>1</v>
      </c>
      <c r="AM557" s="18" t="n">
        <v>1</v>
      </c>
      <c r="AN557" s="16" t="n">
        <v>18</v>
      </c>
      <c r="AO557" s="17" t="n">
        <v>0</v>
      </c>
      <c r="AP557" s="17" t="n">
        <v>0</v>
      </c>
      <c r="AQ557" s="17" t="n">
        <v>0</v>
      </c>
      <c r="AR557" s="17" t="n">
        <v>12</v>
      </c>
      <c r="AS557" s="17" t="n">
        <v>0</v>
      </c>
      <c r="AT557" s="17" t="n">
        <v>0</v>
      </c>
      <c r="AU557" s="17" t="n">
        <v>0</v>
      </c>
      <c r="AV557" s="17" t="n">
        <v>0</v>
      </c>
      <c r="AW557" s="17" t="n">
        <v>0</v>
      </c>
      <c r="AX557" s="18" t="n">
        <v>0</v>
      </c>
      <c r="AY557" s="16" t="n">
        <v>22</v>
      </c>
      <c r="AZ557" s="17" t="n">
        <v>0</v>
      </c>
      <c r="BA557" s="17" t="n">
        <v>0</v>
      </c>
      <c r="BB557" s="17" t="n">
        <v>0</v>
      </c>
      <c r="BC557" s="17" t="n">
        <v>22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8" t="n">
        <v>0</v>
      </c>
      <c r="BJ557" s="16" t="n">
        <v>-4</v>
      </c>
      <c r="BK557" s="17" t="n">
        <v>0</v>
      </c>
      <c r="BL557" s="17" t="n">
        <v>0</v>
      </c>
      <c r="BM557" s="17" t="n">
        <v>0</v>
      </c>
      <c r="BN557" s="17" t="n">
        <v>-10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8" t="n">
        <v>0</v>
      </c>
      <c r="BU557" s="17" t="inlineStr">
        <is>
          <t>Generic Drug</t>
        </is>
      </c>
    </row>
    <row r="558" ht="20" customHeight="1">
      <c r="A558" s="15" t="inlineStr">
        <is>
          <t>00002147180</t>
        </is>
      </c>
      <c r="B558" s="15" t="inlineStr">
        <is>
          <t>MOUNJARO 10 MG/0.5ML PEN-INJECTOR</t>
        </is>
      </c>
      <c r="C558" s="16" t="n">
        <v>2</v>
      </c>
      <c r="D558" s="16" t="n">
        <v>2</v>
      </c>
      <c r="E558" s="16" t="n">
        <v>2</v>
      </c>
      <c r="F558" s="16" t="n">
        <v>1082</v>
      </c>
      <c r="G558" s="16" t="n">
        <v>10</v>
      </c>
      <c r="H558" s="17" t="n">
        <v>0</v>
      </c>
      <c r="I558" s="17" t="n">
        <v>0</v>
      </c>
      <c r="J558" s="17" t="n">
        <v>10</v>
      </c>
      <c r="K558" s="17" t="n">
        <v>0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8" t="n">
        <v>0</v>
      </c>
      <c r="R558" s="16" t="n">
        <v>5</v>
      </c>
      <c r="S558" s="17" t="n">
        <v>0</v>
      </c>
      <c r="T558" s="17" t="n">
        <v>0</v>
      </c>
      <c r="U558" s="17" t="n">
        <v>5</v>
      </c>
      <c r="V558" s="17" t="n">
        <v>0</v>
      </c>
      <c r="W558" s="17" t="n">
        <v>0</v>
      </c>
      <c r="X558" s="17" t="n">
        <v>0</v>
      </c>
      <c r="Y558" s="17" t="n">
        <v>0</v>
      </c>
      <c r="Z558" s="17" t="n">
        <v>0</v>
      </c>
      <c r="AA558" s="17" t="n">
        <v>0</v>
      </c>
      <c r="AB558" s="18" t="n">
        <v>0</v>
      </c>
      <c r="AC558" s="16" t="n">
        <v>-3</v>
      </c>
      <c r="AD558" s="17" t="n">
        <v>2</v>
      </c>
      <c r="AE558" s="17" t="n">
        <v>2</v>
      </c>
      <c r="AF558" s="17" t="n">
        <v>-3</v>
      </c>
      <c r="AG558" s="17" t="n">
        <v>2</v>
      </c>
      <c r="AH558" s="17" t="n">
        <v>2</v>
      </c>
      <c r="AI558" s="17" t="n">
        <v>2</v>
      </c>
      <c r="AJ558" s="17" t="n">
        <v>2</v>
      </c>
      <c r="AK558" s="17" t="n">
        <v>2</v>
      </c>
      <c r="AL558" s="17" t="n">
        <v>2</v>
      </c>
      <c r="AM558" s="18" t="n">
        <v>2</v>
      </c>
      <c r="AN558" s="16" t="n">
        <v>5235</v>
      </c>
      <c r="AO558" s="17" t="n">
        <v>0</v>
      </c>
      <c r="AP558" s="17" t="n">
        <v>0</v>
      </c>
      <c r="AQ558" s="17" t="n">
        <v>5225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  <c r="AW558" s="17" t="n">
        <v>0</v>
      </c>
      <c r="AX558" s="18" t="n">
        <v>0</v>
      </c>
      <c r="AY558" s="16" t="n">
        <v>5410</v>
      </c>
      <c r="AZ558" s="17" t="n">
        <v>0</v>
      </c>
      <c r="BA558" s="17" t="n">
        <v>0</v>
      </c>
      <c r="BB558" s="17" t="n">
        <v>5410</v>
      </c>
      <c r="BC558" s="17" t="n">
        <v>0</v>
      </c>
      <c r="BD558" s="17" t="n">
        <v>0</v>
      </c>
      <c r="BE558" s="17" t="n">
        <v>0</v>
      </c>
      <c r="BF558" s="17" t="n">
        <v>0</v>
      </c>
      <c r="BG558" s="17" t="n">
        <v>0</v>
      </c>
      <c r="BH558" s="17" t="n">
        <v>0</v>
      </c>
      <c r="BI558" s="18" t="n">
        <v>0</v>
      </c>
      <c r="BJ558" s="16" t="n">
        <v>-175</v>
      </c>
      <c r="BK558" s="17" t="n">
        <v>0</v>
      </c>
      <c r="BL558" s="17" t="n">
        <v>0</v>
      </c>
      <c r="BM558" s="17" t="n">
        <v>-185</v>
      </c>
      <c r="BN558" s="17" t="n">
        <v>0</v>
      </c>
      <c r="BO558" s="17" t="n">
        <v>0</v>
      </c>
      <c r="BP558" s="17" t="n">
        <v>0</v>
      </c>
      <c r="BQ558" s="17" t="n">
        <v>0</v>
      </c>
      <c r="BR558" s="17" t="n">
        <v>0</v>
      </c>
      <c r="BS558" s="17" t="n">
        <v>0</v>
      </c>
      <c r="BT558" s="18" t="n">
        <v>0</v>
      </c>
      <c r="BU558" s="17" t="inlineStr">
        <is>
          <t>Branded Drug</t>
        </is>
      </c>
    </row>
    <row r="559" ht="20" customHeight="1">
      <c r="A559" s="15" t="inlineStr">
        <is>
          <t>00002146080</t>
        </is>
      </c>
      <c r="B559" s="15" t="inlineStr">
        <is>
          <t>MOUNJARO 12.5 MG/0.5ML PEN-INJECTOR</t>
        </is>
      </c>
      <c r="C559" s="16" t="n">
        <v>2</v>
      </c>
      <c r="D559" s="16" t="n">
        <v>2</v>
      </c>
      <c r="E559" s="16" t="n">
        <v>2</v>
      </c>
      <c r="F559" s="16" t="n">
        <v>1082</v>
      </c>
      <c r="G559" s="16" t="n">
        <v>6</v>
      </c>
      <c r="H559" s="17" t="n">
        <v>0</v>
      </c>
      <c r="I559" s="17" t="n">
        <v>0</v>
      </c>
      <c r="J559" s="17" t="n">
        <v>4</v>
      </c>
      <c r="K559" s="17" t="n">
        <v>2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8" t="n">
        <v>0</v>
      </c>
      <c r="R559" s="16" t="n">
        <v>3</v>
      </c>
      <c r="S559" s="17" t="n">
        <v>0</v>
      </c>
      <c r="T559" s="17" t="n">
        <v>0</v>
      </c>
      <c r="U559" s="17" t="n">
        <v>2</v>
      </c>
      <c r="V559" s="17" t="n">
        <v>1</v>
      </c>
      <c r="W559" s="17" t="n">
        <v>0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8" t="n">
        <v>0</v>
      </c>
      <c r="AC559" s="16" t="n">
        <v>-1</v>
      </c>
      <c r="AD559" s="17" t="n">
        <v>2</v>
      </c>
      <c r="AE559" s="17" t="n">
        <v>2</v>
      </c>
      <c r="AF559" s="17" t="n">
        <v>0</v>
      </c>
      <c r="AG559" s="17" t="n">
        <v>1</v>
      </c>
      <c r="AH559" s="17" t="n">
        <v>2</v>
      </c>
      <c r="AI559" s="17" t="n">
        <v>2</v>
      </c>
      <c r="AJ559" s="17" t="n">
        <v>2</v>
      </c>
      <c r="AK559" s="17" t="n">
        <v>2</v>
      </c>
      <c r="AL559" s="17" t="n">
        <v>2</v>
      </c>
      <c r="AM559" s="18" t="n">
        <v>2</v>
      </c>
      <c r="AN559" s="16" t="n">
        <v>3097</v>
      </c>
      <c r="AO559" s="17" t="n">
        <v>0</v>
      </c>
      <c r="AP559" s="17" t="n">
        <v>0</v>
      </c>
      <c r="AQ559" s="17" t="n">
        <v>2113</v>
      </c>
      <c r="AR559" s="17" t="n">
        <v>979</v>
      </c>
      <c r="AS559" s="17" t="n">
        <v>0</v>
      </c>
      <c r="AT559" s="17" t="n">
        <v>0</v>
      </c>
      <c r="AU559" s="17" t="n">
        <v>0</v>
      </c>
      <c r="AV559" s="17" t="n">
        <v>0</v>
      </c>
      <c r="AW559" s="17" t="n">
        <v>0</v>
      </c>
      <c r="AX559" s="18" t="n">
        <v>0</v>
      </c>
      <c r="AY559" s="16" t="n">
        <v>3246</v>
      </c>
      <c r="AZ559" s="17" t="n">
        <v>0</v>
      </c>
      <c r="BA559" s="17" t="n">
        <v>0</v>
      </c>
      <c r="BB559" s="17" t="n">
        <v>2164</v>
      </c>
      <c r="BC559" s="17" t="n">
        <v>1082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8" t="n">
        <v>0</v>
      </c>
      <c r="BJ559" s="16" t="n">
        <v>-149</v>
      </c>
      <c r="BK559" s="17" t="n">
        <v>0</v>
      </c>
      <c r="BL559" s="17" t="n">
        <v>0</v>
      </c>
      <c r="BM559" s="17" t="n">
        <v>-51</v>
      </c>
      <c r="BN559" s="17" t="n">
        <v>-103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8" t="n">
        <v>0</v>
      </c>
      <c r="BU559" s="17" t="inlineStr">
        <is>
          <t>Branded Drug</t>
        </is>
      </c>
    </row>
    <row r="560" ht="20" customHeight="1">
      <c r="A560" s="15" t="inlineStr">
        <is>
          <t>00002145780</t>
        </is>
      </c>
      <c r="B560" s="15" t="inlineStr">
        <is>
          <t>MOUNJARO 15 MG/0.5ML PEN-INJECTOR</t>
        </is>
      </c>
      <c r="C560" s="16" t="n">
        <v>2</v>
      </c>
      <c r="D560" s="16" t="n">
        <v>3</v>
      </c>
      <c r="E560" s="16" t="n">
        <v>3</v>
      </c>
      <c r="F560" s="16" t="n">
        <v>1082</v>
      </c>
      <c r="G560" s="16" t="n">
        <v>8</v>
      </c>
      <c r="H560" s="17" t="n">
        <v>0</v>
      </c>
      <c r="I560" s="17" t="n">
        <v>0</v>
      </c>
      <c r="J560" s="17" t="n">
        <v>4</v>
      </c>
      <c r="K560" s="17" t="n">
        <v>0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0</v>
      </c>
      <c r="Q560" s="18" t="n">
        <v>0</v>
      </c>
      <c r="R560" s="16" t="n">
        <v>4</v>
      </c>
      <c r="S560" s="17" t="n">
        <v>0</v>
      </c>
      <c r="T560" s="17" t="n">
        <v>0</v>
      </c>
      <c r="U560" s="17" t="n">
        <v>2</v>
      </c>
      <c r="V560" s="17" t="n">
        <v>0</v>
      </c>
      <c r="W560" s="17" t="n">
        <v>0</v>
      </c>
      <c r="X560" s="17" t="n">
        <v>0</v>
      </c>
      <c r="Y560" s="17" t="n">
        <v>2</v>
      </c>
      <c r="Z560" s="17" t="n">
        <v>0</v>
      </c>
      <c r="AA560" s="17" t="n">
        <v>0</v>
      </c>
      <c r="AB560" s="18" t="n">
        <v>0</v>
      </c>
      <c r="AC560" s="16" t="n">
        <v>-1</v>
      </c>
      <c r="AD560" s="17" t="n">
        <v>3</v>
      </c>
      <c r="AE560" s="17" t="n">
        <v>3</v>
      </c>
      <c r="AF560" s="17" t="n">
        <v>1</v>
      </c>
      <c r="AG560" s="17" t="n">
        <v>3</v>
      </c>
      <c r="AH560" s="17" t="n">
        <v>3</v>
      </c>
      <c r="AI560" s="17" t="n">
        <v>3</v>
      </c>
      <c r="AJ560" s="17" t="n">
        <v>1</v>
      </c>
      <c r="AK560" s="17" t="n">
        <v>3</v>
      </c>
      <c r="AL560" s="17" t="n">
        <v>3</v>
      </c>
      <c r="AM560" s="18" t="n">
        <v>3</v>
      </c>
      <c r="AN560" s="16" t="n">
        <v>4298</v>
      </c>
      <c r="AO560" s="17" t="n">
        <v>0</v>
      </c>
      <c r="AP560" s="17" t="n">
        <v>0</v>
      </c>
      <c r="AQ560" s="17" t="n">
        <v>2118</v>
      </c>
      <c r="AR560" s="17" t="n">
        <v>0</v>
      </c>
      <c r="AS560" s="17" t="n">
        <v>0</v>
      </c>
      <c r="AT560" s="17" t="n">
        <v>0</v>
      </c>
      <c r="AU560" s="17" t="n">
        <v>2175</v>
      </c>
      <c r="AV560" s="17" t="n">
        <v>0</v>
      </c>
      <c r="AW560" s="17" t="n">
        <v>0</v>
      </c>
      <c r="AX560" s="18" t="n">
        <v>0</v>
      </c>
      <c r="AY560" s="16" t="n">
        <v>4328</v>
      </c>
      <c r="AZ560" s="17" t="n">
        <v>0</v>
      </c>
      <c r="BA560" s="17" t="n">
        <v>0</v>
      </c>
      <c r="BB560" s="17" t="n">
        <v>2164</v>
      </c>
      <c r="BC560" s="17" t="n">
        <v>0</v>
      </c>
      <c r="BD560" s="17" t="n">
        <v>0</v>
      </c>
      <c r="BE560" s="17" t="n">
        <v>0</v>
      </c>
      <c r="BF560" s="17" t="n">
        <v>2164</v>
      </c>
      <c r="BG560" s="17" t="n">
        <v>0</v>
      </c>
      <c r="BH560" s="17" t="n">
        <v>0</v>
      </c>
      <c r="BI560" s="18" t="n">
        <v>0</v>
      </c>
      <c r="BJ560" s="16" t="n">
        <v>-30</v>
      </c>
      <c r="BK560" s="17" t="n">
        <v>0</v>
      </c>
      <c r="BL560" s="17" t="n">
        <v>0</v>
      </c>
      <c r="BM560" s="17" t="n">
        <v>-46</v>
      </c>
      <c r="BN560" s="17" t="n">
        <v>0</v>
      </c>
      <c r="BO560" s="17" t="n">
        <v>0</v>
      </c>
      <c r="BP560" s="17" t="n">
        <v>0</v>
      </c>
      <c r="BQ560" s="17" t="n">
        <v>11</v>
      </c>
      <c r="BR560" s="17" t="n">
        <v>0</v>
      </c>
      <c r="BS560" s="17" t="n">
        <v>0</v>
      </c>
      <c r="BT560" s="18" t="n">
        <v>0</v>
      </c>
      <c r="BU560" s="17" t="inlineStr">
        <is>
          <t>Branded Drug</t>
        </is>
      </c>
    </row>
    <row r="561" ht="20" customHeight="1">
      <c r="A561" s="15" t="inlineStr">
        <is>
          <t>00002150680</t>
        </is>
      </c>
      <c r="B561" s="15" t="inlineStr">
        <is>
          <t>MOUNJARO 2.5 MG/0.5ML PEN-INJECTOR</t>
        </is>
      </c>
      <c r="C561" s="16" t="n">
        <v>2</v>
      </c>
      <c r="D561" s="16" t="n">
        <v>3</v>
      </c>
      <c r="E561" s="16" t="n">
        <v>3</v>
      </c>
      <c r="F561" s="16" t="n">
        <v>1082</v>
      </c>
      <c r="G561" s="16" t="n">
        <v>10</v>
      </c>
      <c r="H561" s="17" t="n">
        <v>0</v>
      </c>
      <c r="I561" s="17" t="n">
        <v>0</v>
      </c>
      <c r="J561" s="17" t="n">
        <v>8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2</v>
      </c>
      <c r="P561" s="17" t="n">
        <v>0</v>
      </c>
      <c r="Q561" s="18" t="n">
        <v>0</v>
      </c>
      <c r="R561" s="16" t="n">
        <v>5</v>
      </c>
      <c r="S561" s="17" t="n">
        <v>0</v>
      </c>
      <c r="T561" s="17" t="n">
        <v>0</v>
      </c>
      <c r="U561" s="17" t="n">
        <v>4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1</v>
      </c>
      <c r="AA561" s="17" t="n">
        <v>0</v>
      </c>
      <c r="AB561" s="18" t="n">
        <v>0</v>
      </c>
      <c r="AC561" s="16" t="n">
        <v>-2</v>
      </c>
      <c r="AD561" s="17" t="n">
        <v>3</v>
      </c>
      <c r="AE561" s="17" t="n">
        <v>3</v>
      </c>
      <c r="AF561" s="17" t="n">
        <v>-1</v>
      </c>
      <c r="AG561" s="17" t="n">
        <v>3</v>
      </c>
      <c r="AH561" s="17" t="n">
        <v>3</v>
      </c>
      <c r="AI561" s="17" t="n">
        <v>3</v>
      </c>
      <c r="AJ561" s="17" t="n">
        <v>3</v>
      </c>
      <c r="AK561" s="17" t="n">
        <v>2</v>
      </c>
      <c r="AL561" s="17" t="n">
        <v>3</v>
      </c>
      <c r="AM561" s="18" t="n">
        <v>3</v>
      </c>
      <c r="AN561" s="16" t="n">
        <v>5353</v>
      </c>
      <c r="AO561" s="17" t="n">
        <v>0</v>
      </c>
      <c r="AP561" s="17" t="n">
        <v>0</v>
      </c>
      <c r="AQ561" s="17" t="n">
        <v>4238</v>
      </c>
      <c r="AR561" s="17" t="n">
        <v>0</v>
      </c>
      <c r="AS561" s="17" t="n">
        <v>0</v>
      </c>
      <c r="AT561" s="17" t="n">
        <v>0</v>
      </c>
      <c r="AU561" s="17" t="n">
        <v>0</v>
      </c>
      <c r="AV561" s="17" t="n">
        <v>1115</v>
      </c>
      <c r="AW561" s="17" t="n">
        <v>0</v>
      </c>
      <c r="AX561" s="18" t="n">
        <v>0</v>
      </c>
      <c r="AY561" s="16" t="n">
        <v>5410</v>
      </c>
      <c r="AZ561" s="17" t="n">
        <v>0</v>
      </c>
      <c r="BA561" s="17" t="n">
        <v>0</v>
      </c>
      <c r="BB561" s="17" t="n">
        <v>4328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1082</v>
      </c>
      <c r="BH561" s="17" t="n">
        <v>0</v>
      </c>
      <c r="BI561" s="18" t="n">
        <v>0</v>
      </c>
      <c r="BJ561" s="16" t="n">
        <v>-57</v>
      </c>
      <c r="BK561" s="17" t="n">
        <v>0</v>
      </c>
      <c r="BL561" s="17" t="n">
        <v>0</v>
      </c>
      <c r="BM561" s="17" t="n">
        <v>-90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33</v>
      </c>
      <c r="BS561" s="17" t="n">
        <v>0</v>
      </c>
      <c r="BT561" s="18" t="n">
        <v>0</v>
      </c>
      <c r="BU561" s="17" t="inlineStr">
        <is>
          <t>Branded Drug</t>
        </is>
      </c>
    </row>
    <row r="562" ht="20" customHeight="1">
      <c r="A562" s="15" t="inlineStr">
        <is>
          <t>00002149580</t>
        </is>
      </c>
      <c r="B562" s="15" t="inlineStr">
        <is>
          <t>MOUNJARO 5 MG/0.5ML PEN-INJECTOR</t>
        </is>
      </c>
      <c r="C562" s="16" t="n">
        <v>2</v>
      </c>
      <c r="D562" s="16" t="n">
        <v>14</v>
      </c>
      <c r="E562" s="16" t="n">
        <v>14</v>
      </c>
      <c r="F562" s="16" t="n">
        <v>1082</v>
      </c>
      <c r="G562" s="16" t="n">
        <v>36</v>
      </c>
      <c r="H562" s="17" t="n">
        <v>0</v>
      </c>
      <c r="I562" s="17" t="n">
        <v>0</v>
      </c>
      <c r="J562" s="17" t="n">
        <v>26</v>
      </c>
      <c r="K562" s="17" t="n">
        <v>2</v>
      </c>
      <c r="L562" s="17" t="n">
        <v>0</v>
      </c>
      <c r="M562" s="17" t="n">
        <v>0</v>
      </c>
      <c r="N562" s="17" t="n">
        <v>8</v>
      </c>
      <c r="O562" s="17" t="n">
        <v>0</v>
      </c>
      <c r="P562" s="17" t="n">
        <v>0</v>
      </c>
      <c r="Q562" s="18" t="n">
        <v>0</v>
      </c>
      <c r="R562" s="16" t="n">
        <v>18</v>
      </c>
      <c r="S562" s="17" t="n">
        <v>0</v>
      </c>
      <c r="T562" s="17" t="n">
        <v>0</v>
      </c>
      <c r="U562" s="17" t="n">
        <v>13</v>
      </c>
      <c r="V562" s="17" t="n">
        <v>1</v>
      </c>
      <c r="W562" s="17" t="n">
        <v>0</v>
      </c>
      <c r="X562" s="17" t="n">
        <v>0</v>
      </c>
      <c r="Y562" s="17" t="n">
        <v>4</v>
      </c>
      <c r="Z562" s="17" t="n">
        <v>0</v>
      </c>
      <c r="AA562" s="17" t="n">
        <v>0</v>
      </c>
      <c r="AB562" s="18" t="n">
        <v>0</v>
      </c>
      <c r="AC562" s="16" t="n">
        <v>-4</v>
      </c>
      <c r="AD562" s="17" t="n">
        <v>14</v>
      </c>
      <c r="AE562" s="17" t="n">
        <v>14</v>
      </c>
      <c r="AF562" s="17" t="n">
        <v>1</v>
      </c>
      <c r="AG562" s="17" t="n">
        <v>13</v>
      </c>
      <c r="AH562" s="17" t="n">
        <v>14</v>
      </c>
      <c r="AI562" s="17" t="n">
        <v>14</v>
      </c>
      <c r="AJ562" s="17" t="n">
        <v>10</v>
      </c>
      <c r="AK562" s="17" t="n">
        <v>14</v>
      </c>
      <c r="AL562" s="17" t="n">
        <v>14</v>
      </c>
      <c r="AM562" s="18" t="n">
        <v>14</v>
      </c>
      <c r="AN562" s="16" t="n">
        <v>18974</v>
      </c>
      <c r="AO562" s="17" t="n">
        <v>0</v>
      </c>
      <c r="AP562" s="17" t="n">
        <v>0</v>
      </c>
      <c r="AQ562" s="17" t="n">
        <v>13584</v>
      </c>
      <c r="AR562" s="17" t="n">
        <v>1015</v>
      </c>
      <c r="AS562" s="17" t="n">
        <v>0</v>
      </c>
      <c r="AT562" s="17" t="n">
        <v>0</v>
      </c>
      <c r="AU562" s="17" t="n">
        <v>4348</v>
      </c>
      <c r="AV562" s="17" t="n">
        <v>0</v>
      </c>
      <c r="AW562" s="17" t="n">
        <v>0</v>
      </c>
      <c r="AX562" s="18" t="n">
        <v>0</v>
      </c>
      <c r="AY562" s="16" t="n">
        <v>19476</v>
      </c>
      <c r="AZ562" s="17" t="n">
        <v>0</v>
      </c>
      <c r="BA562" s="17" t="n">
        <v>0</v>
      </c>
      <c r="BB562" s="17" t="n">
        <v>14066</v>
      </c>
      <c r="BC562" s="17" t="n">
        <v>1082</v>
      </c>
      <c r="BD562" s="17" t="n">
        <v>0</v>
      </c>
      <c r="BE562" s="17" t="n">
        <v>0</v>
      </c>
      <c r="BF562" s="17" t="n">
        <v>4328</v>
      </c>
      <c r="BG562" s="17" t="n">
        <v>0</v>
      </c>
      <c r="BH562" s="17" t="n">
        <v>0</v>
      </c>
      <c r="BI562" s="18" t="n">
        <v>0</v>
      </c>
      <c r="BJ562" s="16" t="n">
        <v>-502</v>
      </c>
      <c r="BK562" s="17" t="n">
        <v>0</v>
      </c>
      <c r="BL562" s="17" t="n">
        <v>0</v>
      </c>
      <c r="BM562" s="17" t="n">
        <v>-482</v>
      </c>
      <c r="BN562" s="17" t="n">
        <v>-67</v>
      </c>
      <c r="BO562" s="17" t="n">
        <v>0</v>
      </c>
      <c r="BP562" s="17" t="n">
        <v>0</v>
      </c>
      <c r="BQ562" s="17" t="n">
        <v>20</v>
      </c>
      <c r="BR562" s="17" t="n">
        <v>0</v>
      </c>
      <c r="BS562" s="17" t="n">
        <v>0</v>
      </c>
      <c r="BT562" s="18" t="n">
        <v>0</v>
      </c>
      <c r="BU562" s="17" t="inlineStr">
        <is>
          <t>Branded Drug</t>
        </is>
      </c>
    </row>
    <row r="563" ht="20" customHeight="1">
      <c r="A563" s="15" t="inlineStr">
        <is>
          <t>00002148480</t>
        </is>
      </c>
      <c r="B563" s="15" t="inlineStr">
        <is>
          <t>MOUNJARO 7.5 MG/0.5ML PEN-INJECTOR</t>
        </is>
      </c>
      <c r="C563" s="16" t="n">
        <v>2</v>
      </c>
      <c r="D563" s="16" t="n">
        <v>21</v>
      </c>
      <c r="E563" s="16" t="n">
        <v>21</v>
      </c>
      <c r="F563" s="16" t="n">
        <v>1082</v>
      </c>
      <c r="G563" s="16" t="n">
        <v>12</v>
      </c>
      <c r="H563" s="17" t="n">
        <v>0</v>
      </c>
      <c r="I563" s="17" t="n">
        <v>0</v>
      </c>
      <c r="J563" s="17" t="n">
        <v>8</v>
      </c>
      <c r="K563" s="17" t="n">
        <v>0</v>
      </c>
      <c r="L563" s="17" t="n">
        <v>0</v>
      </c>
      <c r="M563" s="17" t="n">
        <v>2</v>
      </c>
      <c r="N563" s="17" t="n">
        <v>2</v>
      </c>
      <c r="O563" s="17" t="n">
        <v>0</v>
      </c>
      <c r="P563" s="17" t="n">
        <v>0</v>
      </c>
      <c r="Q563" s="18" t="n">
        <v>0</v>
      </c>
      <c r="R563" s="16" t="n">
        <v>6</v>
      </c>
      <c r="S563" s="17" t="n">
        <v>0</v>
      </c>
      <c r="T563" s="17" t="n">
        <v>0</v>
      </c>
      <c r="U563" s="17" t="n">
        <v>4</v>
      </c>
      <c r="V563" s="17" t="n">
        <v>0</v>
      </c>
      <c r="W563" s="17" t="n">
        <v>0</v>
      </c>
      <c r="X563" s="17" t="n">
        <v>1</v>
      </c>
      <c r="Y563" s="17" t="n">
        <v>1</v>
      </c>
      <c r="Z563" s="17" t="n">
        <v>0</v>
      </c>
      <c r="AA563" s="17" t="n">
        <v>0</v>
      </c>
      <c r="AB563" s="18" t="n">
        <v>0</v>
      </c>
      <c r="AC563" s="16" t="n">
        <v>15</v>
      </c>
      <c r="AD563" s="17" t="n">
        <v>21</v>
      </c>
      <c r="AE563" s="17" t="n">
        <v>21</v>
      </c>
      <c r="AF563" s="17" t="n">
        <v>17</v>
      </c>
      <c r="AG563" s="17" t="n">
        <v>21</v>
      </c>
      <c r="AH563" s="17" t="n">
        <v>21</v>
      </c>
      <c r="AI563" s="17" t="n">
        <v>20</v>
      </c>
      <c r="AJ563" s="17" t="n">
        <v>20</v>
      </c>
      <c r="AK563" s="17" t="n">
        <v>21</v>
      </c>
      <c r="AL563" s="17" t="n">
        <v>21</v>
      </c>
      <c r="AM563" s="18" t="n">
        <v>21</v>
      </c>
      <c r="AN563" s="16" t="n">
        <v>6357</v>
      </c>
      <c r="AO563" s="17" t="n">
        <v>0</v>
      </c>
      <c r="AP563" s="17" t="n">
        <v>0</v>
      </c>
      <c r="AQ563" s="17" t="n">
        <v>4215</v>
      </c>
      <c r="AR563" s="17" t="n">
        <v>0</v>
      </c>
      <c r="AS563" s="17" t="n">
        <v>0</v>
      </c>
      <c r="AT563" s="17" t="n">
        <v>1054</v>
      </c>
      <c r="AU563" s="17" t="n">
        <v>1085</v>
      </c>
      <c r="AV563" s="17" t="n">
        <v>0</v>
      </c>
      <c r="AW563" s="17" t="n">
        <v>0</v>
      </c>
      <c r="AX563" s="18" t="n">
        <v>0</v>
      </c>
      <c r="AY563" s="16" t="n">
        <v>6492</v>
      </c>
      <c r="AZ563" s="17" t="n">
        <v>0</v>
      </c>
      <c r="BA563" s="17" t="n">
        <v>0</v>
      </c>
      <c r="BB563" s="17" t="n">
        <v>4328</v>
      </c>
      <c r="BC563" s="17" t="n">
        <v>0</v>
      </c>
      <c r="BD563" s="17" t="n">
        <v>0</v>
      </c>
      <c r="BE563" s="17" t="n">
        <v>1082</v>
      </c>
      <c r="BF563" s="17" t="n">
        <v>1082</v>
      </c>
      <c r="BG563" s="17" t="n">
        <v>0</v>
      </c>
      <c r="BH563" s="17" t="n">
        <v>0</v>
      </c>
      <c r="BI563" s="18" t="n">
        <v>0</v>
      </c>
      <c r="BJ563" s="16" t="n">
        <v>-135</v>
      </c>
      <c r="BK563" s="17" t="n">
        <v>0</v>
      </c>
      <c r="BL563" s="17" t="n">
        <v>0</v>
      </c>
      <c r="BM563" s="17" t="n">
        <v>-113</v>
      </c>
      <c r="BN563" s="17" t="n">
        <v>0</v>
      </c>
      <c r="BO563" s="17" t="n">
        <v>0</v>
      </c>
      <c r="BP563" s="17" t="n">
        <v>-28</v>
      </c>
      <c r="BQ563" s="17" t="n">
        <v>3</v>
      </c>
      <c r="BR563" s="17" t="n">
        <v>0</v>
      </c>
      <c r="BS563" s="17" t="n">
        <v>0</v>
      </c>
      <c r="BT563" s="18" t="n">
        <v>0</v>
      </c>
      <c r="BU563" s="17" t="inlineStr">
        <is>
          <t>Branded Drug</t>
        </is>
      </c>
    </row>
    <row r="564" ht="20" customHeight="1">
      <c r="A564" s="15" t="inlineStr">
        <is>
          <t>70069008101</t>
        </is>
      </c>
      <c r="B564" s="15" t="inlineStr">
        <is>
          <t>MOXIFLOXACIN HCL 0.5 % OPHTHALMIC SOLUTION</t>
        </is>
      </c>
      <c r="C564" s="16" t="n">
        <v>3</v>
      </c>
      <c r="D564" s="16" t="n">
        <v>0</v>
      </c>
      <c r="E564" s="16" t="n">
        <v>0</v>
      </c>
      <c r="F564" s="16" t="n">
        <v>0</v>
      </c>
      <c r="G564" s="16" t="n">
        <v>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0</v>
      </c>
      <c r="Q564" s="18" t="n">
        <v>0</v>
      </c>
      <c r="R564" s="16" t="n">
        <v>2</v>
      </c>
      <c r="S564" s="17" t="n">
        <v>0</v>
      </c>
      <c r="T564" s="17" t="n">
        <v>0</v>
      </c>
      <c r="U564" s="17" t="n">
        <v>2</v>
      </c>
      <c r="V564" s="17" t="n">
        <v>0</v>
      </c>
      <c r="W564" s="17" t="n">
        <v>0</v>
      </c>
      <c r="X564" s="17" t="n">
        <v>0</v>
      </c>
      <c r="Y564" s="17" t="n">
        <v>0</v>
      </c>
      <c r="Z564" s="17" t="n">
        <v>0</v>
      </c>
      <c r="AA564" s="17" t="n">
        <v>0</v>
      </c>
      <c r="AB564" s="18" t="n">
        <v>0</v>
      </c>
      <c r="AC564" s="16" t="n">
        <v>-2</v>
      </c>
      <c r="AD564" s="17" t="n">
        <v>0</v>
      </c>
      <c r="AE564" s="17" t="n">
        <v>0</v>
      </c>
      <c r="AF564" s="17" t="n">
        <v>-2</v>
      </c>
      <c r="AG564" s="17" t="n">
        <v>0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8" t="n">
        <v>0</v>
      </c>
      <c r="AN564" s="16" t="n">
        <v>13</v>
      </c>
      <c r="AO564" s="17" t="n">
        <v>0</v>
      </c>
      <c r="AP564" s="17" t="n">
        <v>0</v>
      </c>
      <c r="AQ564" s="17" t="n">
        <v>10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8" t="n">
        <v>0</v>
      </c>
      <c r="AY564" s="16" t="n">
        <v>0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7" t="n">
        <v>0</v>
      </c>
      <c r="BG564" s="17" t="n">
        <v>0</v>
      </c>
      <c r="BH564" s="17" t="n">
        <v>0</v>
      </c>
      <c r="BI564" s="18" t="n">
        <v>0</v>
      </c>
      <c r="BJ564" s="16" t="n">
        <v>13</v>
      </c>
      <c r="BK564" s="17" t="n">
        <v>0</v>
      </c>
      <c r="BL564" s="17" t="n">
        <v>0</v>
      </c>
      <c r="BM564" s="17" t="n">
        <v>10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7" t="n">
        <v>0</v>
      </c>
      <c r="BT564" s="18" t="n">
        <v>0</v>
      </c>
      <c r="BU564" s="17" t="inlineStr">
        <is>
          <t>Unclassified</t>
        </is>
      </c>
    </row>
    <row r="565" ht="20" customHeight="1">
      <c r="A565" s="15" t="inlineStr">
        <is>
          <t>72205000130</t>
        </is>
      </c>
      <c r="B565" s="15" t="inlineStr">
        <is>
          <t>MOXIFLOXACIN HCL 400 MG ORAL TABLET</t>
        </is>
      </c>
      <c r="C565" s="16" t="n">
        <v>30</v>
      </c>
      <c r="D565" s="16" t="n">
        <v>0</v>
      </c>
      <c r="E565" s="16" t="n">
        <v>0</v>
      </c>
      <c r="F565" s="16" t="n">
        <v>0</v>
      </c>
      <c r="G565" s="16" t="n">
        <v>7</v>
      </c>
      <c r="H565" s="17" t="n">
        <v>0</v>
      </c>
      <c r="I565" s="17" t="n">
        <v>0</v>
      </c>
      <c r="J565" s="17" t="n">
        <v>7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8" t="n">
        <v>0</v>
      </c>
      <c r="R565" s="16" t="n">
        <v>0.233</v>
      </c>
      <c r="S565" s="17" t="n">
        <v>0</v>
      </c>
      <c r="T565" s="17" t="n">
        <v>0</v>
      </c>
      <c r="U565" s="17" t="n">
        <v>0.233</v>
      </c>
      <c r="V565" s="17" t="n">
        <v>0</v>
      </c>
      <c r="W565" s="17" t="n">
        <v>0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8" t="n">
        <v>0</v>
      </c>
      <c r="AC565" s="16" t="n">
        <v>-0.233</v>
      </c>
      <c r="AD565" s="17" t="n">
        <v>0</v>
      </c>
      <c r="AE565" s="17" t="n">
        <v>0</v>
      </c>
      <c r="AF565" s="17" t="n">
        <v>-0.233</v>
      </c>
      <c r="AG565" s="17" t="n">
        <v>0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8" t="n">
        <v>0</v>
      </c>
      <c r="AN565" s="16" t="n">
        <v>28</v>
      </c>
      <c r="AO565" s="17" t="n">
        <v>0</v>
      </c>
      <c r="AP565" s="17" t="n">
        <v>0</v>
      </c>
      <c r="AQ565" s="17" t="n">
        <v>23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8" t="n">
        <v>0</v>
      </c>
      <c r="AY565" s="16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8" t="n">
        <v>0</v>
      </c>
      <c r="BJ565" s="16" t="n">
        <v>28</v>
      </c>
      <c r="BK565" s="17" t="n">
        <v>0</v>
      </c>
      <c r="BL565" s="17" t="n">
        <v>0</v>
      </c>
      <c r="BM565" s="17" t="n">
        <v>23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8" t="n">
        <v>0</v>
      </c>
      <c r="BU565" s="17" t="inlineStr">
        <is>
          <t>Unclassified</t>
        </is>
      </c>
    </row>
    <row r="566" ht="20" customHeight="1">
      <c r="A566" s="15" t="inlineStr">
        <is>
          <t>70000049101</t>
        </is>
      </c>
      <c r="B566" s="15" t="inlineStr">
        <is>
          <t>MUCUS RELIEF DM 30-600MG TABLET</t>
        </is>
      </c>
      <c r="C566" s="16" t="n">
        <v>20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0</v>
      </c>
      <c r="M566" s="17" t="n">
        <v>0</v>
      </c>
      <c r="N566" s="17" t="n">
        <v>42</v>
      </c>
      <c r="O566" s="17" t="n">
        <v>0</v>
      </c>
      <c r="P566" s="17" t="n">
        <v>0</v>
      </c>
      <c r="Q566" s="18" t="n">
        <v>0</v>
      </c>
      <c r="R566" s="16" t="n">
        <v>0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2.1</v>
      </c>
      <c r="Z566" s="17" t="n">
        <v>0</v>
      </c>
      <c r="AA566" s="17" t="n">
        <v>0</v>
      </c>
      <c r="AB566" s="18" t="n">
        <v>0</v>
      </c>
      <c r="AC566" s="16" t="n">
        <v>0</v>
      </c>
      <c r="AD566" s="17" t="n">
        <v>0</v>
      </c>
      <c r="AE566" s="17" t="n">
        <v>0</v>
      </c>
      <c r="AF566" s="17" t="n">
        <v>0</v>
      </c>
      <c r="AG566" s="17" t="n">
        <v>0</v>
      </c>
      <c r="AH566" s="17" t="n">
        <v>0</v>
      </c>
      <c r="AI566" s="17" t="n">
        <v>0</v>
      </c>
      <c r="AJ566" s="17" t="n">
        <v>-2.1</v>
      </c>
      <c r="AK566" s="17" t="n">
        <v>0</v>
      </c>
      <c r="AL566" s="17" t="n">
        <v>0</v>
      </c>
      <c r="AM566" s="18" t="n">
        <v>0</v>
      </c>
      <c r="AN566" s="16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25</v>
      </c>
      <c r="AV566" s="17" t="n">
        <v>0</v>
      </c>
      <c r="AW566" s="17" t="n">
        <v>0</v>
      </c>
      <c r="AX566" s="18" t="n">
        <v>0</v>
      </c>
      <c r="AY566" s="16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7" t="n">
        <v>0</v>
      </c>
      <c r="BG566" s="17" t="n">
        <v>0</v>
      </c>
      <c r="BH566" s="17" t="n">
        <v>0</v>
      </c>
      <c r="BI566" s="18" t="n">
        <v>0</v>
      </c>
      <c r="BJ566" s="16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25</v>
      </c>
      <c r="BR566" s="17" t="n">
        <v>0</v>
      </c>
      <c r="BS566" s="17" t="n">
        <v>0</v>
      </c>
      <c r="BT566" s="18" t="n">
        <v>0</v>
      </c>
      <c r="BU566" s="17" t="inlineStr">
        <is>
          <t>Unclassified</t>
        </is>
      </c>
    </row>
    <row r="567" ht="20" customHeight="1">
      <c r="A567" s="15" t="inlineStr">
        <is>
          <t>80681002000</t>
        </is>
      </c>
      <c r="B567" s="15" t="inlineStr">
        <is>
          <t>MULTI-VITAMIN TABLET</t>
        </is>
      </c>
      <c r="C567" s="16" t="n">
        <v>1000</v>
      </c>
      <c r="D567" s="16" t="n">
        <v>0</v>
      </c>
      <c r="E567" s="16" t="n">
        <v>0</v>
      </c>
      <c r="F567" s="16" t="n">
        <v>0</v>
      </c>
      <c r="G567" s="16" t="n">
        <v>0</v>
      </c>
      <c r="H567" s="17" t="n">
        <v>30</v>
      </c>
      <c r="I567" s="17" t="n">
        <v>0</v>
      </c>
      <c r="J567" s="17" t="n">
        <v>0</v>
      </c>
      <c r="K567" s="17" t="n">
        <v>0</v>
      </c>
      <c r="L567" s="17" t="n">
        <v>0</v>
      </c>
      <c r="M567" s="17" t="n">
        <v>0</v>
      </c>
      <c r="N567" s="17" t="n">
        <v>60</v>
      </c>
      <c r="O567" s="17" t="n">
        <v>0</v>
      </c>
      <c r="P567" s="17" t="n">
        <v>0</v>
      </c>
      <c r="Q567" s="18" t="n">
        <v>0</v>
      </c>
      <c r="R567" s="16" t="n">
        <v>0</v>
      </c>
      <c r="S567" s="17" t="n">
        <v>0.03</v>
      </c>
      <c r="T567" s="17" t="n">
        <v>0</v>
      </c>
      <c r="U567" s="17" t="n">
        <v>0</v>
      </c>
      <c r="V567" s="17" t="n">
        <v>0</v>
      </c>
      <c r="W567" s="17" t="n">
        <v>0</v>
      </c>
      <c r="X567" s="17" t="n">
        <v>0</v>
      </c>
      <c r="Y567" s="17" t="n">
        <v>0.06</v>
      </c>
      <c r="Z567" s="17" t="n">
        <v>0</v>
      </c>
      <c r="AA567" s="17" t="n">
        <v>0</v>
      </c>
      <c r="AB567" s="18" t="n">
        <v>0</v>
      </c>
      <c r="AC567" s="16" t="n">
        <v>0</v>
      </c>
      <c r="AD567" s="17" t="n">
        <v>-0.03</v>
      </c>
      <c r="AE567" s="17" t="n">
        <v>0</v>
      </c>
      <c r="AF567" s="17" t="n">
        <v>0</v>
      </c>
      <c r="AG567" s="17" t="n">
        <v>0</v>
      </c>
      <c r="AH567" s="17" t="n">
        <v>0</v>
      </c>
      <c r="AI567" s="17" t="n">
        <v>0</v>
      </c>
      <c r="AJ567" s="17" t="n">
        <v>-0.06</v>
      </c>
      <c r="AK567" s="17" t="n">
        <v>0</v>
      </c>
      <c r="AL567" s="17" t="n">
        <v>0</v>
      </c>
      <c r="AM567" s="18" t="n">
        <v>0</v>
      </c>
      <c r="AN567" s="16" t="n">
        <v>0</v>
      </c>
      <c r="AO567" s="17" t="n">
        <v>4</v>
      </c>
      <c r="AP567" s="17" t="n">
        <v>0</v>
      </c>
      <c r="AQ567" s="17" t="n">
        <v>0</v>
      </c>
      <c r="AR567" s="17" t="n">
        <v>0</v>
      </c>
      <c r="AS567" s="17" t="n">
        <v>0</v>
      </c>
      <c r="AT567" s="17" t="n">
        <v>0</v>
      </c>
      <c r="AU567" s="17" t="n">
        <v>1</v>
      </c>
      <c r="AV567" s="17" t="n">
        <v>0</v>
      </c>
      <c r="AW567" s="17" t="n">
        <v>0</v>
      </c>
      <c r="AX567" s="18" t="n">
        <v>0</v>
      </c>
      <c r="AY567" s="16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8" t="n">
        <v>0</v>
      </c>
      <c r="BJ567" s="16" t="n">
        <v>0</v>
      </c>
      <c r="BK567" s="17" t="n">
        <v>4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1</v>
      </c>
      <c r="BR567" s="17" t="n">
        <v>0</v>
      </c>
      <c r="BS567" s="17" t="n">
        <v>0</v>
      </c>
      <c r="BT567" s="18" t="n">
        <v>0</v>
      </c>
      <c r="BU567" s="17" t="inlineStr">
        <is>
          <t>Unclassified</t>
        </is>
      </c>
    </row>
    <row r="568" ht="20" customHeight="1">
      <c r="A568" s="15" t="inlineStr">
        <is>
          <t>80681004900</t>
        </is>
      </c>
      <c r="B568" s="15" t="inlineStr">
        <is>
          <t>MULTIVITAMIN CHILDRENS TABLET CHEWABLE</t>
        </is>
      </c>
      <c r="C568" s="16" t="n">
        <v>100</v>
      </c>
      <c r="D568" s="16" t="n">
        <v>0</v>
      </c>
      <c r="E568" s="16" t="n">
        <v>0</v>
      </c>
      <c r="F568" s="16" t="n">
        <v>0</v>
      </c>
      <c r="G568" s="16" t="n">
        <v>0</v>
      </c>
      <c r="H568" s="17" t="n">
        <v>0</v>
      </c>
      <c r="I568" s="17" t="n">
        <v>0</v>
      </c>
      <c r="J568" s="17" t="n">
        <v>0</v>
      </c>
      <c r="K568" s="17" t="n">
        <v>0</v>
      </c>
      <c r="L568" s="17" t="n">
        <v>0</v>
      </c>
      <c r="M568" s="17" t="n">
        <v>0</v>
      </c>
      <c r="N568" s="17" t="n">
        <v>118</v>
      </c>
      <c r="O568" s="17" t="n">
        <v>0</v>
      </c>
      <c r="P568" s="17" t="n">
        <v>0</v>
      </c>
      <c r="Q568" s="18" t="n">
        <v>0</v>
      </c>
      <c r="R568" s="16" t="n">
        <v>0</v>
      </c>
      <c r="S568" s="17" t="n">
        <v>0</v>
      </c>
      <c r="T568" s="17" t="n">
        <v>0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1.18</v>
      </c>
      <c r="Z568" s="17" t="n">
        <v>0</v>
      </c>
      <c r="AA568" s="17" t="n">
        <v>0</v>
      </c>
      <c r="AB568" s="18" t="n">
        <v>0</v>
      </c>
      <c r="AC568" s="16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-1.18</v>
      </c>
      <c r="AK568" s="17" t="n">
        <v>0</v>
      </c>
      <c r="AL568" s="17" t="n">
        <v>0</v>
      </c>
      <c r="AM568" s="18" t="n">
        <v>0</v>
      </c>
      <c r="AN568" s="16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2</v>
      </c>
      <c r="AV568" s="17" t="n">
        <v>0</v>
      </c>
      <c r="AW568" s="17" t="n">
        <v>0</v>
      </c>
      <c r="AX568" s="18" t="n">
        <v>0</v>
      </c>
      <c r="AY568" s="16" t="n">
        <v>0</v>
      </c>
      <c r="AZ568" s="17" t="n">
        <v>0</v>
      </c>
      <c r="BA568" s="17" t="n">
        <v>0</v>
      </c>
      <c r="BB568" s="17" t="n">
        <v>0</v>
      </c>
      <c r="BC568" s="17" t="n">
        <v>0</v>
      </c>
      <c r="BD568" s="17" t="n">
        <v>0</v>
      </c>
      <c r="BE568" s="17" t="n">
        <v>0</v>
      </c>
      <c r="BF568" s="17" t="n">
        <v>0</v>
      </c>
      <c r="BG568" s="17" t="n">
        <v>0</v>
      </c>
      <c r="BH568" s="17" t="n">
        <v>0</v>
      </c>
      <c r="BI568" s="18" t="n">
        <v>0</v>
      </c>
      <c r="BJ568" s="16" t="n">
        <v>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0</v>
      </c>
      <c r="BP568" s="17" t="n">
        <v>0</v>
      </c>
      <c r="BQ568" s="17" t="n">
        <v>2</v>
      </c>
      <c r="BR568" s="17" t="n">
        <v>0</v>
      </c>
      <c r="BS568" s="17" t="n">
        <v>0</v>
      </c>
      <c r="BT568" s="18" t="n">
        <v>0</v>
      </c>
      <c r="BU568" s="17" t="inlineStr">
        <is>
          <t>Unclassified</t>
        </is>
      </c>
    </row>
    <row r="569" ht="20" customHeight="1">
      <c r="A569" s="15" t="inlineStr">
        <is>
          <t>51672131201</t>
        </is>
      </c>
      <c r="B569" s="15" t="inlineStr">
        <is>
          <t>MUPIROCIN 2 % EXTERNAL OINTMENT</t>
        </is>
      </c>
      <c r="C569" s="16" t="n">
        <v>15</v>
      </c>
      <c r="D569" s="16" t="n">
        <v>3</v>
      </c>
      <c r="E569" s="16" t="n">
        <v>3</v>
      </c>
      <c r="F569" s="16" t="n">
        <v>3</v>
      </c>
      <c r="G569" s="16" t="n">
        <v>75</v>
      </c>
      <c r="H569" s="17" t="n">
        <v>0</v>
      </c>
      <c r="I569" s="17" t="n">
        <v>0</v>
      </c>
      <c r="J569" s="17" t="n">
        <v>45</v>
      </c>
      <c r="K569" s="17" t="n">
        <v>0</v>
      </c>
      <c r="L569" s="17" t="n">
        <v>0</v>
      </c>
      <c r="M569" s="17" t="n">
        <v>0</v>
      </c>
      <c r="N569" s="17" t="n">
        <v>30</v>
      </c>
      <c r="O569" s="17" t="n">
        <v>0</v>
      </c>
      <c r="P569" s="17" t="n">
        <v>0</v>
      </c>
      <c r="Q569" s="18" t="n">
        <v>0</v>
      </c>
      <c r="R569" s="16" t="n">
        <v>5</v>
      </c>
      <c r="S569" s="17" t="n">
        <v>0</v>
      </c>
      <c r="T569" s="17" t="n">
        <v>0</v>
      </c>
      <c r="U569" s="17" t="n">
        <v>3</v>
      </c>
      <c r="V569" s="17" t="n">
        <v>0</v>
      </c>
      <c r="W569" s="17" t="n">
        <v>0</v>
      </c>
      <c r="X569" s="17" t="n">
        <v>0</v>
      </c>
      <c r="Y569" s="17" t="n">
        <v>2</v>
      </c>
      <c r="Z569" s="17" t="n">
        <v>0</v>
      </c>
      <c r="AA569" s="17" t="n">
        <v>0</v>
      </c>
      <c r="AB569" s="18" t="n">
        <v>0</v>
      </c>
      <c r="AC569" s="16" t="n">
        <v>-2</v>
      </c>
      <c r="AD569" s="17" t="n">
        <v>3</v>
      </c>
      <c r="AE569" s="17" t="n">
        <v>3</v>
      </c>
      <c r="AF569" s="17" t="n">
        <v>0</v>
      </c>
      <c r="AG569" s="17" t="n">
        <v>3</v>
      </c>
      <c r="AH569" s="17" t="n">
        <v>3</v>
      </c>
      <c r="AI569" s="17" t="n">
        <v>3</v>
      </c>
      <c r="AJ569" s="17" t="n">
        <v>1</v>
      </c>
      <c r="AK569" s="17" t="n">
        <v>3</v>
      </c>
      <c r="AL569" s="17" t="n">
        <v>3</v>
      </c>
      <c r="AM569" s="18" t="n">
        <v>3</v>
      </c>
      <c r="AN569" s="16" t="n">
        <v>28</v>
      </c>
      <c r="AO569" s="17" t="n">
        <v>0</v>
      </c>
      <c r="AP569" s="17" t="n">
        <v>0</v>
      </c>
      <c r="AQ569" s="17" t="n">
        <v>13</v>
      </c>
      <c r="AR569" s="17" t="n">
        <v>0</v>
      </c>
      <c r="AS569" s="17" t="n">
        <v>0</v>
      </c>
      <c r="AT569" s="17" t="n">
        <v>0</v>
      </c>
      <c r="AU569" s="17" t="n">
        <v>14</v>
      </c>
      <c r="AV569" s="17" t="n">
        <v>0</v>
      </c>
      <c r="AW569" s="17" t="n">
        <v>0</v>
      </c>
      <c r="AX569" s="18" t="n">
        <v>0</v>
      </c>
      <c r="AY569" s="16" t="n">
        <v>15</v>
      </c>
      <c r="AZ569" s="17" t="n">
        <v>0</v>
      </c>
      <c r="BA569" s="17" t="n">
        <v>0</v>
      </c>
      <c r="BB569" s="17" t="n">
        <v>9</v>
      </c>
      <c r="BC569" s="17" t="n">
        <v>0</v>
      </c>
      <c r="BD569" s="17" t="n">
        <v>0</v>
      </c>
      <c r="BE569" s="17" t="n">
        <v>0</v>
      </c>
      <c r="BF569" s="17" t="n">
        <v>6</v>
      </c>
      <c r="BG569" s="17" t="n">
        <v>0</v>
      </c>
      <c r="BH569" s="17" t="n">
        <v>0</v>
      </c>
      <c r="BI569" s="18" t="n">
        <v>0</v>
      </c>
      <c r="BJ569" s="16" t="n">
        <v>13</v>
      </c>
      <c r="BK569" s="17" t="n">
        <v>0</v>
      </c>
      <c r="BL569" s="17" t="n">
        <v>0</v>
      </c>
      <c r="BM569" s="17" t="n">
        <v>4</v>
      </c>
      <c r="BN569" s="17" t="n">
        <v>0</v>
      </c>
      <c r="BO569" s="17" t="n">
        <v>0</v>
      </c>
      <c r="BP569" s="17" t="n">
        <v>0</v>
      </c>
      <c r="BQ569" s="17" t="n">
        <v>8</v>
      </c>
      <c r="BR569" s="17" t="n">
        <v>0</v>
      </c>
      <c r="BS569" s="17" t="n">
        <v>0</v>
      </c>
      <c r="BT569" s="18" t="n">
        <v>0</v>
      </c>
      <c r="BU569" s="17" t="inlineStr">
        <is>
          <t>Generic Drug</t>
        </is>
      </c>
    </row>
    <row r="570" ht="20" customHeight="1">
      <c r="A570" s="15" t="inlineStr">
        <is>
          <t>51672131200</t>
        </is>
      </c>
      <c r="B570" s="15" t="inlineStr">
        <is>
          <t>MUPIROCIN 2% OINTMENT</t>
        </is>
      </c>
      <c r="C570" s="16" t="n">
        <v>22</v>
      </c>
      <c r="D570" s="16" t="n">
        <v>0</v>
      </c>
      <c r="E570" s="16" t="n">
        <v>0</v>
      </c>
      <c r="F570" s="16" t="n">
        <v>0</v>
      </c>
      <c r="G570" s="16" t="n">
        <v>88</v>
      </c>
      <c r="H570" s="17" t="n">
        <v>0</v>
      </c>
      <c r="I570" s="17" t="n">
        <v>0</v>
      </c>
      <c r="J570" s="17" t="n">
        <v>44</v>
      </c>
      <c r="K570" s="17" t="n">
        <v>0</v>
      </c>
      <c r="L570" s="17" t="n">
        <v>0</v>
      </c>
      <c r="M570" s="17" t="n">
        <v>0</v>
      </c>
      <c r="N570" s="17" t="n">
        <v>22</v>
      </c>
      <c r="O570" s="17" t="n">
        <v>22</v>
      </c>
      <c r="P570" s="17" t="n">
        <v>0</v>
      </c>
      <c r="Q570" s="18" t="n">
        <v>0</v>
      </c>
      <c r="R570" s="16" t="n">
        <v>4</v>
      </c>
      <c r="S570" s="17" t="n">
        <v>0</v>
      </c>
      <c r="T570" s="17" t="n">
        <v>0</v>
      </c>
      <c r="U570" s="17" t="n">
        <v>2</v>
      </c>
      <c r="V570" s="17" t="n">
        <v>0</v>
      </c>
      <c r="W570" s="17" t="n">
        <v>0</v>
      </c>
      <c r="X570" s="17" t="n">
        <v>0</v>
      </c>
      <c r="Y570" s="17" t="n">
        <v>1</v>
      </c>
      <c r="Z570" s="17" t="n">
        <v>1</v>
      </c>
      <c r="AA570" s="17" t="n">
        <v>0</v>
      </c>
      <c r="AB570" s="18" t="n">
        <v>0</v>
      </c>
      <c r="AC570" s="16" t="n">
        <v>-4</v>
      </c>
      <c r="AD570" s="17" t="n">
        <v>0</v>
      </c>
      <c r="AE570" s="17" t="n">
        <v>0</v>
      </c>
      <c r="AF570" s="17" t="n">
        <v>-2</v>
      </c>
      <c r="AG570" s="17" t="n">
        <v>0</v>
      </c>
      <c r="AH570" s="17" t="n">
        <v>0</v>
      </c>
      <c r="AI570" s="17" t="n">
        <v>0</v>
      </c>
      <c r="AJ570" s="17" t="n">
        <v>-1</v>
      </c>
      <c r="AK570" s="17" t="n">
        <v>-1</v>
      </c>
      <c r="AL570" s="17" t="n">
        <v>0</v>
      </c>
      <c r="AM570" s="18" t="n">
        <v>0</v>
      </c>
      <c r="AN570" s="16" t="n">
        <v>30</v>
      </c>
      <c r="AO570" s="17" t="n">
        <v>0</v>
      </c>
      <c r="AP570" s="17" t="n">
        <v>0</v>
      </c>
      <c r="AQ570" s="17" t="n">
        <v>7</v>
      </c>
      <c r="AR570" s="17" t="n">
        <v>0</v>
      </c>
      <c r="AS570" s="17" t="n">
        <v>0</v>
      </c>
      <c r="AT570" s="17" t="n">
        <v>0</v>
      </c>
      <c r="AU570" s="17" t="n">
        <v>13</v>
      </c>
      <c r="AV570" s="17" t="n">
        <v>0</v>
      </c>
      <c r="AW570" s="17" t="n">
        <v>0</v>
      </c>
      <c r="AX570" s="18" t="n">
        <v>0</v>
      </c>
      <c r="AY570" s="16" t="n">
        <v>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7" t="n">
        <v>0</v>
      </c>
      <c r="BG570" s="17" t="n">
        <v>0</v>
      </c>
      <c r="BH570" s="17" t="n">
        <v>0</v>
      </c>
      <c r="BI570" s="18" t="n">
        <v>0</v>
      </c>
      <c r="BJ570" s="16" t="n">
        <v>30</v>
      </c>
      <c r="BK570" s="17" t="n">
        <v>0</v>
      </c>
      <c r="BL570" s="17" t="n">
        <v>0</v>
      </c>
      <c r="BM570" s="17" t="n">
        <v>7</v>
      </c>
      <c r="BN570" s="17" t="n">
        <v>0</v>
      </c>
      <c r="BO570" s="17" t="n">
        <v>0</v>
      </c>
      <c r="BP570" s="17" t="n">
        <v>0</v>
      </c>
      <c r="BQ570" s="17" t="n">
        <v>13</v>
      </c>
      <c r="BR570" s="17" t="n">
        <v>0</v>
      </c>
      <c r="BS570" s="17" t="n">
        <v>0</v>
      </c>
      <c r="BT570" s="18" t="n">
        <v>0</v>
      </c>
      <c r="BU570" s="17" t="inlineStr">
        <is>
          <t>Unclassified</t>
        </is>
      </c>
    </row>
    <row r="571" ht="20" customHeight="1">
      <c r="A571" s="15" t="inlineStr">
        <is>
          <t>24208027615</t>
        </is>
      </c>
      <c r="B571" s="15" t="inlineStr">
        <is>
          <t>MURO 128 2% SOLUTION</t>
        </is>
      </c>
      <c r="C571" s="16" t="n">
        <v>15</v>
      </c>
      <c r="D571" s="16" t="n">
        <v>0</v>
      </c>
      <c r="E571" s="16" t="n">
        <v>0</v>
      </c>
      <c r="F571" s="16" t="n">
        <v>0</v>
      </c>
      <c r="G571" s="16" t="n">
        <v>15</v>
      </c>
      <c r="H571" s="17" t="n">
        <v>0</v>
      </c>
      <c r="I571" s="17" t="n">
        <v>0</v>
      </c>
      <c r="J571" s="17" t="n">
        <v>0</v>
      </c>
      <c r="K571" s="17" t="n">
        <v>15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8" t="n">
        <v>0</v>
      </c>
      <c r="R571" s="16" t="n">
        <v>1</v>
      </c>
      <c r="S571" s="17" t="n">
        <v>0</v>
      </c>
      <c r="T571" s="17" t="n">
        <v>0</v>
      </c>
      <c r="U571" s="17" t="n">
        <v>0</v>
      </c>
      <c r="V571" s="17" t="n">
        <v>1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8" t="n">
        <v>0</v>
      </c>
      <c r="AC571" s="16" t="n">
        <v>-1</v>
      </c>
      <c r="AD571" s="17" t="n">
        <v>0</v>
      </c>
      <c r="AE571" s="17" t="n">
        <v>0</v>
      </c>
      <c r="AF571" s="17" t="n">
        <v>0</v>
      </c>
      <c r="AG571" s="17" t="n">
        <v>-1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8" t="n">
        <v>0</v>
      </c>
      <c r="AN571" s="16" t="n">
        <v>18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8" t="n">
        <v>0</v>
      </c>
      <c r="AY571" s="16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8" t="n">
        <v>0</v>
      </c>
      <c r="BJ571" s="16" t="n">
        <v>18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8" t="n">
        <v>0</v>
      </c>
      <c r="BU571" s="17" t="inlineStr">
        <is>
          <t>Unclassified</t>
        </is>
      </c>
    </row>
    <row r="572" ht="20" customHeight="1">
      <c r="A572" s="15" t="inlineStr">
        <is>
          <t>24208038555</t>
        </is>
      </c>
      <c r="B572" s="15" t="inlineStr">
        <is>
          <t>MURO 128 5% OINTMENT</t>
        </is>
      </c>
      <c r="C572" s="16" t="n">
        <v>3.5</v>
      </c>
      <c r="D572" s="16" t="n">
        <v>0</v>
      </c>
      <c r="E572" s="16" t="n">
        <v>0</v>
      </c>
      <c r="F572" s="16" t="n">
        <v>0</v>
      </c>
      <c r="G572" s="16" t="n">
        <v>3.5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3.5</v>
      </c>
      <c r="O572" s="17" t="n">
        <v>0</v>
      </c>
      <c r="P572" s="17" t="n">
        <v>0</v>
      </c>
      <c r="Q572" s="18" t="n">
        <v>0</v>
      </c>
      <c r="R572" s="16" t="n">
        <v>1</v>
      </c>
      <c r="S572" s="17" t="n">
        <v>0</v>
      </c>
      <c r="T572" s="17" t="n">
        <v>0</v>
      </c>
      <c r="U572" s="17" t="n">
        <v>0</v>
      </c>
      <c r="V572" s="17" t="n">
        <v>0</v>
      </c>
      <c r="W572" s="17" t="n">
        <v>0</v>
      </c>
      <c r="X572" s="17" t="n">
        <v>0</v>
      </c>
      <c r="Y572" s="17" t="n">
        <v>1</v>
      </c>
      <c r="Z572" s="17" t="n">
        <v>0</v>
      </c>
      <c r="AA572" s="17" t="n">
        <v>0</v>
      </c>
      <c r="AB572" s="18" t="n">
        <v>0</v>
      </c>
      <c r="AC572" s="16" t="n">
        <v>-1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-1</v>
      </c>
      <c r="AK572" s="17" t="n">
        <v>0</v>
      </c>
      <c r="AL572" s="17" t="n">
        <v>0</v>
      </c>
      <c r="AM572" s="18" t="n">
        <v>0</v>
      </c>
      <c r="AN572" s="16" t="n">
        <v>19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19</v>
      </c>
      <c r="AV572" s="17" t="n">
        <v>0</v>
      </c>
      <c r="AW572" s="17" t="n">
        <v>0</v>
      </c>
      <c r="AX572" s="18" t="n">
        <v>0</v>
      </c>
      <c r="AY572" s="16" t="n">
        <v>0</v>
      </c>
      <c r="AZ572" s="17" t="n">
        <v>0</v>
      </c>
      <c r="BA572" s="17" t="n">
        <v>0</v>
      </c>
      <c r="BB572" s="17" t="n">
        <v>0</v>
      </c>
      <c r="BC572" s="17" t="n">
        <v>0</v>
      </c>
      <c r="BD572" s="17" t="n">
        <v>0</v>
      </c>
      <c r="BE572" s="17" t="n">
        <v>0</v>
      </c>
      <c r="BF572" s="17" t="n">
        <v>0</v>
      </c>
      <c r="BG572" s="17" t="n">
        <v>0</v>
      </c>
      <c r="BH572" s="17" t="n">
        <v>0</v>
      </c>
      <c r="BI572" s="18" t="n">
        <v>0</v>
      </c>
      <c r="BJ572" s="16" t="n">
        <v>19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0</v>
      </c>
      <c r="BP572" s="17" t="n">
        <v>0</v>
      </c>
      <c r="BQ572" s="17" t="n">
        <v>19</v>
      </c>
      <c r="BR572" s="17" t="n">
        <v>0</v>
      </c>
      <c r="BS572" s="17" t="n">
        <v>0</v>
      </c>
      <c r="BT572" s="18" t="n">
        <v>0</v>
      </c>
      <c r="BU572" s="17" t="inlineStr">
        <is>
          <t>Unclassified</t>
        </is>
      </c>
    </row>
    <row r="573" ht="20" customHeight="1">
      <c r="A573" s="15" t="inlineStr">
        <is>
          <t>64380072507</t>
        </is>
      </c>
      <c r="B573" s="15" t="inlineStr">
        <is>
          <t>MYCOPHENOLATE MOFETIL 500MG TABLET</t>
        </is>
      </c>
      <c r="C573" s="16" t="n">
        <v>500</v>
      </c>
      <c r="D573" s="16" t="n">
        <v>0</v>
      </c>
      <c r="E573" s="16" t="n">
        <v>0</v>
      </c>
      <c r="F573" s="16" t="n">
        <v>0</v>
      </c>
      <c r="G573" s="16" t="n">
        <v>180</v>
      </c>
      <c r="H573" s="17" t="n">
        <v>0</v>
      </c>
      <c r="I573" s="17" t="n">
        <v>0</v>
      </c>
      <c r="J573" s="17" t="n">
        <v>180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8" t="n">
        <v>0</v>
      </c>
      <c r="R573" s="16" t="n">
        <v>0.36</v>
      </c>
      <c r="S573" s="17" t="n">
        <v>0</v>
      </c>
      <c r="T573" s="17" t="n">
        <v>0</v>
      </c>
      <c r="U573" s="17" t="n">
        <v>0.36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8" t="n">
        <v>0</v>
      </c>
      <c r="AC573" s="16" t="n">
        <v>-0.36</v>
      </c>
      <c r="AD573" s="17" t="n">
        <v>0</v>
      </c>
      <c r="AE573" s="17" t="n">
        <v>0</v>
      </c>
      <c r="AF573" s="17" t="n">
        <v>-0.36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8" t="n">
        <v>0</v>
      </c>
      <c r="AN573" s="16" t="n">
        <v>93</v>
      </c>
      <c r="AO573" s="17" t="n">
        <v>0</v>
      </c>
      <c r="AP573" s="17" t="n">
        <v>0</v>
      </c>
      <c r="AQ573" s="17" t="n">
        <v>93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  <c r="AW573" s="17" t="n">
        <v>0</v>
      </c>
      <c r="AX573" s="18" t="n">
        <v>0</v>
      </c>
      <c r="AY573" s="16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8" t="n">
        <v>0</v>
      </c>
      <c r="BJ573" s="16" t="n">
        <v>93</v>
      </c>
      <c r="BK573" s="17" t="n">
        <v>0</v>
      </c>
      <c r="BL573" s="17" t="n">
        <v>0</v>
      </c>
      <c r="BM573" s="17" t="n">
        <v>93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8" t="n">
        <v>0</v>
      </c>
      <c r="BU573" s="17" t="inlineStr">
        <is>
          <t>Unclassified</t>
        </is>
      </c>
    </row>
    <row r="574" ht="20" customHeight="1">
      <c r="A574" s="15" t="inlineStr">
        <is>
          <t>00469260230</t>
        </is>
      </c>
      <c r="B574" s="15" t="inlineStr">
        <is>
          <t>MYRBETRIQ 50MG TABLET</t>
        </is>
      </c>
      <c r="C574" s="16" t="n">
        <v>30</v>
      </c>
      <c r="D574" s="16" t="n">
        <v>3</v>
      </c>
      <c r="E574" s="16" t="n">
        <v>3</v>
      </c>
      <c r="F574" s="16" t="n">
        <v>448</v>
      </c>
      <c r="G574" s="16" t="n">
        <v>210</v>
      </c>
      <c r="H574" s="17" t="n">
        <v>0</v>
      </c>
      <c r="I574" s="17" t="n">
        <v>0</v>
      </c>
      <c r="J574" s="17" t="n">
        <v>120</v>
      </c>
      <c r="K574" s="17" t="n">
        <v>0</v>
      </c>
      <c r="L574" s="17" t="n">
        <v>0</v>
      </c>
      <c r="M574" s="17" t="n">
        <v>0</v>
      </c>
      <c r="N574" s="17" t="n">
        <v>90</v>
      </c>
      <c r="O574" s="17" t="n">
        <v>0</v>
      </c>
      <c r="P574" s="17" t="n">
        <v>0</v>
      </c>
      <c r="Q574" s="18" t="n">
        <v>0</v>
      </c>
      <c r="R574" s="16" t="n">
        <v>7</v>
      </c>
      <c r="S574" s="17" t="n">
        <v>0</v>
      </c>
      <c r="T574" s="17" t="n">
        <v>0</v>
      </c>
      <c r="U574" s="17" t="n">
        <v>4</v>
      </c>
      <c r="V574" s="17" t="n">
        <v>0</v>
      </c>
      <c r="W574" s="17" t="n">
        <v>0</v>
      </c>
      <c r="X574" s="17" t="n">
        <v>0</v>
      </c>
      <c r="Y574" s="17" t="n">
        <v>3</v>
      </c>
      <c r="Z574" s="17" t="n">
        <v>0</v>
      </c>
      <c r="AA574" s="17" t="n">
        <v>0</v>
      </c>
      <c r="AB574" s="18" t="n">
        <v>0</v>
      </c>
      <c r="AC574" s="16" t="n">
        <v>-4</v>
      </c>
      <c r="AD574" s="17" t="n">
        <v>3</v>
      </c>
      <c r="AE574" s="17" t="n">
        <v>3</v>
      </c>
      <c r="AF574" s="17" t="n">
        <v>-1</v>
      </c>
      <c r="AG574" s="17" t="n">
        <v>3</v>
      </c>
      <c r="AH574" s="17" t="n">
        <v>3</v>
      </c>
      <c r="AI574" s="17" t="n">
        <v>3</v>
      </c>
      <c r="AJ574" s="17" t="n">
        <v>0</v>
      </c>
      <c r="AK574" s="17" t="n">
        <v>3</v>
      </c>
      <c r="AL574" s="17" t="n">
        <v>3</v>
      </c>
      <c r="AM574" s="18" t="n">
        <v>3</v>
      </c>
      <c r="AN574" s="16" t="n">
        <v>3078</v>
      </c>
      <c r="AO574" s="17" t="n">
        <v>0</v>
      </c>
      <c r="AP574" s="17" t="n">
        <v>0</v>
      </c>
      <c r="AQ574" s="17" t="n">
        <v>1745</v>
      </c>
      <c r="AR574" s="17" t="n">
        <v>0</v>
      </c>
      <c r="AS574" s="17" t="n">
        <v>0</v>
      </c>
      <c r="AT574" s="17" t="n">
        <v>0</v>
      </c>
      <c r="AU574" s="17" t="n">
        <v>1333</v>
      </c>
      <c r="AV574" s="17" t="n">
        <v>0</v>
      </c>
      <c r="AW574" s="17" t="n">
        <v>0</v>
      </c>
      <c r="AX574" s="18" t="n">
        <v>0</v>
      </c>
      <c r="AY574" s="16" t="n">
        <v>3136</v>
      </c>
      <c r="AZ574" s="17" t="n">
        <v>0</v>
      </c>
      <c r="BA574" s="17" t="n">
        <v>0</v>
      </c>
      <c r="BB574" s="17" t="n">
        <v>1792</v>
      </c>
      <c r="BC574" s="17" t="n">
        <v>0</v>
      </c>
      <c r="BD574" s="17" t="n">
        <v>0</v>
      </c>
      <c r="BE574" s="17" t="n">
        <v>0</v>
      </c>
      <c r="BF574" s="17" t="n">
        <v>1344</v>
      </c>
      <c r="BG574" s="17" t="n">
        <v>0</v>
      </c>
      <c r="BH574" s="17" t="n">
        <v>0</v>
      </c>
      <c r="BI574" s="18" t="n">
        <v>0</v>
      </c>
      <c r="BJ574" s="16" t="n">
        <v>-58</v>
      </c>
      <c r="BK574" s="17" t="n">
        <v>0</v>
      </c>
      <c r="BL574" s="17" t="n">
        <v>0</v>
      </c>
      <c r="BM574" s="17" t="n">
        <v>-47</v>
      </c>
      <c r="BN574" s="17" t="n">
        <v>0</v>
      </c>
      <c r="BO574" s="17" t="n">
        <v>0</v>
      </c>
      <c r="BP574" s="17" t="n">
        <v>0</v>
      </c>
      <c r="BQ574" s="17" t="n">
        <v>-11</v>
      </c>
      <c r="BR574" s="17" t="n">
        <v>0</v>
      </c>
      <c r="BS574" s="17" t="n">
        <v>0</v>
      </c>
      <c r="BT574" s="18" t="n">
        <v>0</v>
      </c>
      <c r="BU574" s="17" t="inlineStr">
        <is>
          <t>Branded Drug</t>
        </is>
      </c>
    </row>
    <row r="575" ht="20" customHeight="1">
      <c r="A575" s="15" t="inlineStr">
        <is>
          <t>67877072592</t>
        </is>
      </c>
      <c r="B575" s="15" t="inlineStr">
        <is>
          <t>NA SULFATE-K SULFATE-MG SULF 17.5-3.13-1.6 GM/177ML ORAL SOLUTION</t>
        </is>
      </c>
      <c r="C575" s="16" t="n">
        <v>354</v>
      </c>
      <c r="D575" s="16" t="n">
        <v>3</v>
      </c>
      <c r="E575" s="16" t="n">
        <v>3</v>
      </c>
      <c r="F575" s="16" t="n">
        <v>33</v>
      </c>
      <c r="G575" s="16" t="n">
        <v>1416</v>
      </c>
      <c r="H575" s="17" t="n">
        <v>0</v>
      </c>
      <c r="I575" s="17" t="n">
        <v>0</v>
      </c>
      <c r="J575" s="17" t="n">
        <v>708</v>
      </c>
      <c r="K575" s="17" t="n">
        <v>0</v>
      </c>
      <c r="L575" s="17" t="n">
        <v>0</v>
      </c>
      <c r="M575" s="17" t="n">
        <v>0</v>
      </c>
      <c r="N575" s="17" t="n">
        <v>708</v>
      </c>
      <c r="O575" s="17" t="n">
        <v>0</v>
      </c>
      <c r="P575" s="17" t="n">
        <v>0</v>
      </c>
      <c r="Q575" s="18" t="n">
        <v>0</v>
      </c>
      <c r="R575" s="16" t="n">
        <v>4</v>
      </c>
      <c r="S575" s="17" t="n">
        <v>0</v>
      </c>
      <c r="T575" s="17" t="n">
        <v>0</v>
      </c>
      <c r="U575" s="17" t="n">
        <v>2</v>
      </c>
      <c r="V575" s="17" t="n">
        <v>0</v>
      </c>
      <c r="W575" s="17" t="n">
        <v>0</v>
      </c>
      <c r="X575" s="17" t="n">
        <v>0</v>
      </c>
      <c r="Y575" s="17" t="n">
        <v>2</v>
      </c>
      <c r="Z575" s="17" t="n">
        <v>0</v>
      </c>
      <c r="AA575" s="17" t="n">
        <v>0</v>
      </c>
      <c r="AB575" s="18" t="n">
        <v>0</v>
      </c>
      <c r="AC575" s="16" t="n">
        <v>-1</v>
      </c>
      <c r="AD575" s="17" t="n">
        <v>3</v>
      </c>
      <c r="AE575" s="17" t="n">
        <v>3</v>
      </c>
      <c r="AF575" s="17" t="n">
        <v>1</v>
      </c>
      <c r="AG575" s="17" t="n">
        <v>3</v>
      </c>
      <c r="AH575" s="17" t="n">
        <v>3</v>
      </c>
      <c r="AI575" s="17" t="n">
        <v>3</v>
      </c>
      <c r="AJ575" s="17" t="n">
        <v>1</v>
      </c>
      <c r="AK575" s="17" t="n">
        <v>3</v>
      </c>
      <c r="AL575" s="17" t="n">
        <v>3</v>
      </c>
      <c r="AM575" s="18" t="n">
        <v>3</v>
      </c>
      <c r="AN575" s="16" t="n">
        <v>195</v>
      </c>
      <c r="AO575" s="17" t="n">
        <v>0</v>
      </c>
      <c r="AP575" s="17" t="n">
        <v>0</v>
      </c>
      <c r="AQ575" s="17" t="n">
        <v>69</v>
      </c>
      <c r="AR575" s="17" t="n">
        <v>0</v>
      </c>
      <c r="AS575" s="17" t="n">
        <v>0</v>
      </c>
      <c r="AT575" s="17" t="n">
        <v>0</v>
      </c>
      <c r="AU575" s="17" t="n">
        <v>123</v>
      </c>
      <c r="AV575" s="17" t="n">
        <v>0</v>
      </c>
      <c r="AW575" s="17" t="n">
        <v>0</v>
      </c>
      <c r="AX575" s="18" t="n">
        <v>0</v>
      </c>
      <c r="AY575" s="16" t="n">
        <v>132</v>
      </c>
      <c r="AZ575" s="17" t="n">
        <v>0</v>
      </c>
      <c r="BA575" s="17" t="n">
        <v>0</v>
      </c>
      <c r="BB575" s="17" t="n">
        <v>66</v>
      </c>
      <c r="BC575" s="17" t="n">
        <v>0</v>
      </c>
      <c r="BD575" s="17" t="n">
        <v>0</v>
      </c>
      <c r="BE575" s="17" t="n">
        <v>0</v>
      </c>
      <c r="BF575" s="17" t="n">
        <v>66</v>
      </c>
      <c r="BG575" s="17" t="n">
        <v>0</v>
      </c>
      <c r="BH575" s="17" t="n">
        <v>0</v>
      </c>
      <c r="BI575" s="18" t="n">
        <v>0</v>
      </c>
      <c r="BJ575" s="16" t="n">
        <v>63</v>
      </c>
      <c r="BK575" s="17" t="n">
        <v>0</v>
      </c>
      <c r="BL575" s="17" t="n">
        <v>0</v>
      </c>
      <c r="BM575" s="17" t="n">
        <v>3</v>
      </c>
      <c r="BN575" s="17" t="n">
        <v>0</v>
      </c>
      <c r="BO575" s="17" t="n">
        <v>0</v>
      </c>
      <c r="BP575" s="17" t="n">
        <v>0</v>
      </c>
      <c r="BQ575" s="17" t="n">
        <v>57</v>
      </c>
      <c r="BR575" s="17" t="n">
        <v>0</v>
      </c>
      <c r="BS575" s="17" t="n">
        <v>0</v>
      </c>
      <c r="BT575" s="18" t="n">
        <v>0</v>
      </c>
      <c r="BU575" s="17" t="inlineStr">
        <is>
          <t>Generic Drug</t>
        </is>
      </c>
    </row>
    <row r="576" ht="20" customHeight="1">
      <c r="A576" s="15" t="inlineStr">
        <is>
          <t>69367024101</t>
        </is>
      </c>
      <c r="B576" s="15" t="inlineStr">
        <is>
          <t>NABUMETONE 500MG TABLET</t>
        </is>
      </c>
      <c r="C576" s="16" t="n">
        <v>100</v>
      </c>
      <c r="D576" s="16" t="n">
        <v>0</v>
      </c>
      <c r="E576" s="16" t="n">
        <v>0</v>
      </c>
      <c r="F576" s="16" t="n">
        <v>0</v>
      </c>
      <c r="G576" s="16" t="n">
        <v>118</v>
      </c>
      <c r="H576" s="17" t="n">
        <v>0</v>
      </c>
      <c r="I576" s="17" t="n">
        <v>0</v>
      </c>
      <c r="J576" s="17" t="n">
        <v>28</v>
      </c>
      <c r="K576" s="17" t="n">
        <v>0</v>
      </c>
      <c r="L576" s="17" t="n">
        <v>0</v>
      </c>
      <c r="M576" s="17" t="n">
        <v>30</v>
      </c>
      <c r="N576" s="17" t="n">
        <v>0</v>
      </c>
      <c r="O576" s="17" t="n">
        <v>0</v>
      </c>
      <c r="P576" s="17" t="n">
        <v>60</v>
      </c>
      <c r="Q576" s="18" t="n">
        <v>0</v>
      </c>
      <c r="R576" s="16" t="n">
        <v>1.18</v>
      </c>
      <c r="S576" s="17" t="n">
        <v>0</v>
      </c>
      <c r="T576" s="17" t="n">
        <v>0</v>
      </c>
      <c r="U576" s="17" t="n">
        <v>0.28</v>
      </c>
      <c r="V576" s="17" t="n">
        <v>0</v>
      </c>
      <c r="W576" s="17" t="n">
        <v>0</v>
      </c>
      <c r="X576" s="17" t="n">
        <v>0.3</v>
      </c>
      <c r="Y576" s="17" t="n">
        <v>0</v>
      </c>
      <c r="Z576" s="17" t="n">
        <v>0</v>
      </c>
      <c r="AA576" s="17" t="n">
        <v>0.6</v>
      </c>
      <c r="AB576" s="18" t="n">
        <v>0</v>
      </c>
      <c r="AC576" s="16" t="n">
        <v>-1.18</v>
      </c>
      <c r="AD576" s="17" t="n">
        <v>0</v>
      </c>
      <c r="AE576" s="17" t="n">
        <v>0</v>
      </c>
      <c r="AF576" s="17" t="n">
        <v>-0.28</v>
      </c>
      <c r="AG576" s="17" t="n">
        <v>0</v>
      </c>
      <c r="AH576" s="17" t="n">
        <v>0</v>
      </c>
      <c r="AI576" s="17" t="n">
        <v>-0.3</v>
      </c>
      <c r="AJ576" s="17" t="n">
        <v>0</v>
      </c>
      <c r="AK576" s="17" t="n">
        <v>0</v>
      </c>
      <c r="AL576" s="17" t="n">
        <v>-0.6</v>
      </c>
      <c r="AM576" s="18" t="n">
        <v>0</v>
      </c>
      <c r="AN576" s="16" t="n">
        <v>18</v>
      </c>
      <c r="AO576" s="17" t="n">
        <v>0</v>
      </c>
      <c r="AP576" s="17" t="n">
        <v>0</v>
      </c>
      <c r="AQ576" s="17" t="n">
        <v>1</v>
      </c>
      <c r="AR576" s="17" t="n">
        <v>0</v>
      </c>
      <c r="AS576" s="17" t="n">
        <v>0</v>
      </c>
      <c r="AT576" s="17" t="n">
        <v>6</v>
      </c>
      <c r="AU576" s="17" t="n">
        <v>0</v>
      </c>
      <c r="AV576" s="17" t="n">
        <v>0</v>
      </c>
      <c r="AW576" s="17" t="n">
        <v>4</v>
      </c>
      <c r="AX576" s="18" t="n">
        <v>0</v>
      </c>
      <c r="AY576" s="16" t="n">
        <v>0</v>
      </c>
      <c r="AZ576" s="17" t="n">
        <v>0</v>
      </c>
      <c r="BA576" s="17" t="n">
        <v>0</v>
      </c>
      <c r="BB576" s="17" t="n">
        <v>0</v>
      </c>
      <c r="BC576" s="17" t="n">
        <v>0</v>
      </c>
      <c r="BD576" s="17" t="n">
        <v>0</v>
      </c>
      <c r="BE576" s="17" t="n">
        <v>0</v>
      </c>
      <c r="BF576" s="17" t="n">
        <v>0</v>
      </c>
      <c r="BG576" s="17" t="n">
        <v>0</v>
      </c>
      <c r="BH576" s="17" t="n">
        <v>0</v>
      </c>
      <c r="BI576" s="18" t="n">
        <v>0</v>
      </c>
      <c r="BJ576" s="16" t="n">
        <v>18</v>
      </c>
      <c r="BK576" s="17" t="n">
        <v>0</v>
      </c>
      <c r="BL576" s="17" t="n">
        <v>0</v>
      </c>
      <c r="BM576" s="17" t="n">
        <v>1</v>
      </c>
      <c r="BN576" s="17" t="n">
        <v>0</v>
      </c>
      <c r="BO576" s="17" t="n">
        <v>0</v>
      </c>
      <c r="BP576" s="17" t="n">
        <v>6</v>
      </c>
      <c r="BQ576" s="17" t="n">
        <v>0</v>
      </c>
      <c r="BR576" s="17" t="n">
        <v>0</v>
      </c>
      <c r="BS576" s="17" t="n">
        <v>4</v>
      </c>
      <c r="BT576" s="18" t="n">
        <v>0</v>
      </c>
      <c r="BU576" s="17" t="inlineStr">
        <is>
          <t>Unclassified</t>
        </is>
      </c>
    </row>
    <row r="577" ht="20" customHeight="1">
      <c r="A577" s="15" t="inlineStr">
        <is>
          <t>69238112309</t>
        </is>
      </c>
      <c r="B577" s="15" t="inlineStr">
        <is>
          <t>NADOLOL 20MG TABLET</t>
        </is>
      </c>
      <c r="C577" s="16" t="n">
        <v>90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30</v>
      </c>
      <c r="L577" s="17" t="n">
        <v>0</v>
      </c>
      <c r="M577" s="17" t="n">
        <v>0</v>
      </c>
      <c r="N577" s="17" t="n">
        <v>30</v>
      </c>
      <c r="O577" s="17" t="n">
        <v>0</v>
      </c>
      <c r="P577" s="17" t="n">
        <v>0</v>
      </c>
      <c r="Q577" s="18" t="n">
        <v>0</v>
      </c>
      <c r="R577" s="16" t="n">
        <v>0.667</v>
      </c>
      <c r="S577" s="17" t="n">
        <v>0</v>
      </c>
      <c r="T577" s="17" t="n">
        <v>0</v>
      </c>
      <c r="U577" s="17" t="n">
        <v>0</v>
      </c>
      <c r="V577" s="17" t="n">
        <v>0.333</v>
      </c>
      <c r="W577" s="17" t="n">
        <v>0</v>
      </c>
      <c r="X577" s="17" t="n">
        <v>0</v>
      </c>
      <c r="Y577" s="17" t="n">
        <v>0.333</v>
      </c>
      <c r="Z577" s="17" t="n">
        <v>0</v>
      </c>
      <c r="AA577" s="17" t="n">
        <v>0</v>
      </c>
      <c r="AB577" s="18" t="n">
        <v>0</v>
      </c>
      <c r="AC577" s="16" t="n">
        <v>-0.667</v>
      </c>
      <c r="AD577" s="17" t="n">
        <v>0</v>
      </c>
      <c r="AE577" s="17" t="n">
        <v>0</v>
      </c>
      <c r="AF577" s="17" t="n">
        <v>0</v>
      </c>
      <c r="AG577" s="17" t="n">
        <v>-0.333</v>
      </c>
      <c r="AH577" s="17" t="n">
        <v>0</v>
      </c>
      <c r="AI577" s="17" t="n">
        <v>0</v>
      </c>
      <c r="AJ577" s="17" t="n">
        <v>-0.333</v>
      </c>
      <c r="AK577" s="17" t="n">
        <v>0</v>
      </c>
      <c r="AL577" s="17" t="n">
        <v>0</v>
      </c>
      <c r="AM577" s="18" t="n">
        <v>0</v>
      </c>
      <c r="AN577" s="16" t="n">
        <v>35</v>
      </c>
      <c r="AO577" s="17" t="n">
        <v>0</v>
      </c>
      <c r="AP577" s="17" t="n">
        <v>0</v>
      </c>
      <c r="AQ577" s="17" t="n">
        <v>0</v>
      </c>
      <c r="AR577" s="17" t="n">
        <v>14</v>
      </c>
      <c r="AS577" s="17" t="n">
        <v>0</v>
      </c>
      <c r="AT577" s="17" t="n">
        <v>0</v>
      </c>
      <c r="AU577" s="17" t="n">
        <v>16</v>
      </c>
      <c r="AV577" s="17" t="n">
        <v>0</v>
      </c>
      <c r="AW577" s="17" t="n">
        <v>0</v>
      </c>
      <c r="AX577" s="18" t="n">
        <v>0</v>
      </c>
      <c r="AY577" s="16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8" t="n">
        <v>0</v>
      </c>
      <c r="BJ577" s="16" t="n">
        <v>35</v>
      </c>
      <c r="BK577" s="17" t="n">
        <v>0</v>
      </c>
      <c r="BL577" s="17" t="n">
        <v>0</v>
      </c>
      <c r="BM577" s="17" t="n">
        <v>0</v>
      </c>
      <c r="BN577" s="17" t="n">
        <v>14</v>
      </c>
      <c r="BO577" s="17" t="n">
        <v>0</v>
      </c>
      <c r="BP577" s="17" t="n">
        <v>0</v>
      </c>
      <c r="BQ577" s="17" t="n">
        <v>16</v>
      </c>
      <c r="BR577" s="17" t="n">
        <v>0</v>
      </c>
      <c r="BS577" s="17" t="n">
        <v>0</v>
      </c>
      <c r="BT577" s="18" t="n">
        <v>0</v>
      </c>
      <c r="BU577" s="17" t="inlineStr">
        <is>
          <t>Unclassified</t>
        </is>
      </c>
    </row>
    <row r="578" ht="20" customHeight="1">
      <c r="A578" s="15" t="inlineStr">
        <is>
          <t>45802057884</t>
        </is>
      </c>
      <c r="B578" s="15" t="inlineStr">
        <is>
          <t>NALOXONE HCL 4 MG/0.1ML NASAL LIQUID</t>
        </is>
      </c>
      <c r="C578" s="16" t="n">
        <v>2</v>
      </c>
      <c r="D578" s="16" t="n">
        <v>0</v>
      </c>
      <c r="E578" s="16" t="n">
        <v>0</v>
      </c>
      <c r="F578" s="16" t="n">
        <v>0</v>
      </c>
      <c r="G578" s="16" t="n">
        <v>0</v>
      </c>
      <c r="H578" s="17" t="n">
        <v>0</v>
      </c>
      <c r="I578" s="17" t="n">
        <v>0</v>
      </c>
      <c r="J578" s="17" t="n">
        <v>2</v>
      </c>
      <c r="K578" s="17" t="n">
        <v>0</v>
      </c>
      <c r="L578" s="17" t="n">
        <v>0</v>
      </c>
      <c r="M578" s="17" t="n">
        <v>0</v>
      </c>
      <c r="N578" s="17" t="n">
        <v>4</v>
      </c>
      <c r="O578" s="17" t="n">
        <v>0</v>
      </c>
      <c r="P578" s="17" t="n">
        <v>0</v>
      </c>
      <c r="Q578" s="18" t="n">
        <v>0</v>
      </c>
      <c r="R578" s="16" t="n">
        <v>0</v>
      </c>
      <c r="S578" s="17" t="n">
        <v>0</v>
      </c>
      <c r="T578" s="17" t="n">
        <v>0</v>
      </c>
      <c r="U578" s="17" t="n">
        <v>1</v>
      </c>
      <c r="V578" s="17" t="n">
        <v>0</v>
      </c>
      <c r="W578" s="17" t="n">
        <v>0</v>
      </c>
      <c r="X578" s="17" t="n">
        <v>0</v>
      </c>
      <c r="Y578" s="17" t="n">
        <v>2</v>
      </c>
      <c r="Z578" s="17" t="n">
        <v>0</v>
      </c>
      <c r="AA578" s="17" t="n">
        <v>0</v>
      </c>
      <c r="AB578" s="18" t="n">
        <v>0</v>
      </c>
      <c r="AC578" s="16" t="n">
        <v>0</v>
      </c>
      <c r="AD578" s="17" t="n">
        <v>0</v>
      </c>
      <c r="AE578" s="17" t="n">
        <v>0</v>
      </c>
      <c r="AF578" s="17" t="n">
        <v>-1</v>
      </c>
      <c r="AG578" s="17" t="n">
        <v>0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8" t="n">
        <v>0</v>
      </c>
      <c r="AN578" s="16" t="n">
        <v>0</v>
      </c>
      <c r="AO578" s="17" t="n">
        <v>0</v>
      </c>
      <c r="AP578" s="17" t="n">
        <v>0</v>
      </c>
      <c r="AQ578" s="17" t="n">
        <v>49</v>
      </c>
      <c r="AR578" s="17" t="n">
        <v>0</v>
      </c>
      <c r="AS578" s="17" t="n">
        <v>0</v>
      </c>
      <c r="AT578" s="17" t="n">
        <v>0</v>
      </c>
      <c r="AU578" s="17" t="n">
        <v>81</v>
      </c>
      <c r="AV578" s="17" t="n">
        <v>0</v>
      </c>
      <c r="AW578" s="17" t="n">
        <v>0</v>
      </c>
      <c r="AX578" s="18" t="n">
        <v>0</v>
      </c>
      <c r="AY578" s="16" t="n">
        <v>0</v>
      </c>
      <c r="AZ578" s="17" t="n">
        <v>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7" t="n">
        <v>0</v>
      </c>
      <c r="BG578" s="17" t="n">
        <v>0</v>
      </c>
      <c r="BH578" s="17" t="n">
        <v>0</v>
      </c>
      <c r="BI578" s="18" t="n">
        <v>0</v>
      </c>
      <c r="BJ578" s="16" t="n">
        <v>0</v>
      </c>
      <c r="BK578" s="17" t="n">
        <v>0</v>
      </c>
      <c r="BL578" s="17" t="n">
        <v>0</v>
      </c>
      <c r="BM578" s="17" t="n">
        <v>49</v>
      </c>
      <c r="BN578" s="17" t="n">
        <v>0</v>
      </c>
      <c r="BO578" s="17" t="n">
        <v>0</v>
      </c>
      <c r="BP578" s="17" t="n">
        <v>0</v>
      </c>
      <c r="BQ578" s="17" t="n">
        <v>81</v>
      </c>
      <c r="BR578" s="17" t="n">
        <v>0</v>
      </c>
      <c r="BS578" s="17" t="n">
        <v>0</v>
      </c>
      <c r="BT578" s="18" t="n">
        <v>0</v>
      </c>
      <c r="BU578" s="17" t="inlineStr">
        <is>
          <t>Unclassified</t>
        </is>
      </c>
    </row>
    <row r="579" ht="20" customHeight="1">
      <c r="A579" s="15" t="inlineStr">
        <is>
          <t>00406117001</t>
        </is>
      </c>
      <c r="B579" s="15" t="inlineStr">
        <is>
          <t>NALTREXONE 50MG TABLET</t>
        </is>
      </c>
      <c r="C579" s="16" t="n">
        <v>100</v>
      </c>
      <c r="D579" s="16" t="n">
        <v>0</v>
      </c>
      <c r="E579" s="16" t="n">
        <v>0</v>
      </c>
      <c r="F579" s="16" t="n">
        <v>0</v>
      </c>
      <c r="G579" s="16" t="n">
        <v>60</v>
      </c>
      <c r="H579" s="17" t="n">
        <v>0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30</v>
      </c>
      <c r="O579" s="17" t="n">
        <v>30</v>
      </c>
      <c r="P579" s="17" t="n">
        <v>0</v>
      </c>
      <c r="Q579" s="18" t="n">
        <v>0</v>
      </c>
      <c r="R579" s="16" t="n">
        <v>0.6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0.3</v>
      </c>
      <c r="Z579" s="17" t="n">
        <v>0.3</v>
      </c>
      <c r="AA579" s="17" t="n">
        <v>0</v>
      </c>
      <c r="AB579" s="18" t="n">
        <v>0</v>
      </c>
      <c r="AC579" s="16" t="n">
        <v>-0.6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-0.3</v>
      </c>
      <c r="AK579" s="17" t="n">
        <v>-0.3</v>
      </c>
      <c r="AL579" s="17" t="n">
        <v>0</v>
      </c>
      <c r="AM579" s="18" t="n">
        <v>0</v>
      </c>
      <c r="AN579" s="16" t="n">
        <v>92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0</v>
      </c>
      <c r="AU579" s="17" t="n">
        <v>37</v>
      </c>
      <c r="AV579" s="17" t="n">
        <v>45</v>
      </c>
      <c r="AW579" s="17" t="n">
        <v>0</v>
      </c>
      <c r="AX579" s="18" t="n">
        <v>0</v>
      </c>
      <c r="AY579" s="16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8" t="n">
        <v>0</v>
      </c>
      <c r="BJ579" s="16" t="n">
        <v>92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37</v>
      </c>
      <c r="BR579" s="17" t="n">
        <v>45</v>
      </c>
      <c r="BS579" s="17" t="n">
        <v>0</v>
      </c>
      <c r="BT579" s="18" t="n">
        <v>0</v>
      </c>
      <c r="BU579" s="17" t="inlineStr">
        <is>
          <t>Unclassified</t>
        </is>
      </c>
    </row>
    <row r="580" ht="20" customHeight="1">
      <c r="A580" s="15" t="inlineStr">
        <is>
          <t>68462018801</t>
        </is>
      </c>
      <c r="B580" s="15" t="inlineStr">
        <is>
          <t>NAPROXEN 250MG TABLET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20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0</v>
      </c>
      <c r="M580" s="17" t="n">
        <v>0</v>
      </c>
      <c r="N580" s="17" t="n">
        <v>20</v>
      </c>
      <c r="O580" s="17" t="n">
        <v>0</v>
      </c>
      <c r="P580" s="17" t="n">
        <v>0</v>
      </c>
      <c r="Q580" s="18" t="n">
        <v>0</v>
      </c>
      <c r="R580" s="16" t="n">
        <v>0.2</v>
      </c>
      <c r="S580" s="17" t="n">
        <v>0</v>
      </c>
      <c r="T580" s="17" t="n">
        <v>0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0.2</v>
      </c>
      <c r="Z580" s="17" t="n">
        <v>0</v>
      </c>
      <c r="AA580" s="17" t="n">
        <v>0</v>
      </c>
      <c r="AB580" s="18" t="n">
        <v>0</v>
      </c>
      <c r="AC580" s="16" t="n">
        <v>-0.2</v>
      </c>
      <c r="AD580" s="17" t="n">
        <v>0</v>
      </c>
      <c r="AE580" s="17" t="n">
        <v>0</v>
      </c>
      <c r="AF580" s="17" t="n">
        <v>0</v>
      </c>
      <c r="AG580" s="17" t="n">
        <v>0</v>
      </c>
      <c r="AH580" s="17" t="n">
        <v>0</v>
      </c>
      <c r="AI580" s="17" t="n">
        <v>0</v>
      </c>
      <c r="AJ580" s="17" t="n">
        <v>-0.2</v>
      </c>
      <c r="AK580" s="17" t="n">
        <v>0</v>
      </c>
      <c r="AL580" s="17" t="n">
        <v>0</v>
      </c>
      <c r="AM580" s="18" t="n">
        <v>0</v>
      </c>
      <c r="AN580" s="16" t="n">
        <v>11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7" t="n">
        <v>0</v>
      </c>
      <c r="AT580" s="17" t="n">
        <v>0</v>
      </c>
      <c r="AU580" s="17" t="n">
        <v>11</v>
      </c>
      <c r="AV580" s="17" t="n">
        <v>0</v>
      </c>
      <c r="AW580" s="17" t="n">
        <v>0</v>
      </c>
      <c r="AX580" s="18" t="n">
        <v>0</v>
      </c>
      <c r="AY580" s="16" t="n">
        <v>0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7" t="n">
        <v>0</v>
      </c>
      <c r="BG580" s="17" t="n">
        <v>0</v>
      </c>
      <c r="BH580" s="17" t="n">
        <v>0</v>
      </c>
      <c r="BI580" s="18" t="n">
        <v>0</v>
      </c>
      <c r="BJ580" s="16" t="n">
        <v>11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11</v>
      </c>
      <c r="BR580" s="17" t="n">
        <v>0</v>
      </c>
      <c r="BS580" s="17" t="n">
        <v>0</v>
      </c>
      <c r="BT580" s="18" t="n">
        <v>0</v>
      </c>
      <c r="BU580" s="17" t="inlineStr">
        <is>
          <t>Unclassified</t>
        </is>
      </c>
    </row>
    <row r="581" ht="20" customHeight="1">
      <c r="A581" s="15" t="inlineStr">
        <is>
          <t>70010013801</t>
        </is>
      </c>
      <c r="B581" s="15" t="inlineStr">
        <is>
          <t>NAPROXEN 375 MG TABLET</t>
        </is>
      </c>
      <c r="C581" s="16" t="n">
        <v>100</v>
      </c>
      <c r="D581" s="16" t="n">
        <v>3</v>
      </c>
      <c r="E581" s="16" t="n">
        <v>3</v>
      </c>
      <c r="F581" s="16" t="n">
        <v>6</v>
      </c>
      <c r="G581" s="16" t="n">
        <v>76</v>
      </c>
      <c r="H581" s="17" t="n">
        <v>0</v>
      </c>
      <c r="I581" s="17" t="n">
        <v>0</v>
      </c>
      <c r="J581" s="17" t="n">
        <v>28</v>
      </c>
      <c r="K581" s="17" t="n">
        <v>20</v>
      </c>
      <c r="L581" s="17" t="n">
        <v>0</v>
      </c>
      <c r="M581" s="17" t="n">
        <v>0</v>
      </c>
      <c r="N581" s="17" t="n">
        <v>28</v>
      </c>
      <c r="O581" s="17" t="n">
        <v>0</v>
      </c>
      <c r="P581" s="17" t="n">
        <v>0</v>
      </c>
      <c r="Q581" s="18" t="n">
        <v>0</v>
      </c>
      <c r="R581" s="16" t="n">
        <v>0.76</v>
      </c>
      <c r="S581" s="17" t="n">
        <v>0</v>
      </c>
      <c r="T581" s="17" t="n">
        <v>0</v>
      </c>
      <c r="U581" s="17" t="n">
        <v>0.28</v>
      </c>
      <c r="V581" s="17" t="n">
        <v>0.2</v>
      </c>
      <c r="W581" s="17" t="n">
        <v>0</v>
      </c>
      <c r="X581" s="17" t="n">
        <v>0</v>
      </c>
      <c r="Y581" s="17" t="n">
        <v>0.28</v>
      </c>
      <c r="Z581" s="17" t="n">
        <v>0</v>
      </c>
      <c r="AA581" s="17" t="n">
        <v>0</v>
      </c>
      <c r="AB581" s="18" t="n">
        <v>0</v>
      </c>
      <c r="AC581" s="16" t="n">
        <v>2.24</v>
      </c>
      <c r="AD581" s="17" t="n">
        <v>3</v>
      </c>
      <c r="AE581" s="17" t="n">
        <v>3</v>
      </c>
      <c r="AF581" s="17" t="n">
        <v>2.72</v>
      </c>
      <c r="AG581" s="17" t="n">
        <v>2.8</v>
      </c>
      <c r="AH581" s="17" t="n">
        <v>3</v>
      </c>
      <c r="AI581" s="17" t="n">
        <v>3</v>
      </c>
      <c r="AJ581" s="17" t="n">
        <v>2.72</v>
      </c>
      <c r="AK581" s="17" t="n">
        <v>3</v>
      </c>
      <c r="AL581" s="17" t="n">
        <v>3</v>
      </c>
      <c r="AM581" s="18" t="n">
        <v>3</v>
      </c>
      <c r="AN581" s="16" t="n">
        <v>14</v>
      </c>
      <c r="AO581" s="17" t="n">
        <v>0</v>
      </c>
      <c r="AP581" s="17" t="n">
        <v>0</v>
      </c>
      <c r="AQ581" s="17" t="n">
        <v>1</v>
      </c>
      <c r="AR581" s="17" t="n">
        <v>0</v>
      </c>
      <c r="AS581" s="17" t="n">
        <v>0</v>
      </c>
      <c r="AT581" s="17" t="n">
        <v>0</v>
      </c>
      <c r="AU581" s="17" t="n">
        <v>12</v>
      </c>
      <c r="AV581" s="17" t="n">
        <v>0</v>
      </c>
      <c r="AW581" s="17" t="n">
        <v>0</v>
      </c>
      <c r="AX581" s="18" t="n">
        <v>0</v>
      </c>
      <c r="AY581" s="16" t="n">
        <v>5</v>
      </c>
      <c r="AZ581" s="17" t="n">
        <v>0</v>
      </c>
      <c r="BA581" s="17" t="n">
        <v>0</v>
      </c>
      <c r="BB581" s="17" t="n">
        <v>2</v>
      </c>
      <c r="BC581" s="17" t="n">
        <v>1</v>
      </c>
      <c r="BD581" s="17" t="n">
        <v>0</v>
      </c>
      <c r="BE581" s="17" t="n">
        <v>0</v>
      </c>
      <c r="BF581" s="17" t="n">
        <v>2</v>
      </c>
      <c r="BG581" s="17" t="n">
        <v>0</v>
      </c>
      <c r="BH581" s="17" t="n">
        <v>0</v>
      </c>
      <c r="BI581" s="18" t="n">
        <v>0</v>
      </c>
      <c r="BJ581" s="16" t="n">
        <v>9</v>
      </c>
      <c r="BK581" s="17" t="n">
        <v>0</v>
      </c>
      <c r="BL581" s="17" t="n">
        <v>0</v>
      </c>
      <c r="BM581" s="17" t="n">
        <v>-1</v>
      </c>
      <c r="BN581" s="17" t="n">
        <v>-1</v>
      </c>
      <c r="BO581" s="17" t="n">
        <v>0</v>
      </c>
      <c r="BP581" s="17" t="n">
        <v>0</v>
      </c>
      <c r="BQ581" s="17" t="n">
        <v>10</v>
      </c>
      <c r="BR581" s="17" t="n">
        <v>0</v>
      </c>
      <c r="BS581" s="17" t="n">
        <v>0</v>
      </c>
      <c r="BT581" s="18" t="n">
        <v>0</v>
      </c>
      <c r="BU581" s="17" t="inlineStr">
        <is>
          <t>Generic Drug</t>
        </is>
      </c>
    </row>
    <row r="582" ht="20" customHeight="1">
      <c r="A582" s="15" t="inlineStr">
        <is>
          <t>65862052205</t>
        </is>
      </c>
      <c r="B582" s="15" t="inlineStr">
        <is>
          <t>NAPROXEN 500MG TABLET</t>
        </is>
      </c>
      <c r="C582" s="16" t="n">
        <v>500</v>
      </c>
      <c r="D582" s="16" t="n">
        <v>0</v>
      </c>
      <c r="E582" s="16" t="n">
        <v>0</v>
      </c>
      <c r="F582" s="16" t="n">
        <v>0</v>
      </c>
      <c r="G582" s="16" t="n">
        <v>996</v>
      </c>
      <c r="H582" s="17" t="n">
        <v>0</v>
      </c>
      <c r="I582" s="17" t="n">
        <v>0</v>
      </c>
      <c r="J582" s="17" t="n">
        <v>270</v>
      </c>
      <c r="K582" s="17" t="n">
        <v>180</v>
      </c>
      <c r="L582" s="17" t="n">
        <v>0</v>
      </c>
      <c r="M582" s="17" t="n">
        <v>180</v>
      </c>
      <c r="N582" s="17" t="n">
        <v>338</v>
      </c>
      <c r="O582" s="17" t="n">
        <v>0</v>
      </c>
      <c r="P582" s="17" t="n">
        <v>0</v>
      </c>
      <c r="Q582" s="18" t="n">
        <v>28</v>
      </c>
      <c r="R582" s="16" t="n">
        <v>1.992</v>
      </c>
      <c r="S582" s="17" t="n">
        <v>0</v>
      </c>
      <c r="T582" s="17" t="n">
        <v>0</v>
      </c>
      <c r="U582" s="17" t="n">
        <v>0.54</v>
      </c>
      <c r="V582" s="17" t="n">
        <v>0.36</v>
      </c>
      <c r="W582" s="17" t="n">
        <v>0</v>
      </c>
      <c r="X582" s="17" t="n">
        <v>0.36</v>
      </c>
      <c r="Y582" s="17" t="n">
        <v>0.676</v>
      </c>
      <c r="Z582" s="17" t="n">
        <v>0</v>
      </c>
      <c r="AA582" s="17" t="n">
        <v>0</v>
      </c>
      <c r="AB582" s="18" t="n">
        <v>0.056</v>
      </c>
      <c r="AC582" s="16" t="n">
        <v>-1.992</v>
      </c>
      <c r="AD582" s="17" t="n">
        <v>0</v>
      </c>
      <c r="AE582" s="17" t="n">
        <v>0</v>
      </c>
      <c r="AF582" s="17" t="n">
        <v>-0.54</v>
      </c>
      <c r="AG582" s="17" t="n">
        <v>-0.36</v>
      </c>
      <c r="AH582" s="17" t="n">
        <v>0</v>
      </c>
      <c r="AI582" s="17" t="n">
        <v>-0.36</v>
      </c>
      <c r="AJ582" s="17" t="n">
        <v>-0.676</v>
      </c>
      <c r="AK582" s="17" t="n">
        <v>0</v>
      </c>
      <c r="AL582" s="17" t="n">
        <v>0</v>
      </c>
      <c r="AM582" s="18" t="n">
        <v>-0.056</v>
      </c>
      <c r="AN582" s="16" t="n">
        <v>138</v>
      </c>
      <c r="AO582" s="17" t="n">
        <v>0</v>
      </c>
      <c r="AP582" s="17" t="n">
        <v>0</v>
      </c>
      <c r="AQ582" s="17" t="n">
        <v>15</v>
      </c>
      <c r="AR582" s="17" t="n">
        <v>17</v>
      </c>
      <c r="AS582" s="17" t="n">
        <v>0</v>
      </c>
      <c r="AT582" s="17" t="n">
        <v>19</v>
      </c>
      <c r="AU582" s="17" t="n">
        <v>81</v>
      </c>
      <c r="AV582" s="17" t="n">
        <v>0</v>
      </c>
      <c r="AW582" s="17" t="n">
        <v>0</v>
      </c>
      <c r="AX582" s="18" t="n">
        <v>0</v>
      </c>
      <c r="AY582" s="16" t="n">
        <v>0</v>
      </c>
      <c r="AZ582" s="17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0</v>
      </c>
      <c r="BF582" s="17" t="n">
        <v>0</v>
      </c>
      <c r="BG582" s="17" t="n">
        <v>0</v>
      </c>
      <c r="BH582" s="17" t="n">
        <v>0</v>
      </c>
      <c r="BI582" s="18" t="n">
        <v>0</v>
      </c>
      <c r="BJ582" s="16" t="n">
        <v>138</v>
      </c>
      <c r="BK582" s="17" t="n">
        <v>0</v>
      </c>
      <c r="BL582" s="17" t="n">
        <v>0</v>
      </c>
      <c r="BM582" s="17" t="n">
        <v>15</v>
      </c>
      <c r="BN582" s="17" t="n">
        <v>17</v>
      </c>
      <c r="BO582" s="17" t="n">
        <v>0</v>
      </c>
      <c r="BP582" s="17" t="n">
        <v>19</v>
      </c>
      <c r="BQ582" s="17" t="n">
        <v>81</v>
      </c>
      <c r="BR582" s="17" t="n">
        <v>0</v>
      </c>
      <c r="BS582" s="17" t="n">
        <v>0</v>
      </c>
      <c r="BT582" s="18" t="n">
        <v>0</v>
      </c>
      <c r="BU582" s="17" t="inlineStr">
        <is>
          <t>Unclassified</t>
        </is>
      </c>
    </row>
    <row r="583" ht="20" customHeight="1">
      <c r="A583" s="15" t="inlineStr">
        <is>
          <t>72241003304</t>
        </is>
      </c>
      <c r="B583" s="15" t="inlineStr">
        <is>
          <t>NEBIVOLOL 5MG TABLET</t>
        </is>
      </c>
      <c r="C583" s="16" t="n">
        <v>90</v>
      </c>
      <c r="D583" s="16" t="n">
        <v>0</v>
      </c>
      <c r="E583" s="16" t="n">
        <v>0</v>
      </c>
      <c r="F583" s="16" t="n">
        <v>0</v>
      </c>
      <c r="G583" s="16" t="n">
        <v>90</v>
      </c>
      <c r="H583" s="17" t="n">
        <v>0</v>
      </c>
      <c r="I583" s="17" t="n">
        <v>0</v>
      </c>
      <c r="J583" s="17" t="n">
        <v>0</v>
      </c>
      <c r="K583" s="17" t="n">
        <v>90</v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8" t="n">
        <v>0</v>
      </c>
      <c r="R583" s="16" t="n">
        <v>1</v>
      </c>
      <c r="S583" s="17" t="n">
        <v>0</v>
      </c>
      <c r="T583" s="17" t="n">
        <v>0</v>
      </c>
      <c r="U583" s="17" t="n">
        <v>0</v>
      </c>
      <c r="V583" s="17" t="n">
        <v>1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8" t="n">
        <v>0</v>
      </c>
      <c r="AC583" s="16" t="n">
        <v>-1</v>
      </c>
      <c r="AD583" s="17" t="n">
        <v>0</v>
      </c>
      <c r="AE583" s="17" t="n">
        <v>0</v>
      </c>
      <c r="AF583" s="17" t="n">
        <v>0</v>
      </c>
      <c r="AG583" s="17" t="n">
        <v>-1</v>
      </c>
      <c r="AH583" s="17" t="n">
        <v>0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8" t="n">
        <v>0</v>
      </c>
      <c r="AN583" s="16" t="n">
        <v>17</v>
      </c>
      <c r="AO583" s="17" t="n">
        <v>0</v>
      </c>
      <c r="AP583" s="17" t="n">
        <v>0</v>
      </c>
      <c r="AQ583" s="17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8" t="n">
        <v>0</v>
      </c>
      <c r="AY583" s="16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8" t="n">
        <v>0</v>
      </c>
      <c r="BJ583" s="16" t="n">
        <v>17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8" t="n">
        <v>0</v>
      </c>
      <c r="BU583" s="17" t="inlineStr">
        <is>
          <t>Unclassified</t>
        </is>
      </c>
    </row>
    <row r="584" ht="20" customHeight="1">
      <c r="A584" s="15" t="inlineStr">
        <is>
          <t>91237000160</t>
        </is>
      </c>
      <c r="B584" s="15" t="inlineStr">
        <is>
          <t>NEBULIZER EASY AIR COMPRESSOR</t>
        </is>
      </c>
      <c r="C584" s="16" t="n">
        <v>1</v>
      </c>
      <c r="D584" s="16" t="n">
        <v>0</v>
      </c>
      <c r="E584" s="16" t="n">
        <v>0</v>
      </c>
      <c r="F584" s="16" t="n">
        <v>0</v>
      </c>
      <c r="G584" s="16" t="n">
        <v>0</v>
      </c>
      <c r="H584" s="17" t="n">
        <v>0</v>
      </c>
      <c r="I584" s="17" t="n">
        <v>0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3</v>
      </c>
      <c r="O584" s="17" t="n">
        <v>0</v>
      </c>
      <c r="P584" s="17" t="n">
        <v>0</v>
      </c>
      <c r="Q584" s="18" t="n">
        <v>0</v>
      </c>
      <c r="R584" s="16" t="n">
        <v>0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7" t="n">
        <v>0</v>
      </c>
      <c r="Y584" s="17" t="n">
        <v>3</v>
      </c>
      <c r="Z584" s="17" t="n">
        <v>0</v>
      </c>
      <c r="AA584" s="17" t="n">
        <v>0</v>
      </c>
      <c r="AB584" s="18" t="n">
        <v>0</v>
      </c>
      <c r="AC584" s="16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-3</v>
      </c>
      <c r="AK584" s="17" t="n">
        <v>0</v>
      </c>
      <c r="AL584" s="17" t="n">
        <v>0</v>
      </c>
      <c r="AM584" s="18" t="n">
        <v>0</v>
      </c>
      <c r="AN584" s="16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84</v>
      </c>
      <c r="AV584" s="17" t="n">
        <v>0</v>
      </c>
      <c r="AW584" s="17" t="n">
        <v>0</v>
      </c>
      <c r="AX584" s="18" t="n">
        <v>0</v>
      </c>
      <c r="AY584" s="16" t="n">
        <v>0</v>
      </c>
      <c r="AZ584" s="17" t="n">
        <v>0</v>
      </c>
      <c r="BA584" s="17" t="n">
        <v>0</v>
      </c>
      <c r="BB584" s="17" t="n">
        <v>0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7" t="n">
        <v>0</v>
      </c>
      <c r="BI584" s="18" t="n">
        <v>0</v>
      </c>
      <c r="BJ584" s="16" t="n">
        <v>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0</v>
      </c>
      <c r="BQ584" s="17" t="n">
        <v>84</v>
      </c>
      <c r="BR584" s="17" t="n">
        <v>0</v>
      </c>
      <c r="BS584" s="17" t="n">
        <v>0</v>
      </c>
      <c r="BT584" s="18" t="n">
        <v>0</v>
      </c>
      <c r="BU584" s="17" t="inlineStr">
        <is>
          <t>Unclassified</t>
        </is>
      </c>
    </row>
    <row r="585" ht="20" customHeight="1">
      <c r="A585" s="15" t="inlineStr">
        <is>
          <t>00093117701</t>
        </is>
      </c>
      <c r="B585" s="15" t="inlineStr">
        <is>
          <t>NEOMYCIN SULFATE 500 MG ORAL TABLET</t>
        </is>
      </c>
      <c r="C585" s="16" t="n">
        <v>100</v>
      </c>
      <c r="D585" s="16" t="n">
        <v>0</v>
      </c>
      <c r="E585" s="16" t="n">
        <v>0</v>
      </c>
      <c r="F585" s="16" t="n">
        <v>0</v>
      </c>
      <c r="G585" s="16" t="n">
        <v>6</v>
      </c>
      <c r="H585" s="17" t="n">
        <v>0</v>
      </c>
      <c r="I585" s="17" t="n">
        <v>0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6</v>
      </c>
      <c r="O585" s="17" t="n">
        <v>0</v>
      </c>
      <c r="P585" s="17" t="n">
        <v>0</v>
      </c>
      <c r="Q585" s="18" t="n">
        <v>0</v>
      </c>
      <c r="R585" s="16" t="n">
        <v>0.06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0.06</v>
      </c>
      <c r="Z585" s="17" t="n">
        <v>0</v>
      </c>
      <c r="AA585" s="17" t="n">
        <v>0</v>
      </c>
      <c r="AB585" s="18" t="n">
        <v>0</v>
      </c>
      <c r="AC585" s="16" t="n">
        <v>-0.06</v>
      </c>
      <c r="AD585" s="17" t="n">
        <v>0</v>
      </c>
      <c r="AE585" s="17" t="n">
        <v>0</v>
      </c>
      <c r="AF585" s="17" t="n">
        <v>0</v>
      </c>
      <c r="AG585" s="17" t="n">
        <v>0</v>
      </c>
      <c r="AH585" s="17" t="n">
        <v>0</v>
      </c>
      <c r="AI585" s="17" t="n">
        <v>0</v>
      </c>
      <c r="AJ585" s="17" t="n">
        <v>-0.06</v>
      </c>
      <c r="AK585" s="17" t="n">
        <v>0</v>
      </c>
      <c r="AL585" s="17" t="n">
        <v>0</v>
      </c>
      <c r="AM585" s="18" t="n">
        <v>0</v>
      </c>
      <c r="AN585" s="16" t="n">
        <v>16</v>
      </c>
      <c r="AO585" s="17" t="n">
        <v>0</v>
      </c>
      <c r="AP585" s="17" t="n">
        <v>0</v>
      </c>
      <c r="AQ585" s="17" t="n">
        <v>0</v>
      </c>
      <c r="AR585" s="17" t="n">
        <v>0</v>
      </c>
      <c r="AS585" s="17" t="n">
        <v>0</v>
      </c>
      <c r="AT585" s="17" t="n">
        <v>0</v>
      </c>
      <c r="AU585" s="17" t="n">
        <v>16</v>
      </c>
      <c r="AV585" s="17" t="n">
        <v>0</v>
      </c>
      <c r="AW585" s="17" t="n">
        <v>0</v>
      </c>
      <c r="AX585" s="18" t="n">
        <v>0</v>
      </c>
      <c r="AY585" s="16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8" t="n">
        <v>0</v>
      </c>
      <c r="BJ585" s="16" t="n">
        <v>16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16</v>
      </c>
      <c r="BR585" s="17" t="n">
        <v>0</v>
      </c>
      <c r="BS585" s="17" t="n">
        <v>0</v>
      </c>
      <c r="BT585" s="18" t="n">
        <v>0</v>
      </c>
      <c r="BU585" s="17" t="inlineStr">
        <is>
          <t>Unclassified</t>
        </is>
      </c>
    </row>
    <row r="586" ht="20" customHeight="1">
      <c r="A586" s="15" t="inlineStr">
        <is>
          <t>61314063006</t>
        </is>
      </c>
      <c r="B586" s="15" t="inlineStr">
        <is>
          <t>NEOMYCIN-POLY-DEX OPTH SUSPENSION (EYE)</t>
        </is>
      </c>
      <c r="C586" s="16" t="n">
        <v>5</v>
      </c>
      <c r="D586" s="16" t="n">
        <v>3</v>
      </c>
      <c r="E586" s="16" t="n">
        <v>3</v>
      </c>
      <c r="F586" s="16" t="n">
        <v>6</v>
      </c>
      <c r="G586" s="16" t="n">
        <v>5</v>
      </c>
      <c r="H586" s="17" t="n">
        <v>0</v>
      </c>
      <c r="I586" s="17" t="n">
        <v>0</v>
      </c>
      <c r="J586" s="17" t="n">
        <v>5</v>
      </c>
      <c r="K586" s="17" t="n">
        <v>0</v>
      </c>
      <c r="L586" s="17" t="n">
        <v>0</v>
      </c>
      <c r="M586" s="17" t="n">
        <v>0</v>
      </c>
      <c r="N586" s="17" t="n">
        <v>0</v>
      </c>
      <c r="O586" s="17" t="n">
        <v>0</v>
      </c>
      <c r="P586" s="17" t="n">
        <v>0</v>
      </c>
      <c r="Q586" s="18" t="n">
        <v>0</v>
      </c>
      <c r="R586" s="16" t="n">
        <v>1</v>
      </c>
      <c r="S586" s="17" t="n">
        <v>0</v>
      </c>
      <c r="T586" s="17" t="n">
        <v>0</v>
      </c>
      <c r="U586" s="17" t="n">
        <v>1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8" t="n">
        <v>0</v>
      </c>
      <c r="AC586" s="16" t="n">
        <v>2</v>
      </c>
      <c r="AD586" s="17" t="n">
        <v>3</v>
      </c>
      <c r="AE586" s="17" t="n">
        <v>3</v>
      </c>
      <c r="AF586" s="17" t="n">
        <v>2</v>
      </c>
      <c r="AG586" s="17" t="n">
        <v>3</v>
      </c>
      <c r="AH586" s="17" t="n">
        <v>3</v>
      </c>
      <c r="AI586" s="17" t="n">
        <v>3</v>
      </c>
      <c r="AJ586" s="17" t="n">
        <v>3</v>
      </c>
      <c r="AK586" s="17" t="n">
        <v>3</v>
      </c>
      <c r="AL586" s="17" t="n">
        <v>3</v>
      </c>
      <c r="AM586" s="18" t="n">
        <v>3</v>
      </c>
      <c r="AN586" s="16" t="n">
        <v>5</v>
      </c>
      <c r="AO586" s="17" t="n">
        <v>0</v>
      </c>
      <c r="AP586" s="17" t="n">
        <v>0</v>
      </c>
      <c r="AQ586" s="17" t="n">
        <v>5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8" t="n">
        <v>0</v>
      </c>
      <c r="AY586" s="16" t="n">
        <v>6</v>
      </c>
      <c r="AZ586" s="17" t="n">
        <v>0</v>
      </c>
      <c r="BA586" s="17" t="n">
        <v>0</v>
      </c>
      <c r="BB586" s="17" t="n">
        <v>6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7" t="n">
        <v>0</v>
      </c>
      <c r="BI586" s="18" t="n">
        <v>0</v>
      </c>
      <c r="BJ586" s="16" t="n">
        <v>-1</v>
      </c>
      <c r="BK586" s="17" t="n">
        <v>0</v>
      </c>
      <c r="BL586" s="17" t="n">
        <v>0</v>
      </c>
      <c r="BM586" s="17" t="n">
        <v>-1</v>
      </c>
      <c r="BN586" s="17" t="n">
        <v>0</v>
      </c>
      <c r="BO586" s="17" t="n">
        <v>0</v>
      </c>
      <c r="BP586" s="17" t="n">
        <v>0</v>
      </c>
      <c r="BQ586" s="17" t="n">
        <v>0</v>
      </c>
      <c r="BR586" s="17" t="n">
        <v>0</v>
      </c>
      <c r="BS586" s="17" t="n">
        <v>0</v>
      </c>
      <c r="BT586" s="18" t="n">
        <v>0</v>
      </c>
      <c r="BU586" s="17" t="inlineStr">
        <is>
          <t>Generic Drug</t>
        </is>
      </c>
    </row>
    <row r="587" ht="20" customHeight="1">
      <c r="A587" s="15" t="inlineStr">
        <is>
          <t>24208079535</t>
        </is>
      </c>
      <c r="B587" s="15" t="inlineStr">
        <is>
          <t>NEOMYCIN-POLYMYXIN-DEXAMETH 3.5-10000-0.1 OPHTHALMIC OINTMENT</t>
        </is>
      </c>
      <c r="C587" s="16" t="n">
        <v>3.5</v>
      </c>
      <c r="D587" s="16" t="n">
        <v>0</v>
      </c>
      <c r="E587" s="16" t="n">
        <v>0</v>
      </c>
      <c r="F587" s="16" t="n">
        <v>0</v>
      </c>
      <c r="G587" s="16" t="n">
        <v>3.5</v>
      </c>
      <c r="H587" s="17" t="n">
        <v>0</v>
      </c>
      <c r="I587" s="17" t="n">
        <v>0</v>
      </c>
      <c r="J587" s="17" t="n">
        <v>3.5</v>
      </c>
      <c r="K587" s="17" t="n">
        <v>0</v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8" t="n">
        <v>0</v>
      </c>
      <c r="R587" s="16" t="n">
        <v>1</v>
      </c>
      <c r="S587" s="17" t="n">
        <v>0</v>
      </c>
      <c r="T587" s="17" t="n">
        <v>0</v>
      </c>
      <c r="U587" s="17" t="n">
        <v>1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8" t="n">
        <v>0</v>
      </c>
      <c r="AC587" s="16" t="n">
        <v>-1</v>
      </c>
      <c r="AD587" s="17" t="n">
        <v>0</v>
      </c>
      <c r="AE587" s="17" t="n">
        <v>0</v>
      </c>
      <c r="AF587" s="17" t="n">
        <v>-1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8" t="n">
        <v>0</v>
      </c>
      <c r="AN587" s="16" t="n">
        <v>4</v>
      </c>
      <c r="AO587" s="17" t="n">
        <v>0</v>
      </c>
      <c r="AP587" s="17" t="n">
        <v>0</v>
      </c>
      <c r="AQ587" s="17" t="n">
        <v>4</v>
      </c>
      <c r="AR587" s="17" t="n">
        <v>0</v>
      </c>
      <c r="AS587" s="17" t="n">
        <v>0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8" t="n">
        <v>0</v>
      </c>
      <c r="AY587" s="16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8" t="n">
        <v>0</v>
      </c>
      <c r="BJ587" s="16" t="n">
        <v>4</v>
      </c>
      <c r="BK587" s="17" t="n">
        <v>0</v>
      </c>
      <c r="BL587" s="17" t="n">
        <v>0</v>
      </c>
      <c r="BM587" s="17" t="n">
        <v>4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8" t="n">
        <v>0</v>
      </c>
      <c r="BU587" s="17" t="inlineStr">
        <is>
          <t>Unclassified</t>
        </is>
      </c>
    </row>
    <row r="588" ht="20" customHeight="1">
      <c r="A588" s="15" t="inlineStr">
        <is>
          <t>00186504031</t>
        </is>
      </c>
      <c r="B588" s="15" t="inlineStr">
        <is>
          <t>NEXIUM 40MG CAPSULE</t>
        </is>
      </c>
      <c r="C588" s="16" t="n">
        <v>30</v>
      </c>
      <c r="D588" s="16" t="n">
        <v>5</v>
      </c>
      <c r="E588" s="16" t="n">
        <v>5</v>
      </c>
      <c r="F588" s="16" t="n">
        <v>268</v>
      </c>
      <c r="G588" s="16" t="n">
        <v>240</v>
      </c>
      <c r="H588" s="17" t="n">
        <v>0</v>
      </c>
      <c r="I588" s="17" t="n">
        <v>0</v>
      </c>
      <c r="J588" s="17" t="n">
        <v>240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8" t="n">
        <v>0</v>
      </c>
      <c r="R588" s="16" t="n">
        <v>8</v>
      </c>
      <c r="S588" s="17" t="n">
        <v>0</v>
      </c>
      <c r="T588" s="17" t="n">
        <v>0</v>
      </c>
      <c r="U588" s="17" t="n">
        <v>8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8" t="n">
        <v>0</v>
      </c>
      <c r="AC588" s="16" t="n">
        <v>-3</v>
      </c>
      <c r="AD588" s="17" t="n">
        <v>5</v>
      </c>
      <c r="AE588" s="17" t="n">
        <v>5</v>
      </c>
      <c r="AF588" s="17" t="n">
        <v>-3</v>
      </c>
      <c r="AG588" s="17" t="n">
        <v>5</v>
      </c>
      <c r="AH588" s="17" t="n">
        <v>5</v>
      </c>
      <c r="AI588" s="17" t="n">
        <v>5</v>
      </c>
      <c r="AJ588" s="17" t="n">
        <v>5</v>
      </c>
      <c r="AK588" s="17" t="n">
        <v>5</v>
      </c>
      <c r="AL588" s="17" t="n">
        <v>5</v>
      </c>
      <c r="AM588" s="18" t="n">
        <v>5</v>
      </c>
      <c r="AN588" s="16" t="n">
        <v>2070</v>
      </c>
      <c r="AO588" s="17" t="n">
        <v>0</v>
      </c>
      <c r="AP588" s="17" t="n">
        <v>0</v>
      </c>
      <c r="AQ588" s="17" t="n">
        <v>2070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8" t="n">
        <v>0</v>
      </c>
      <c r="AY588" s="16" t="n">
        <v>2144</v>
      </c>
      <c r="AZ588" s="17" t="n">
        <v>0</v>
      </c>
      <c r="BA588" s="17" t="n">
        <v>0</v>
      </c>
      <c r="BB588" s="17" t="n">
        <v>2144</v>
      </c>
      <c r="BC588" s="17" t="n">
        <v>0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7" t="n">
        <v>0</v>
      </c>
      <c r="BI588" s="18" t="n">
        <v>0</v>
      </c>
      <c r="BJ588" s="16" t="n">
        <v>-74</v>
      </c>
      <c r="BK588" s="17" t="n">
        <v>0</v>
      </c>
      <c r="BL588" s="17" t="n">
        <v>0</v>
      </c>
      <c r="BM588" s="17" t="n">
        <v>-74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7" t="n">
        <v>0</v>
      </c>
      <c r="BT588" s="18" t="n">
        <v>0</v>
      </c>
      <c r="BU588" s="17" t="inlineStr">
        <is>
          <t>Branded Drug</t>
        </is>
      </c>
    </row>
    <row r="589" ht="20" customHeight="1">
      <c r="A589" s="15" t="inlineStr">
        <is>
          <t>00536589553</t>
        </is>
      </c>
      <c r="B589" s="15" t="inlineStr">
        <is>
          <t>NICOTINE 14 MG/24HR TRANSDERMAL PATCH 24 HOUR</t>
        </is>
      </c>
      <c r="C589" s="16" t="n">
        <v>7</v>
      </c>
      <c r="D589" s="16" t="n">
        <v>6</v>
      </c>
      <c r="E589" s="16" t="n">
        <v>6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28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8" t="n">
        <v>0</v>
      </c>
      <c r="R589" s="16" t="n">
        <v>0</v>
      </c>
      <c r="S589" s="17" t="n">
        <v>0</v>
      </c>
      <c r="T589" s="17" t="n">
        <v>0</v>
      </c>
      <c r="U589" s="17" t="n">
        <v>4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8" t="n">
        <v>0</v>
      </c>
      <c r="AC589" s="16" t="n">
        <v>6</v>
      </c>
      <c r="AD589" s="17" t="n">
        <v>6</v>
      </c>
      <c r="AE589" s="17" t="n">
        <v>6</v>
      </c>
      <c r="AF589" s="17" t="n">
        <v>2</v>
      </c>
      <c r="AG589" s="17" t="n">
        <v>6</v>
      </c>
      <c r="AH589" s="17" t="n">
        <v>6</v>
      </c>
      <c r="AI589" s="17" t="n">
        <v>6</v>
      </c>
      <c r="AJ589" s="17" t="n">
        <v>6</v>
      </c>
      <c r="AK589" s="17" t="n">
        <v>6</v>
      </c>
      <c r="AL589" s="17" t="n">
        <v>6</v>
      </c>
      <c r="AM589" s="18" t="n">
        <v>6</v>
      </c>
      <c r="AN589" s="16" t="n">
        <v>0</v>
      </c>
      <c r="AO589" s="17" t="n">
        <v>0</v>
      </c>
      <c r="AP589" s="17" t="n">
        <v>0</v>
      </c>
      <c r="AQ589" s="17" t="n">
        <v>27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8" t="n">
        <v>0</v>
      </c>
      <c r="AY589" s="16" t="n">
        <v>0</v>
      </c>
      <c r="AZ589" s="17" t="n">
        <v>0</v>
      </c>
      <c r="BA589" s="17" t="n">
        <v>0</v>
      </c>
      <c r="BB589" s="17" t="n">
        <v>48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8" t="n">
        <v>0</v>
      </c>
      <c r="BJ589" s="16" t="n">
        <v>0</v>
      </c>
      <c r="BK589" s="17" t="n">
        <v>0</v>
      </c>
      <c r="BL589" s="17" t="n">
        <v>0</v>
      </c>
      <c r="BM589" s="17" t="n">
        <v>-21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8" t="n">
        <v>0</v>
      </c>
      <c r="BU589" s="17" t="inlineStr">
        <is>
          <t>OTC Drug</t>
        </is>
      </c>
    </row>
    <row r="590" ht="20" customHeight="1">
      <c r="A590" s="15" t="inlineStr">
        <is>
          <t>50742026003</t>
        </is>
      </c>
      <c r="B590" s="15" t="inlineStr">
        <is>
          <t>NIFEDIPINE 30MG TABLET ER</t>
        </is>
      </c>
      <c r="C590" s="16" t="n">
        <v>300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90</v>
      </c>
      <c r="K590" s="17" t="n">
        <v>30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8" t="n">
        <v>0</v>
      </c>
      <c r="R590" s="16" t="n">
        <v>0.4</v>
      </c>
      <c r="S590" s="17" t="n">
        <v>0</v>
      </c>
      <c r="T590" s="17" t="n">
        <v>0</v>
      </c>
      <c r="U590" s="17" t="n">
        <v>0.3</v>
      </c>
      <c r="V590" s="17" t="n">
        <v>0.1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8" t="n">
        <v>0</v>
      </c>
      <c r="AC590" s="16" t="n">
        <v>-0.4</v>
      </c>
      <c r="AD590" s="17" t="n">
        <v>0</v>
      </c>
      <c r="AE590" s="17" t="n">
        <v>0</v>
      </c>
      <c r="AF590" s="17" t="n">
        <v>-0.3</v>
      </c>
      <c r="AG590" s="17" t="n">
        <v>-0.1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8" t="n">
        <v>0</v>
      </c>
      <c r="AN590" s="16" t="n">
        <v>10</v>
      </c>
      <c r="AO590" s="17" t="n">
        <v>0</v>
      </c>
      <c r="AP590" s="17" t="n">
        <v>0</v>
      </c>
      <c r="AQ590" s="17" t="n">
        <v>4</v>
      </c>
      <c r="AR590" s="17" t="n">
        <v>4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8" t="n">
        <v>0</v>
      </c>
      <c r="AY590" s="16" t="n">
        <v>0</v>
      </c>
      <c r="AZ590" s="17" t="n">
        <v>0</v>
      </c>
      <c r="BA590" s="17" t="n">
        <v>0</v>
      </c>
      <c r="BB590" s="17" t="n">
        <v>0</v>
      </c>
      <c r="BC590" s="17" t="n">
        <v>0</v>
      </c>
      <c r="BD590" s="17" t="n">
        <v>0</v>
      </c>
      <c r="BE590" s="17" t="n">
        <v>0</v>
      </c>
      <c r="BF590" s="17" t="n">
        <v>0</v>
      </c>
      <c r="BG590" s="17" t="n">
        <v>0</v>
      </c>
      <c r="BH590" s="17" t="n">
        <v>0</v>
      </c>
      <c r="BI590" s="18" t="n">
        <v>0</v>
      </c>
      <c r="BJ590" s="16" t="n">
        <v>10</v>
      </c>
      <c r="BK590" s="17" t="n">
        <v>0</v>
      </c>
      <c r="BL590" s="17" t="n">
        <v>0</v>
      </c>
      <c r="BM590" s="17" t="n">
        <v>4</v>
      </c>
      <c r="BN590" s="17" t="n">
        <v>4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7" t="n">
        <v>0</v>
      </c>
      <c r="BT590" s="18" t="n">
        <v>0</v>
      </c>
      <c r="BU590" s="17" t="inlineStr">
        <is>
          <t>Unclassified</t>
        </is>
      </c>
    </row>
    <row r="591" ht="20" customHeight="1">
      <c r="A591" s="15" t="inlineStr">
        <is>
          <t>50742026103</t>
        </is>
      </c>
      <c r="B591" s="15" t="inlineStr">
        <is>
          <t>NIFEDIPINE 60MG TABLET ER</t>
        </is>
      </c>
      <c r="C591" s="16" t="n">
        <v>300</v>
      </c>
      <c r="D591" s="16" t="n">
        <v>0</v>
      </c>
      <c r="E591" s="16" t="n">
        <v>0</v>
      </c>
      <c r="F591" s="16" t="n">
        <v>0</v>
      </c>
      <c r="G591" s="16" t="n">
        <v>300</v>
      </c>
      <c r="H591" s="17" t="n">
        <v>0</v>
      </c>
      <c r="I591" s="17" t="n">
        <v>0</v>
      </c>
      <c r="J591" s="17" t="n">
        <v>180</v>
      </c>
      <c r="K591" s="17" t="n">
        <v>90</v>
      </c>
      <c r="L591" s="17" t="n">
        <v>0</v>
      </c>
      <c r="M591" s="17" t="n">
        <v>30</v>
      </c>
      <c r="N591" s="17" t="n">
        <v>0</v>
      </c>
      <c r="O591" s="17" t="n">
        <v>0</v>
      </c>
      <c r="P591" s="17" t="n">
        <v>0</v>
      </c>
      <c r="Q591" s="18" t="n">
        <v>0</v>
      </c>
      <c r="R591" s="16" t="n">
        <v>1</v>
      </c>
      <c r="S591" s="17" t="n">
        <v>0</v>
      </c>
      <c r="T591" s="17" t="n">
        <v>0</v>
      </c>
      <c r="U591" s="17" t="n">
        <v>0.6</v>
      </c>
      <c r="V591" s="17" t="n">
        <v>0.3</v>
      </c>
      <c r="W591" s="17" t="n">
        <v>0</v>
      </c>
      <c r="X591" s="17" t="n">
        <v>0.1</v>
      </c>
      <c r="Y591" s="17" t="n">
        <v>0</v>
      </c>
      <c r="Z591" s="17" t="n">
        <v>0</v>
      </c>
      <c r="AA591" s="17" t="n">
        <v>0</v>
      </c>
      <c r="AB591" s="18" t="n">
        <v>0</v>
      </c>
      <c r="AC591" s="16" t="n">
        <v>-1</v>
      </c>
      <c r="AD591" s="17" t="n">
        <v>0</v>
      </c>
      <c r="AE591" s="17" t="n">
        <v>0</v>
      </c>
      <c r="AF591" s="17" t="n">
        <v>-0.6</v>
      </c>
      <c r="AG591" s="17" t="n">
        <v>-0.3</v>
      </c>
      <c r="AH591" s="17" t="n">
        <v>0</v>
      </c>
      <c r="AI591" s="17" t="n">
        <v>-0.1</v>
      </c>
      <c r="AJ591" s="17" t="n">
        <v>0</v>
      </c>
      <c r="AK591" s="17" t="n">
        <v>0</v>
      </c>
      <c r="AL591" s="17" t="n">
        <v>0</v>
      </c>
      <c r="AM591" s="18" t="n">
        <v>0</v>
      </c>
      <c r="AN591" s="16" t="n">
        <v>62</v>
      </c>
      <c r="AO591" s="17" t="n">
        <v>0</v>
      </c>
      <c r="AP591" s="17" t="n">
        <v>0</v>
      </c>
      <c r="AQ591" s="17" t="n">
        <v>36</v>
      </c>
      <c r="AR591" s="17" t="n">
        <v>16</v>
      </c>
      <c r="AS591" s="17" t="n">
        <v>0</v>
      </c>
      <c r="AT591" s="17" t="n">
        <v>2</v>
      </c>
      <c r="AU591" s="17" t="n">
        <v>0</v>
      </c>
      <c r="AV591" s="17" t="n">
        <v>0</v>
      </c>
      <c r="AW591" s="17" t="n">
        <v>0</v>
      </c>
      <c r="AX591" s="18" t="n">
        <v>0</v>
      </c>
      <c r="AY591" s="16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8" t="n">
        <v>0</v>
      </c>
      <c r="BJ591" s="16" t="n">
        <v>62</v>
      </c>
      <c r="BK591" s="17" t="n">
        <v>0</v>
      </c>
      <c r="BL591" s="17" t="n">
        <v>0</v>
      </c>
      <c r="BM591" s="17" t="n">
        <v>36</v>
      </c>
      <c r="BN591" s="17" t="n">
        <v>16</v>
      </c>
      <c r="BO591" s="17" t="n">
        <v>0</v>
      </c>
      <c r="BP591" s="17" t="n">
        <v>2</v>
      </c>
      <c r="BQ591" s="17" t="n">
        <v>0</v>
      </c>
      <c r="BR591" s="17" t="n">
        <v>0</v>
      </c>
      <c r="BS591" s="17" t="n">
        <v>0</v>
      </c>
      <c r="BT591" s="18" t="n">
        <v>0</v>
      </c>
      <c r="BU591" s="17" t="inlineStr">
        <is>
          <t>Unclassified</t>
        </is>
      </c>
    </row>
    <row r="592" ht="20" customHeight="1">
      <c r="A592" s="15" t="inlineStr">
        <is>
          <t>59651029701</t>
        </is>
      </c>
      <c r="B592" s="15" t="inlineStr">
        <is>
          <t>NIFEDIPINE 90MG TABLET ER</t>
        </is>
      </c>
      <c r="C592" s="16" t="n">
        <v>100</v>
      </c>
      <c r="D592" s="16" t="n">
        <v>0</v>
      </c>
      <c r="E592" s="16" t="n">
        <v>0</v>
      </c>
      <c r="F592" s="16" t="n">
        <v>0</v>
      </c>
      <c r="G592" s="16" t="n">
        <v>120</v>
      </c>
      <c r="H592" s="17" t="n">
        <v>0</v>
      </c>
      <c r="I592" s="17" t="n">
        <v>0</v>
      </c>
      <c r="J592" s="17" t="n">
        <v>0</v>
      </c>
      <c r="K592" s="17" t="n">
        <v>30</v>
      </c>
      <c r="L592" s="17" t="n">
        <v>0</v>
      </c>
      <c r="M592" s="17" t="n">
        <v>0</v>
      </c>
      <c r="N592" s="17" t="n">
        <v>90</v>
      </c>
      <c r="O592" s="17" t="n">
        <v>0</v>
      </c>
      <c r="P592" s="17" t="n">
        <v>0</v>
      </c>
      <c r="Q592" s="18" t="n">
        <v>0</v>
      </c>
      <c r="R592" s="16" t="n">
        <v>1.2</v>
      </c>
      <c r="S592" s="17" t="n">
        <v>0</v>
      </c>
      <c r="T592" s="17" t="n">
        <v>0</v>
      </c>
      <c r="U592" s="17" t="n">
        <v>0</v>
      </c>
      <c r="V592" s="17" t="n">
        <v>0.3</v>
      </c>
      <c r="W592" s="17" t="n">
        <v>0</v>
      </c>
      <c r="X592" s="17" t="n">
        <v>0</v>
      </c>
      <c r="Y592" s="17" t="n">
        <v>0.9</v>
      </c>
      <c r="Z592" s="17" t="n">
        <v>0</v>
      </c>
      <c r="AA592" s="17" t="n">
        <v>0</v>
      </c>
      <c r="AB592" s="18" t="n">
        <v>0</v>
      </c>
      <c r="AC592" s="16" t="n">
        <v>-1.2</v>
      </c>
      <c r="AD592" s="17" t="n">
        <v>0</v>
      </c>
      <c r="AE592" s="17" t="n">
        <v>0</v>
      </c>
      <c r="AF592" s="17" t="n">
        <v>0</v>
      </c>
      <c r="AG592" s="17" t="n">
        <v>-0.3</v>
      </c>
      <c r="AH592" s="17" t="n">
        <v>0</v>
      </c>
      <c r="AI592" s="17" t="n">
        <v>0</v>
      </c>
      <c r="AJ592" s="17" t="n">
        <v>-0.9</v>
      </c>
      <c r="AK592" s="17" t="n">
        <v>0</v>
      </c>
      <c r="AL592" s="17" t="n">
        <v>0</v>
      </c>
      <c r="AM592" s="18" t="n">
        <v>0</v>
      </c>
      <c r="AN592" s="16" t="n">
        <v>46</v>
      </c>
      <c r="AO592" s="17" t="n">
        <v>0</v>
      </c>
      <c r="AP592" s="17" t="n">
        <v>0</v>
      </c>
      <c r="AQ592" s="17" t="n">
        <v>0</v>
      </c>
      <c r="AR592" s="17" t="n">
        <v>10</v>
      </c>
      <c r="AS592" s="17" t="n">
        <v>0</v>
      </c>
      <c r="AT592" s="17" t="n">
        <v>0</v>
      </c>
      <c r="AU592" s="17" t="n">
        <v>30</v>
      </c>
      <c r="AV592" s="17" t="n">
        <v>0</v>
      </c>
      <c r="AW592" s="17" t="n">
        <v>0</v>
      </c>
      <c r="AX592" s="18" t="n">
        <v>0</v>
      </c>
      <c r="AY592" s="16" t="n">
        <v>0</v>
      </c>
      <c r="AZ592" s="17" t="n">
        <v>0</v>
      </c>
      <c r="BA592" s="17" t="n">
        <v>0</v>
      </c>
      <c r="BB592" s="17" t="n">
        <v>0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7" t="n">
        <v>0</v>
      </c>
      <c r="BI592" s="18" t="n">
        <v>0</v>
      </c>
      <c r="BJ592" s="16" t="n">
        <v>46</v>
      </c>
      <c r="BK592" s="17" t="n">
        <v>0</v>
      </c>
      <c r="BL592" s="17" t="n">
        <v>0</v>
      </c>
      <c r="BM592" s="17" t="n">
        <v>0</v>
      </c>
      <c r="BN592" s="17" t="n">
        <v>10</v>
      </c>
      <c r="BO592" s="17" t="n">
        <v>0</v>
      </c>
      <c r="BP592" s="17" t="n">
        <v>0</v>
      </c>
      <c r="BQ592" s="17" t="n">
        <v>30</v>
      </c>
      <c r="BR592" s="17" t="n">
        <v>0</v>
      </c>
      <c r="BS592" s="17" t="n">
        <v>0</v>
      </c>
      <c r="BT592" s="18" t="n">
        <v>0</v>
      </c>
      <c r="BU592" s="17" t="inlineStr">
        <is>
          <t>Unclassified</t>
        </is>
      </c>
    </row>
    <row r="593" ht="20" customHeight="1">
      <c r="A593" s="15" t="inlineStr">
        <is>
          <t>70756040411</t>
        </is>
      </c>
      <c r="B593" s="15" t="inlineStr">
        <is>
          <t>NITROFURANTOIN MONOHYD MACRO 100 MG ORAL CAPSULE</t>
        </is>
      </c>
      <c r="C593" s="16" t="n">
        <v>100</v>
      </c>
      <c r="D593" s="16" t="n">
        <v>2</v>
      </c>
      <c r="E593" s="16" t="n">
        <v>2</v>
      </c>
      <c r="F593" s="16" t="n">
        <v>16</v>
      </c>
      <c r="G593" s="16" t="n">
        <v>68</v>
      </c>
      <c r="H593" s="17" t="n">
        <v>0</v>
      </c>
      <c r="I593" s="17" t="n">
        <v>0</v>
      </c>
      <c r="J593" s="17" t="n">
        <v>48</v>
      </c>
      <c r="K593" s="17" t="n">
        <v>0</v>
      </c>
      <c r="L593" s="17" t="n">
        <v>0</v>
      </c>
      <c r="M593" s="17" t="n">
        <v>10</v>
      </c>
      <c r="N593" s="17" t="n">
        <v>10</v>
      </c>
      <c r="O593" s="17" t="n">
        <v>0</v>
      </c>
      <c r="P593" s="17" t="n">
        <v>0</v>
      </c>
      <c r="Q593" s="18" t="n">
        <v>0</v>
      </c>
      <c r="R593" s="16" t="n">
        <v>0.68</v>
      </c>
      <c r="S593" s="17" t="n">
        <v>0</v>
      </c>
      <c r="T593" s="17" t="n">
        <v>0</v>
      </c>
      <c r="U593" s="17" t="n">
        <v>0.48</v>
      </c>
      <c r="V593" s="17" t="n">
        <v>0</v>
      </c>
      <c r="W593" s="17" t="n">
        <v>0</v>
      </c>
      <c r="X593" s="17" t="n">
        <v>0.1</v>
      </c>
      <c r="Y593" s="17" t="n">
        <v>0.1</v>
      </c>
      <c r="Z593" s="17" t="n">
        <v>0</v>
      </c>
      <c r="AA593" s="17" t="n">
        <v>0</v>
      </c>
      <c r="AB593" s="18" t="n">
        <v>0</v>
      </c>
      <c r="AC593" s="16" t="n">
        <v>1.32</v>
      </c>
      <c r="AD593" s="17" t="n">
        <v>2</v>
      </c>
      <c r="AE593" s="17" t="n">
        <v>2</v>
      </c>
      <c r="AF593" s="17" t="n">
        <v>1.52</v>
      </c>
      <c r="AG593" s="17" t="n">
        <v>2</v>
      </c>
      <c r="AH593" s="17" t="n">
        <v>2</v>
      </c>
      <c r="AI593" s="17" t="n">
        <v>1.9</v>
      </c>
      <c r="AJ593" s="17" t="n">
        <v>1.9</v>
      </c>
      <c r="AK593" s="17" t="n">
        <v>2</v>
      </c>
      <c r="AL593" s="17" t="n">
        <v>2</v>
      </c>
      <c r="AM593" s="18" t="n">
        <v>2</v>
      </c>
      <c r="AN593" s="16" t="n">
        <v>38</v>
      </c>
      <c r="AO593" s="17" t="n">
        <v>0</v>
      </c>
      <c r="AP593" s="17" t="n">
        <v>0</v>
      </c>
      <c r="AQ593" s="17" t="n">
        <v>15</v>
      </c>
      <c r="AR593" s="17" t="n">
        <v>0</v>
      </c>
      <c r="AS593" s="17" t="n">
        <v>0</v>
      </c>
      <c r="AT593" s="17" t="n">
        <v>4</v>
      </c>
      <c r="AU593" s="17" t="n">
        <v>12</v>
      </c>
      <c r="AV593" s="17" t="n">
        <v>0</v>
      </c>
      <c r="AW593" s="17" t="n">
        <v>0</v>
      </c>
      <c r="AX593" s="18" t="n">
        <v>0</v>
      </c>
      <c r="AY593" s="16" t="n">
        <v>11</v>
      </c>
      <c r="AZ593" s="17" t="n">
        <v>0</v>
      </c>
      <c r="BA593" s="17" t="n">
        <v>0</v>
      </c>
      <c r="BB593" s="17" t="n">
        <v>8</v>
      </c>
      <c r="BC593" s="17" t="n">
        <v>0</v>
      </c>
      <c r="BD593" s="17" t="n">
        <v>0</v>
      </c>
      <c r="BE593" s="17" t="n">
        <v>2</v>
      </c>
      <c r="BF593" s="17" t="n">
        <v>2</v>
      </c>
      <c r="BG593" s="17" t="n">
        <v>0</v>
      </c>
      <c r="BH593" s="17" t="n">
        <v>0</v>
      </c>
      <c r="BI593" s="18" t="n">
        <v>0</v>
      </c>
      <c r="BJ593" s="16" t="n">
        <v>28</v>
      </c>
      <c r="BK593" s="17" t="n">
        <v>0</v>
      </c>
      <c r="BL593" s="17" t="n">
        <v>0</v>
      </c>
      <c r="BM593" s="17" t="n">
        <v>7</v>
      </c>
      <c r="BN593" s="17" t="n">
        <v>0</v>
      </c>
      <c r="BO593" s="17" t="n">
        <v>0</v>
      </c>
      <c r="BP593" s="17" t="n">
        <v>2</v>
      </c>
      <c r="BQ593" s="17" t="n">
        <v>11</v>
      </c>
      <c r="BR593" s="17" t="n">
        <v>0</v>
      </c>
      <c r="BS593" s="17" t="n">
        <v>0</v>
      </c>
      <c r="BT593" s="18" t="n">
        <v>0</v>
      </c>
      <c r="BU593" s="17" t="inlineStr">
        <is>
          <t>Generic Drug</t>
        </is>
      </c>
    </row>
    <row r="594" ht="20" customHeight="1">
      <c r="A594" s="15" t="inlineStr">
        <is>
          <t>00378910293</t>
        </is>
      </c>
      <c r="B594" s="15" t="inlineStr">
        <is>
          <t>NITROGLYCERIN 0.1 MG/HR TRANSDERMAL PATCH 24 HOUR</t>
        </is>
      </c>
      <c r="C594" s="16" t="n">
        <v>30</v>
      </c>
      <c r="D594" s="16" t="n">
        <v>1</v>
      </c>
      <c r="E594" s="16" t="n">
        <v>1</v>
      </c>
      <c r="F594" s="16" t="n">
        <v>17</v>
      </c>
      <c r="G594" s="16" t="n">
        <v>30</v>
      </c>
      <c r="H594" s="17" t="n">
        <v>0</v>
      </c>
      <c r="I594" s="17" t="n">
        <v>0</v>
      </c>
      <c r="J594" s="17" t="n">
        <v>30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8" t="n">
        <v>0</v>
      </c>
      <c r="R594" s="16" t="n">
        <v>1</v>
      </c>
      <c r="S594" s="17" t="n">
        <v>0</v>
      </c>
      <c r="T594" s="17" t="n">
        <v>0</v>
      </c>
      <c r="U594" s="17" t="n">
        <v>1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8" t="n">
        <v>0</v>
      </c>
      <c r="AC594" s="16" t="n">
        <v>0</v>
      </c>
      <c r="AD594" s="17" t="n">
        <v>1</v>
      </c>
      <c r="AE594" s="17" t="n">
        <v>1</v>
      </c>
      <c r="AF594" s="17" t="n">
        <v>0</v>
      </c>
      <c r="AG594" s="17" t="n">
        <v>1</v>
      </c>
      <c r="AH594" s="17" t="n">
        <v>1</v>
      </c>
      <c r="AI594" s="17" t="n">
        <v>1</v>
      </c>
      <c r="AJ594" s="17" t="n">
        <v>1</v>
      </c>
      <c r="AK594" s="17" t="n">
        <v>1</v>
      </c>
      <c r="AL594" s="17" t="n">
        <v>1</v>
      </c>
      <c r="AM594" s="18" t="n">
        <v>1</v>
      </c>
      <c r="AN594" s="16" t="n">
        <v>16</v>
      </c>
      <c r="AO594" s="17" t="n">
        <v>0</v>
      </c>
      <c r="AP594" s="17" t="n">
        <v>0</v>
      </c>
      <c r="AQ594" s="17" t="n">
        <v>10</v>
      </c>
      <c r="AR594" s="17" t="n">
        <v>0</v>
      </c>
      <c r="AS594" s="17" t="n">
        <v>0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8" t="n">
        <v>0</v>
      </c>
      <c r="AY594" s="16" t="n">
        <v>17</v>
      </c>
      <c r="AZ594" s="17" t="n">
        <v>0</v>
      </c>
      <c r="BA594" s="17" t="n">
        <v>0</v>
      </c>
      <c r="BB594" s="17" t="n">
        <v>17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0</v>
      </c>
      <c r="BH594" s="17" t="n">
        <v>0</v>
      </c>
      <c r="BI594" s="18" t="n">
        <v>0</v>
      </c>
      <c r="BJ594" s="16" t="n">
        <v>-1</v>
      </c>
      <c r="BK594" s="17" t="n">
        <v>0</v>
      </c>
      <c r="BL594" s="17" t="n">
        <v>0</v>
      </c>
      <c r="BM594" s="17" t="n">
        <v>-7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7" t="n">
        <v>0</v>
      </c>
      <c r="BT594" s="18" t="n">
        <v>0</v>
      </c>
      <c r="BU594" s="17" t="inlineStr">
        <is>
          <t>Generic Drug</t>
        </is>
      </c>
    </row>
    <row r="595" ht="20" customHeight="1">
      <c r="A595" s="15" t="inlineStr">
        <is>
          <t>59762330403</t>
        </is>
      </c>
      <c r="B595" s="15" t="inlineStr">
        <is>
          <t>NITROGLYCERIN 0.4 MG SUBLINGUAL TAB 25X4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125</v>
      </c>
      <c r="H595" s="17" t="n">
        <v>0</v>
      </c>
      <c r="I595" s="17" t="n">
        <v>0</v>
      </c>
      <c r="J595" s="17" t="n">
        <v>125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8" t="n">
        <v>0</v>
      </c>
      <c r="R595" s="16" t="n">
        <v>1.25</v>
      </c>
      <c r="S595" s="17" t="n">
        <v>0</v>
      </c>
      <c r="T595" s="17" t="n">
        <v>0</v>
      </c>
      <c r="U595" s="17" t="n">
        <v>1.25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8" t="n">
        <v>0</v>
      </c>
      <c r="AC595" s="16" t="n">
        <v>-1.25</v>
      </c>
      <c r="AD595" s="17" t="n">
        <v>0</v>
      </c>
      <c r="AE595" s="17" t="n">
        <v>0</v>
      </c>
      <c r="AF595" s="17" t="n">
        <v>-1.25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8" t="n">
        <v>0</v>
      </c>
      <c r="AN595" s="16" t="n">
        <v>57</v>
      </c>
      <c r="AO595" s="17" t="n">
        <v>0</v>
      </c>
      <c r="AP595" s="17" t="n">
        <v>0</v>
      </c>
      <c r="AQ595" s="17" t="n">
        <v>56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8" t="n">
        <v>0</v>
      </c>
      <c r="AY595" s="16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8" t="n">
        <v>0</v>
      </c>
      <c r="BJ595" s="16" t="n">
        <v>57</v>
      </c>
      <c r="BK595" s="17" t="n">
        <v>0</v>
      </c>
      <c r="BL595" s="17" t="n">
        <v>0</v>
      </c>
      <c r="BM595" s="17" t="n">
        <v>56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8" t="n">
        <v>0</v>
      </c>
      <c r="BU595" s="17" t="inlineStr">
        <is>
          <t>Unclassified</t>
        </is>
      </c>
    </row>
    <row r="596" ht="20" customHeight="1">
      <c r="A596" s="15" t="inlineStr">
        <is>
          <t>68180087673</t>
        </is>
      </c>
      <c r="B596" s="15" t="inlineStr">
        <is>
          <t xml:space="preserve">NORETHINDRONE 0.35MG TABLET </t>
        </is>
      </c>
      <c r="C596" s="16" t="n">
        <v>84</v>
      </c>
      <c r="D596" s="16" t="n">
        <v>2</v>
      </c>
      <c r="E596" s="16" t="n">
        <v>2</v>
      </c>
      <c r="F596" s="16" t="n">
        <v>9</v>
      </c>
      <c r="G596" s="16" t="n">
        <v>112</v>
      </c>
      <c r="H596" s="17" t="n">
        <v>0</v>
      </c>
      <c r="I596" s="17" t="n">
        <v>0</v>
      </c>
      <c r="J596" s="17" t="n">
        <v>28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84</v>
      </c>
      <c r="Q596" s="18" t="n">
        <v>0</v>
      </c>
      <c r="R596" s="16" t="n">
        <v>1.333</v>
      </c>
      <c r="S596" s="17" t="n">
        <v>0</v>
      </c>
      <c r="T596" s="17" t="n">
        <v>0</v>
      </c>
      <c r="U596" s="17" t="n">
        <v>0.333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1</v>
      </c>
      <c r="AB596" s="18" t="n">
        <v>0</v>
      </c>
      <c r="AC596" s="16" t="n">
        <v>0.667</v>
      </c>
      <c r="AD596" s="17" t="n">
        <v>2</v>
      </c>
      <c r="AE596" s="17" t="n">
        <v>2</v>
      </c>
      <c r="AF596" s="17" t="n">
        <v>1.667</v>
      </c>
      <c r="AG596" s="17" t="n">
        <v>2</v>
      </c>
      <c r="AH596" s="17" t="n">
        <v>2</v>
      </c>
      <c r="AI596" s="17" t="n">
        <v>2</v>
      </c>
      <c r="AJ596" s="17" t="n">
        <v>2</v>
      </c>
      <c r="AK596" s="17" t="n">
        <v>2</v>
      </c>
      <c r="AL596" s="17" t="n">
        <v>1</v>
      </c>
      <c r="AM596" s="18" t="n">
        <v>2</v>
      </c>
      <c r="AN596" s="16" t="n">
        <v>20</v>
      </c>
      <c r="AO596" s="17" t="n">
        <v>0</v>
      </c>
      <c r="AP596" s="17" t="n">
        <v>0</v>
      </c>
      <c r="AQ596" s="17" t="n">
        <v>10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10</v>
      </c>
      <c r="AX596" s="18" t="n">
        <v>0</v>
      </c>
      <c r="AY596" s="16" t="n">
        <v>12</v>
      </c>
      <c r="AZ596" s="17" t="n">
        <v>0</v>
      </c>
      <c r="BA596" s="17" t="n">
        <v>0</v>
      </c>
      <c r="BB596" s="17" t="n">
        <v>3</v>
      </c>
      <c r="BC596" s="17" t="n">
        <v>0</v>
      </c>
      <c r="BD596" s="17" t="n">
        <v>0</v>
      </c>
      <c r="BE596" s="17" t="n">
        <v>0</v>
      </c>
      <c r="BF596" s="17" t="n">
        <v>0</v>
      </c>
      <c r="BG596" s="17" t="n">
        <v>0</v>
      </c>
      <c r="BH596" s="17" t="n">
        <v>9</v>
      </c>
      <c r="BI596" s="18" t="n">
        <v>0</v>
      </c>
      <c r="BJ596" s="16" t="n">
        <v>8</v>
      </c>
      <c r="BK596" s="17" t="n">
        <v>0</v>
      </c>
      <c r="BL596" s="17" t="n">
        <v>0</v>
      </c>
      <c r="BM596" s="17" t="n">
        <v>7</v>
      </c>
      <c r="BN596" s="17" t="n">
        <v>0</v>
      </c>
      <c r="BO596" s="17" t="n">
        <v>0</v>
      </c>
      <c r="BP596" s="17" t="n">
        <v>0</v>
      </c>
      <c r="BQ596" s="17" t="n">
        <v>0</v>
      </c>
      <c r="BR596" s="17" t="n">
        <v>0</v>
      </c>
      <c r="BS596" s="17" t="n">
        <v>1</v>
      </c>
      <c r="BT596" s="18" t="n">
        <v>0</v>
      </c>
      <c r="BU596" s="17" t="inlineStr">
        <is>
          <t>Generic Drug</t>
        </is>
      </c>
    </row>
    <row r="597" ht="20" customHeight="1">
      <c r="A597" s="15" t="inlineStr">
        <is>
          <t>51672400101</t>
        </is>
      </c>
      <c r="B597" s="15" t="inlineStr">
        <is>
          <t>NORTRIPTYLINE 10MG CAPSULE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30</v>
      </c>
      <c r="H597" s="17" t="n">
        <v>0</v>
      </c>
      <c r="I597" s="17" t="n">
        <v>0</v>
      </c>
      <c r="J597" s="17" t="n">
        <v>30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8" t="n">
        <v>0</v>
      </c>
      <c r="R597" s="16" t="n">
        <v>0.3</v>
      </c>
      <c r="S597" s="17" t="n">
        <v>0</v>
      </c>
      <c r="T597" s="17" t="n">
        <v>0</v>
      </c>
      <c r="U597" s="17" t="n">
        <v>0.3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8" t="n">
        <v>0</v>
      </c>
      <c r="AC597" s="16" t="n">
        <v>-0.3</v>
      </c>
      <c r="AD597" s="17" t="n">
        <v>0</v>
      </c>
      <c r="AE597" s="17" t="n">
        <v>0</v>
      </c>
      <c r="AF597" s="17" t="n">
        <v>-0.3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8" t="n">
        <v>0</v>
      </c>
      <c r="AN597" s="16" t="n">
        <v>1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0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8" t="n">
        <v>0</v>
      </c>
      <c r="AY597" s="16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8" t="n">
        <v>0</v>
      </c>
      <c r="BJ597" s="16" t="n">
        <v>1</v>
      </c>
      <c r="BK597" s="17" t="n">
        <v>0</v>
      </c>
      <c r="BL597" s="17" t="n">
        <v>0</v>
      </c>
      <c r="BM597" s="17" t="n">
        <v>1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8" t="n">
        <v>0</v>
      </c>
      <c r="BU597" s="17" t="inlineStr">
        <is>
          <t>Unclassified</t>
        </is>
      </c>
    </row>
    <row r="598" ht="20" customHeight="1">
      <c r="A598" s="15" t="inlineStr">
        <is>
          <t>51672400301</t>
        </is>
      </c>
      <c r="B598" s="15" t="inlineStr">
        <is>
          <t>NORTRIPTYLINE 50MG CAPSULE</t>
        </is>
      </c>
      <c r="C598" s="16" t="n">
        <v>100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30</v>
      </c>
      <c r="O598" s="17" t="n">
        <v>0</v>
      </c>
      <c r="P598" s="17" t="n">
        <v>0</v>
      </c>
      <c r="Q598" s="18" t="n">
        <v>0</v>
      </c>
      <c r="R598" s="16" t="n">
        <v>0.3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0.3</v>
      </c>
      <c r="Z598" s="17" t="n">
        <v>0</v>
      </c>
      <c r="AA598" s="17" t="n">
        <v>0</v>
      </c>
      <c r="AB598" s="18" t="n">
        <v>0</v>
      </c>
      <c r="AC598" s="16" t="n">
        <v>-0.3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-0.3</v>
      </c>
      <c r="AK598" s="17" t="n">
        <v>0</v>
      </c>
      <c r="AL598" s="17" t="n">
        <v>0</v>
      </c>
      <c r="AM598" s="18" t="n">
        <v>0</v>
      </c>
      <c r="AN598" s="16" t="n">
        <v>14</v>
      </c>
      <c r="AO598" s="17" t="n">
        <v>0</v>
      </c>
      <c r="AP598" s="17" t="n">
        <v>0</v>
      </c>
      <c r="AQ598" s="17" t="n">
        <v>0</v>
      </c>
      <c r="AR598" s="17" t="n">
        <v>0</v>
      </c>
      <c r="AS598" s="17" t="n">
        <v>0</v>
      </c>
      <c r="AT598" s="17" t="n">
        <v>0</v>
      </c>
      <c r="AU598" s="17" t="n">
        <v>14</v>
      </c>
      <c r="AV598" s="17" t="n">
        <v>0</v>
      </c>
      <c r="AW598" s="17" t="n">
        <v>0</v>
      </c>
      <c r="AX598" s="18" t="n">
        <v>0</v>
      </c>
      <c r="AY598" s="16" t="n">
        <v>0</v>
      </c>
      <c r="AZ598" s="17" t="n">
        <v>0</v>
      </c>
      <c r="BA598" s="17" t="n">
        <v>0</v>
      </c>
      <c r="BB598" s="17" t="n">
        <v>0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7" t="n">
        <v>0</v>
      </c>
      <c r="BI598" s="18" t="n">
        <v>0</v>
      </c>
      <c r="BJ598" s="16" t="n">
        <v>14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14</v>
      </c>
      <c r="BR598" s="17" t="n">
        <v>0</v>
      </c>
      <c r="BS598" s="17" t="n">
        <v>0</v>
      </c>
      <c r="BT598" s="18" t="n">
        <v>0</v>
      </c>
      <c r="BU598" s="17" t="inlineStr">
        <is>
          <t>Unclassified</t>
        </is>
      </c>
    </row>
    <row r="599" ht="20" customHeight="1">
      <c r="A599" s="15" t="inlineStr">
        <is>
          <t>00169183411</t>
        </is>
      </c>
      <c r="B599" s="15" t="inlineStr">
        <is>
          <t>NOVOLIN N 100UNIT/ML SUSPENSION</t>
        </is>
      </c>
      <c r="C599" s="16" t="n">
        <v>10</v>
      </c>
      <c r="D599" s="16" t="n">
        <v>2</v>
      </c>
      <c r="E599" s="16" t="n">
        <v>2</v>
      </c>
      <c r="F599" s="16" t="n">
        <v>48</v>
      </c>
      <c r="G599" s="16" t="n">
        <v>20</v>
      </c>
      <c r="H599" s="17" t="n">
        <v>0</v>
      </c>
      <c r="I599" s="17" t="n">
        <v>0</v>
      </c>
      <c r="J599" s="17" t="n">
        <v>20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8" t="n">
        <v>0</v>
      </c>
      <c r="R599" s="16" t="n">
        <v>2</v>
      </c>
      <c r="S599" s="17" t="n">
        <v>0</v>
      </c>
      <c r="T599" s="17" t="n">
        <v>0</v>
      </c>
      <c r="U599" s="17" t="n">
        <v>2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8" t="n">
        <v>0</v>
      </c>
      <c r="AC599" s="16" t="n">
        <v>0</v>
      </c>
      <c r="AD599" s="17" t="n">
        <v>2</v>
      </c>
      <c r="AE599" s="17" t="n">
        <v>2</v>
      </c>
      <c r="AF599" s="17" t="n">
        <v>0</v>
      </c>
      <c r="AG599" s="17" t="n">
        <v>2</v>
      </c>
      <c r="AH599" s="17" t="n">
        <v>2</v>
      </c>
      <c r="AI599" s="17" t="n">
        <v>2</v>
      </c>
      <c r="AJ599" s="17" t="n">
        <v>2</v>
      </c>
      <c r="AK599" s="17" t="n">
        <v>2</v>
      </c>
      <c r="AL599" s="17" t="n">
        <v>2</v>
      </c>
      <c r="AM599" s="18" t="n">
        <v>2</v>
      </c>
      <c r="AN599" s="16" t="n">
        <v>92</v>
      </c>
      <c r="AO599" s="17" t="n">
        <v>0</v>
      </c>
      <c r="AP599" s="17" t="n">
        <v>0</v>
      </c>
      <c r="AQ599" s="17" t="n">
        <v>92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8" t="n">
        <v>0</v>
      </c>
      <c r="AY599" s="16" t="n">
        <v>96</v>
      </c>
      <c r="AZ599" s="17" t="n">
        <v>0</v>
      </c>
      <c r="BA599" s="17" t="n">
        <v>0</v>
      </c>
      <c r="BB599" s="17" t="n">
        <v>96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8" t="n">
        <v>0</v>
      </c>
      <c r="BJ599" s="16" t="n">
        <v>-4</v>
      </c>
      <c r="BK599" s="17" t="n">
        <v>0</v>
      </c>
      <c r="BL599" s="17" t="n">
        <v>0</v>
      </c>
      <c r="BM599" s="17" t="n">
        <v>-4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8" t="n">
        <v>0</v>
      </c>
      <c r="BU599" s="17" t="inlineStr">
        <is>
          <t>Home Health Care</t>
        </is>
      </c>
    </row>
    <row r="600" ht="20" customHeight="1">
      <c r="A600" s="15" t="inlineStr">
        <is>
          <t>00169750111</t>
        </is>
      </c>
      <c r="B600" s="15" t="inlineStr">
        <is>
          <t>NOVOLOG 100UNIT/ML SOLUTION</t>
        </is>
      </c>
      <c r="C600" s="16" t="n">
        <v>10</v>
      </c>
      <c r="D600" s="16" t="n">
        <v>3</v>
      </c>
      <c r="E600" s="16" t="n">
        <v>3</v>
      </c>
      <c r="F600" s="16" t="n">
        <v>70</v>
      </c>
      <c r="G600" s="16" t="n">
        <v>30</v>
      </c>
      <c r="H600" s="17" t="n">
        <v>0</v>
      </c>
      <c r="I600" s="17" t="n">
        <v>0</v>
      </c>
      <c r="J600" s="17" t="n">
        <v>30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8" t="n">
        <v>0</v>
      </c>
      <c r="R600" s="16" t="n">
        <v>3</v>
      </c>
      <c r="S600" s="17" t="n">
        <v>0</v>
      </c>
      <c r="T600" s="17" t="n">
        <v>0</v>
      </c>
      <c r="U600" s="17" t="n">
        <v>3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8" t="n">
        <v>0</v>
      </c>
      <c r="AC600" s="16" t="n">
        <v>0</v>
      </c>
      <c r="AD600" s="17" t="n">
        <v>3</v>
      </c>
      <c r="AE600" s="17" t="n">
        <v>3</v>
      </c>
      <c r="AF600" s="17" t="n">
        <v>0</v>
      </c>
      <c r="AG600" s="17" t="n">
        <v>3</v>
      </c>
      <c r="AH600" s="17" t="n">
        <v>3</v>
      </c>
      <c r="AI600" s="17" t="n">
        <v>3</v>
      </c>
      <c r="AJ600" s="17" t="n">
        <v>3</v>
      </c>
      <c r="AK600" s="17" t="n">
        <v>3</v>
      </c>
      <c r="AL600" s="17" t="n">
        <v>3</v>
      </c>
      <c r="AM600" s="18" t="n">
        <v>3</v>
      </c>
      <c r="AN600" s="16" t="n">
        <v>206</v>
      </c>
      <c r="AO600" s="17" t="n">
        <v>0</v>
      </c>
      <c r="AP600" s="17" t="n">
        <v>0</v>
      </c>
      <c r="AQ600" s="17" t="n">
        <v>206</v>
      </c>
      <c r="AR600" s="17" t="n">
        <v>0</v>
      </c>
      <c r="AS600" s="17" t="n">
        <v>0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8" t="n">
        <v>0</v>
      </c>
      <c r="AY600" s="16" t="n">
        <v>210</v>
      </c>
      <c r="AZ600" s="17" t="n">
        <v>0</v>
      </c>
      <c r="BA600" s="17" t="n">
        <v>0</v>
      </c>
      <c r="BB600" s="17" t="n">
        <v>210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7" t="n">
        <v>0</v>
      </c>
      <c r="BI600" s="18" t="n">
        <v>0</v>
      </c>
      <c r="BJ600" s="16" t="n">
        <v>-4</v>
      </c>
      <c r="BK600" s="17" t="n">
        <v>0</v>
      </c>
      <c r="BL600" s="17" t="n">
        <v>0</v>
      </c>
      <c r="BM600" s="17" t="n">
        <v>-4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7" t="n">
        <v>0</v>
      </c>
      <c r="BT600" s="18" t="n">
        <v>0</v>
      </c>
      <c r="BU600" s="17" t="inlineStr">
        <is>
          <t>Branded Drug</t>
        </is>
      </c>
    </row>
    <row r="601" ht="20" customHeight="1">
      <c r="A601" s="15" t="inlineStr">
        <is>
          <t>00169633910</t>
        </is>
      </c>
      <c r="B601" s="15" t="inlineStr">
        <is>
          <t>NOVOLOG FLEXPEN 100UNIT/ML INJECTION</t>
        </is>
      </c>
      <c r="C601" s="16" t="n">
        <v>15</v>
      </c>
      <c r="D601" s="16" t="n">
        <v>0</v>
      </c>
      <c r="E601" s="16" t="n">
        <v>0</v>
      </c>
      <c r="F601" s="16" t="n">
        <v>0</v>
      </c>
      <c r="G601" s="16" t="n">
        <v>63</v>
      </c>
      <c r="H601" s="17" t="n">
        <v>0</v>
      </c>
      <c r="I601" s="17" t="n">
        <v>0</v>
      </c>
      <c r="J601" s="17" t="n">
        <v>63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8" t="n">
        <v>0</v>
      </c>
      <c r="R601" s="16" t="n">
        <v>4.2</v>
      </c>
      <c r="S601" s="17" t="n">
        <v>0</v>
      </c>
      <c r="T601" s="17" t="n">
        <v>0</v>
      </c>
      <c r="U601" s="17" t="n">
        <v>4.2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8" t="n">
        <v>0</v>
      </c>
      <c r="AC601" s="16" t="n">
        <v>-4.2</v>
      </c>
      <c r="AD601" s="17" t="n">
        <v>0</v>
      </c>
      <c r="AE601" s="17" t="n">
        <v>0</v>
      </c>
      <c r="AF601" s="17" t="n">
        <v>-4.2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8" t="n">
        <v>0</v>
      </c>
      <c r="AN601" s="16" t="n">
        <v>549</v>
      </c>
      <c r="AO601" s="17" t="n">
        <v>0</v>
      </c>
      <c r="AP601" s="17" t="n">
        <v>0</v>
      </c>
      <c r="AQ601" s="17" t="n">
        <v>535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8" t="n">
        <v>0</v>
      </c>
      <c r="AY601" s="16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8" t="n">
        <v>0</v>
      </c>
      <c r="BJ601" s="16" t="n">
        <v>549</v>
      </c>
      <c r="BK601" s="17" t="n">
        <v>0</v>
      </c>
      <c r="BL601" s="17" t="n">
        <v>0</v>
      </c>
      <c r="BM601" s="17" t="n">
        <v>535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8" t="n">
        <v>0</v>
      </c>
      <c r="BU601" s="17" t="inlineStr">
        <is>
          <t>Unclassified</t>
        </is>
      </c>
    </row>
    <row r="602" ht="20" customHeight="1">
      <c r="A602" s="15" t="inlineStr">
        <is>
          <t>72618300002</t>
        </is>
      </c>
      <c r="B602" s="15" t="inlineStr">
        <is>
          <t>NURTEC 75MG TABLET DISINTEGRATING</t>
        </is>
      </c>
      <c r="C602" s="16" t="n">
        <v>8</v>
      </c>
      <c r="D602" s="16" t="n">
        <v>2</v>
      </c>
      <c r="E602" s="16" t="n">
        <v>2</v>
      </c>
      <c r="F602" s="16" t="n">
        <v>1046</v>
      </c>
      <c r="G602" s="16" t="n">
        <v>32</v>
      </c>
      <c r="H602" s="17" t="n">
        <v>0</v>
      </c>
      <c r="I602" s="17" t="n">
        <v>0</v>
      </c>
      <c r="J602" s="17" t="n">
        <v>32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0</v>
      </c>
      <c r="Q602" s="18" t="n">
        <v>0</v>
      </c>
      <c r="R602" s="16" t="n">
        <v>4</v>
      </c>
      <c r="S602" s="17" t="n">
        <v>0</v>
      </c>
      <c r="T602" s="17" t="n">
        <v>0</v>
      </c>
      <c r="U602" s="17" t="n">
        <v>4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8" t="n">
        <v>0</v>
      </c>
      <c r="AC602" s="16" t="n">
        <v>-2</v>
      </c>
      <c r="AD602" s="17" t="n">
        <v>2</v>
      </c>
      <c r="AE602" s="17" t="n">
        <v>2</v>
      </c>
      <c r="AF602" s="17" t="n">
        <v>-2</v>
      </c>
      <c r="AG602" s="17" t="n">
        <v>2</v>
      </c>
      <c r="AH602" s="17" t="n">
        <v>2</v>
      </c>
      <c r="AI602" s="17" t="n">
        <v>2</v>
      </c>
      <c r="AJ602" s="17" t="n">
        <v>2</v>
      </c>
      <c r="AK602" s="17" t="n">
        <v>2</v>
      </c>
      <c r="AL602" s="17" t="n">
        <v>2</v>
      </c>
      <c r="AM602" s="18" t="n">
        <v>2</v>
      </c>
      <c r="AN602" s="16" t="n">
        <v>4093</v>
      </c>
      <c r="AO602" s="17" t="n">
        <v>0</v>
      </c>
      <c r="AP602" s="17" t="n">
        <v>0</v>
      </c>
      <c r="AQ602" s="17" t="n">
        <v>4093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  <c r="AW602" s="17" t="n">
        <v>0</v>
      </c>
      <c r="AX602" s="18" t="n">
        <v>0</v>
      </c>
      <c r="AY602" s="16" t="n">
        <v>4184</v>
      </c>
      <c r="AZ602" s="17" t="n">
        <v>0</v>
      </c>
      <c r="BA602" s="17" t="n">
        <v>0</v>
      </c>
      <c r="BB602" s="17" t="n">
        <v>4184</v>
      </c>
      <c r="BC602" s="17" t="n">
        <v>0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7" t="n">
        <v>0</v>
      </c>
      <c r="BI602" s="18" t="n">
        <v>0</v>
      </c>
      <c r="BJ602" s="16" t="n">
        <v>-91</v>
      </c>
      <c r="BK602" s="17" t="n">
        <v>0</v>
      </c>
      <c r="BL602" s="17" t="n">
        <v>0</v>
      </c>
      <c r="BM602" s="17" t="n">
        <v>-91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7" t="n">
        <v>0</v>
      </c>
      <c r="BT602" s="18" t="n">
        <v>0</v>
      </c>
      <c r="BU602" s="17" t="inlineStr">
        <is>
          <t>Branded Drug</t>
        </is>
      </c>
    </row>
    <row r="603" ht="20" customHeight="1">
      <c r="A603" s="15" t="inlineStr">
        <is>
          <t>69315030660</t>
        </is>
      </c>
      <c r="B603" s="15" t="inlineStr">
        <is>
          <t>NYSTATIN 100000 UNIT/GM EXTERNAL POWDER</t>
        </is>
      </c>
      <c r="C603" s="16" t="n">
        <v>60</v>
      </c>
      <c r="D603" s="16" t="n">
        <v>0</v>
      </c>
      <c r="E603" s="16" t="n">
        <v>0</v>
      </c>
      <c r="F603" s="16" t="n">
        <v>0</v>
      </c>
      <c r="G603" s="16" t="n">
        <v>60</v>
      </c>
      <c r="H603" s="17" t="n">
        <v>0</v>
      </c>
      <c r="I603" s="17" t="n">
        <v>0</v>
      </c>
      <c r="J603" s="17" t="n">
        <v>60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8" t="n">
        <v>0</v>
      </c>
      <c r="R603" s="16" t="n">
        <v>1</v>
      </c>
      <c r="S603" s="17" t="n">
        <v>0</v>
      </c>
      <c r="T603" s="17" t="n">
        <v>0</v>
      </c>
      <c r="U603" s="17" t="n">
        <v>1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8" t="n">
        <v>0</v>
      </c>
      <c r="AC603" s="16" t="n">
        <v>-1</v>
      </c>
      <c r="AD603" s="17" t="n">
        <v>0</v>
      </c>
      <c r="AE603" s="17" t="n">
        <v>0</v>
      </c>
      <c r="AF603" s="17" t="n">
        <v>-1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8" t="n">
        <v>0</v>
      </c>
      <c r="AN603" s="16" t="n">
        <v>37</v>
      </c>
      <c r="AO603" s="17" t="n">
        <v>0</v>
      </c>
      <c r="AP603" s="17" t="n">
        <v>0</v>
      </c>
      <c r="AQ603" s="17" t="n">
        <v>36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8" t="n">
        <v>0</v>
      </c>
      <c r="AY603" s="16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8" t="n">
        <v>0</v>
      </c>
      <c r="BJ603" s="16" t="n">
        <v>37</v>
      </c>
      <c r="BK603" s="17" t="n">
        <v>0</v>
      </c>
      <c r="BL603" s="17" t="n">
        <v>0</v>
      </c>
      <c r="BM603" s="17" t="n">
        <v>36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8" t="n">
        <v>0</v>
      </c>
      <c r="BU603" s="17" t="inlineStr">
        <is>
          <t>Unclassified</t>
        </is>
      </c>
    </row>
    <row r="604" ht="20" customHeight="1">
      <c r="A604" s="15" t="inlineStr">
        <is>
          <t>00121086816</t>
        </is>
      </c>
      <c r="B604" s="15" t="inlineStr">
        <is>
          <t>NYSTATIN 100000 UNIT/ML MOUTH/THROAT SUSPENSION</t>
        </is>
      </c>
      <c r="C604" s="16" t="n">
        <v>473</v>
      </c>
      <c r="D604" s="16" t="n">
        <v>1</v>
      </c>
      <c r="E604" s="16" t="n">
        <v>1</v>
      </c>
      <c r="F604" s="16" t="n">
        <v>38</v>
      </c>
      <c r="G604" s="16" t="n">
        <v>473</v>
      </c>
      <c r="H604" s="17" t="n">
        <v>0</v>
      </c>
      <c r="I604" s="17" t="n">
        <v>0</v>
      </c>
      <c r="J604" s="17" t="n">
        <v>0</v>
      </c>
      <c r="K604" s="17" t="n">
        <v>473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8" t="n">
        <v>0</v>
      </c>
      <c r="R604" s="16" t="n">
        <v>1</v>
      </c>
      <c r="S604" s="17" t="n">
        <v>0</v>
      </c>
      <c r="T604" s="17" t="n">
        <v>0</v>
      </c>
      <c r="U604" s="17" t="n">
        <v>0</v>
      </c>
      <c r="V604" s="17" t="n">
        <v>1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8" t="n">
        <v>0</v>
      </c>
      <c r="AC604" s="16" t="n">
        <v>0</v>
      </c>
      <c r="AD604" s="17" t="n">
        <v>1</v>
      </c>
      <c r="AE604" s="17" t="n">
        <v>1</v>
      </c>
      <c r="AF604" s="17" t="n">
        <v>1</v>
      </c>
      <c r="AG604" s="17" t="n">
        <v>0</v>
      </c>
      <c r="AH604" s="17" t="n">
        <v>1</v>
      </c>
      <c r="AI604" s="17" t="n">
        <v>1</v>
      </c>
      <c r="AJ604" s="17" t="n">
        <v>1</v>
      </c>
      <c r="AK604" s="17" t="n">
        <v>1</v>
      </c>
      <c r="AL604" s="17" t="n">
        <v>1</v>
      </c>
      <c r="AM604" s="18" t="n">
        <v>1</v>
      </c>
      <c r="AN604" s="16" t="n">
        <v>32</v>
      </c>
      <c r="AO604" s="17" t="n">
        <v>0</v>
      </c>
      <c r="AP604" s="17" t="n">
        <v>0</v>
      </c>
      <c r="AQ604" s="17" t="n">
        <v>0</v>
      </c>
      <c r="AR604" s="17" t="n">
        <v>26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8" t="n">
        <v>0</v>
      </c>
      <c r="AY604" s="16" t="n">
        <v>38</v>
      </c>
      <c r="AZ604" s="17" t="n">
        <v>0</v>
      </c>
      <c r="BA604" s="17" t="n">
        <v>0</v>
      </c>
      <c r="BB604" s="17" t="n">
        <v>0</v>
      </c>
      <c r="BC604" s="17" t="n">
        <v>38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7" t="n">
        <v>0</v>
      </c>
      <c r="BI604" s="18" t="n">
        <v>0</v>
      </c>
      <c r="BJ604" s="16" t="n">
        <v>-6</v>
      </c>
      <c r="BK604" s="17" t="n">
        <v>0</v>
      </c>
      <c r="BL604" s="17" t="n">
        <v>0</v>
      </c>
      <c r="BM604" s="17" t="n">
        <v>0</v>
      </c>
      <c r="BN604" s="17" t="n">
        <v>-12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7" t="n">
        <v>0</v>
      </c>
      <c r="BT604" s="18" t="n">
        <v>0</v>
      </c>
      <c r="BU604" s="17" t="inlineStr">
        <is>
          <t>Generic Drug</t>
        </is>
      </c>
    </row>
    <row r="605" ht="20" customHeight="1">
      <c r="A605" s="15" t="inlineStr">
        <is>
          <t>45802005911</t>
        </is>
      </c>
      <c r="B605" s="15" t="inlineStr">
        <is>
          <t>NYSTATIN 100000UNIT/GM CREAM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30</v>
      </c>
      <c r="H605" s="17" t="n">
        <v>0</v>
      </c>
      <c r="I605" s="17" t="n">
        <v>0</v>
      </c>
      <c r="J605" s="17" t="n">
        <v>30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8" t="n">
        <v>0</v>
      </c>
      <c r="R605" s="16" t="n">
        <v>1</v>
      </c>
      <c r="S605" s="17" t="n">
        <v>0</v>
      </c>
      <c r="T605" s="17" t="n">
        <v>0</v>
      </c>
      <c r="U605" s="17" t="n">
        <v>1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8" t="n">
        <v>0</v>
      </c>
      <c r="AC605" s="16" t="n">
        <v>-1</v>
      </c>
      <c r="AD605" s="17" t="n">
        <v>0</v>
      </c>
      <c r="AE605" s="17" t="n">
        <v>0</v>
      </c>
      <c r="AF605" s="17" t="n">
        <v>-1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8" t="n">
        <v>0</v>
      </c>
      <c r="AN605" s="16" t="n">
        <v>12</v>
      </c>
      <c r="AO605" s="17" t="n">
        <v>0</v>
      </c>
      <c r="AP605" s="17" t="n">
        <v>0</v>
      </c>
      <c r="AQ605" s="17" t="n">
        <v>10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8" t="n">
        <v>0</v>
      </c>
      <c r="AY605" s="16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8" t="n">
        <v>0</v>
      </c>
      <c r="BJ605" s="16" t="n">
        <v>12</v>
      </c>
      <c r="BK605" s="17" t="n">
        <v>0</v>
      </c>
      <c r="BL605" s="17" t="n">
        <v>0</v>
      </c>
      <c r="BM605" s="17" t="n">
        <v>10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8" t="n">
        <v>0</v>
      </c>
      <c r="BU605" s="17" t="inlineStr">
        <is>
          <t>Unclassified</t>
        </is>
      </c>
    </row>
    <row r="606" ht="20" customHeight="1">
      <c r="A606" s="15" t="inlineStr">
        <is>
          <t>00713068631</t>
        </is>
      </c>
      <c r="B606" s="15" t="inlineStr">
        <is>
          <t>NYSTATIN 100000UNIT/GM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30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8" t="n">
        <v>0</v>
      </c>
      <c r="R606" s="16" t="n">
        <v>1</v>
      </c>
      <c r="S606" s="17" t="n">
        <v>0</v>
      </c>
      <c r="T606" s="17" t="n">
        <v>0</v>
      </c>
      <c r="U606" s="17" t="n">
        <v>1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8" t="n">
        <v>0</v>
      </c>
      <c r="AC606" s="16" t="n">
        <v>-1</v>
      </c>
      <c r="AD606" s="17" t="n">
        <v>0</v>
      </c>
      <c r="AE606" s="17" t="n">
        <v>0</v>
      </c>
      <c r="AF606" s="17" t="n">
        <v>-1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8" t="n">
        <v>0</v>
      </c>
      <c r="AN606" s="16" t="n">
        <v>12</v>
      </c>
      <c r="AO606" s="17" t="n">
        <v>0</v>
      </c>
      <c r="AP606" s="17" t="n">
        <v>0</v>
      </c>
      <c r="AQ606" s="17" t="n">
        <v>12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8" t="n">
        <v>0</v>
      </c>
      <c r="AY606" s="16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7" t="n">
        <v>0</v>
      </c>
      <c r="BG606" s="17" t="n">
        <v>0</v>
      </c>
      <c r="BH606" s="17" t="n">
        <v>0</v>
      </c>
      <c r="BI606" s="18" t="n">
        <v>0</v>
      </c>
      <c r="BJ606" s="16" t="n">
        <v>12</v>
      </c>
      <c r="BK606" s="17" t="n">
        <v>0</v>
      </c>
      <c r="BL606" s="17" t="n">
        <v>0</v>
      </c>
      <c r="BM606" s="17" t="n">
        <v>12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7" t="n">
        <v>0</v>
      </c>
      <c r="BT606" s="18" t="n">
        <v>0</v>
      </c>
      <c r="BU606" s="17" t="inlineStr">
        <is>
          <t>Unclassified</t>
        </is>
      </c>
    </row>
    <row r="607" ht="20" customHeight="1">
      <c r="A607" s="15" t="inlineStr">
        <is>
          <t>00832046530</t>
        </is>
      </c>
      <c r="B607" s="15" t="inlineStr">
        <is>
          <t>NYSTATIN 100000UNIT/GM POWDER</t>
        </is>
      </c>
      <c r="C607" s="16" t="n">
        <v>30</v>
      </c>
      <c r="D607" s="16" t="n">
        <v>0</v>
      </c>
      <c r="E607" s="16" t="n">
        <v>0</v>
      </c>
      <c r="F607" s="16" t="n">
        <v>0</v>
      </c>
      <c r="G607" s="16" t="n">
        <v>120</v>
      </c>
      <c r="H607" s="17" t="n">
        <v>0</v>
      </c>
      <c r="I607" s="17" t="n">
        <v>0</v>
      </c>
      <c r="J607" s="17" t="n">
        <v>120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8" t="n">
        <v>0</v>
      </c>
      <c r="R607" s="16" t="n">
        <v>4</v>
      </c>
      <c r="S607" s="17" t="n">
        <v>0</v>
      </c>
      <c r="T607" s="17" t="n">
        <v>0</v>
      </c>
      <c r="U607" s="17" t="n">
        <v>4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8" t="n">
        <v>0</v>
      </c>
      <c r="AC607" s="16" t="n">
        <v>-4</v>
      </c>
      <c r="AD607" s="17" t="n">
        <v>0</v>
      </c>
      <c r="AE607" s="17" t="n">
        <v>0</v>
      </c>
      <c r="AF607" s="17" t="n">
        <v>-4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8" t="n">
        <v>0</v>
      </c>
      <c r="AN607" s="16" t="n">
        <v>93</v>
      </c>
      <c r="AO607" s="17" t="n">
        <v>0</v>
      </c>
      <c r="AP607" s="17" t="n">
        <v>0</v>
      </c>
      <c r="AQ607" s="17" t="n">
        <v>93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8" t="n">
        <v>0</v>
      </c>
      <c r="AY607" s="16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8" t="n">
        <v>0</v>
      </c>
      <c r="BJ607" s="16" t="n">
        <v>93</v>
      </c>
      <c r="BK607" s="17" t="n">
        <v>0</v>
      </c>
      <c r="BL607" s="17" t="n">
        <v>0</v>
      </c>
      <c r="BM607" s="17" t="n">
        <v>93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8" t="n">
        <v>0</v>
      </c>
      <c r="BU607" s="17" t="inlineStr">
        <is>
          <t>Unclassified</t>
        </is>
      </c>
    </row>
    <row r="608" ht="20" customHeight="1">
      <c r="A608" s="15" t="inlineStr">
        <is>
          <t>45802024494</t>
        </is>
      </c>
      <c r="B608" s="15" t="inlineStr">
        <is>
          <t>NYSTATIN-TRIAMCINOLONE 100000-0.1 U/GM OINTMENT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60</v>
      </c>
      <c r="H608" s="17" t="n">
        <v>0</v>
      </c>
      <c r="I608" s="17" t="n">
        <v>0</v>
      </c>
      <c r="J608" s="17" t="n">
        <v>0</v>
      </c>
      <c r="K608" s="17" t="n">
        <v>30</v>
      </c>
      <c r="L608" s="17" t="n">
        <v>0</v>
      </c>
      <c r="M608" s="17" t="n">
        <v>0</v>
      </c>
      <c r="N608" s="17" t="n">
        <v>30</v>
      </c>
      <c r="O608" s="17" t="n">
        <v>0</v>
      </c>
      <c r="P608" s="17" t="n">
        <v>0</v>
      </c>
      <c r="Q608" s="18" t="n">
        <v>0</v>
      </c>
      <c r="R608" s="16" t="n">
        <v>2</v>
      </c>
      <c r="S608" s="17" t="n">
        <v>0</v>
      </c>
      <c r="T608" s="17" t="n">
        <v>0</v>
      </c>
      <c r="U608" s="17" t="n">
        <v>0</v>
      </c>
      <c r="V608" s="17" t="n">
        <v>1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8" t="n">
        <v>0</v>
      </c>
      <c r="AC608" s="16" t="n">
        <v>-2</v>
      </c>
      <c r="AD608" s="17" t="n">
        <v>0</v>
      </c>
      <c r="AE608" s="17" t="n">
        <v>0</v>
      </c>
      <c r="AF608" s="17" t="n">
        <v>0</v>
      </c>
      <c r="AG608" s="17" t="n">
        <v>-1</v>
      </c>
      <c r="AH608" s="17" t="n">
        <v>0</v>
      </c>
      <c r="AI608" s="17" t="n">
        <v>0</v>
      </c>
      <c r="AJ608" s="17" t="n">
        <v>-1</v>
      </c>
      <c r="AK608" s="17" t="n">
        <v>0</v>
      </c>
      <c r="AL608" s="17" t="n">
        <v>0</v>
      </c>
      <c r="AM608" s="18" t="n">
        <v>0</v>
      </c>
      <c r="AN608" s="16" t="n">
        <v>30</v>
      </c>
      <c r="AO608" s="17" t="n">
        <v>0</v>
      </c>
      <c r="AP608" s="17" t="n">
        <v>0</v>
      </c>
      <c r="AQ608" s="17" t="n">
        <v>0</v>
      </c>
      <c r="AR608" s="17" t="n">
        <v>9</v>
      </c>
      <c r="AS608" s="17" t="n">
        <v>0</v>
      </c>
      <c r="AT608" s="17" t="n">
        <v>0</v>
      </c>
      <c r="AU608" s="17" t="n">
        <v>16</v>
      </c>
      <c r="AV608" s="17" t="n">
        <v>0</v>
      </c>
      <c r="AW608" s="17" t="n">
        <v>0</v>
      </c>
      <c r="AX608" s="18" t="n">
        <v>0</v>
      </c>
      <c r="AY608" s="16" t="n">
        <v>0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7" t="n">
        <v>0</v>
      </c>
      <c r="BI608" s="18" t="n">
        <v>0</v>
      </c>
      <c r="BJ608" s="16" t="n">
        <v>30</v>
      </c>
      <c r="BK608" s="17" t="n">
        <v>0</v>
      </c>
      <c r="BL608" s="17" t="n">
        <v>0</v>
      </c>
      <c r="BM608" s="17" t="n">
        <v>0</v>
      </c>
      <c r="BN608" s="17" t="n">
        <v>9</v>
      </c>
      <c r="BO608" s="17" t="n">
        <v>0</v>
      </c>
      <c r="BP608" s="17" t="n">
        <v>0</v>
      </c>
      <c r="BQ608" s="17" t="n">
        <v>16</v>
      </c>
      <c r="BR608" s="17" t="n">
        <v>0</v>
      </c>
      <c r="BS608" s="17" t="n">
        <v>0</v>
      </c>
      <c r="BT608" s="18" t="n">
        <v>0</v>
      </c>
      <c r="BU608" s="17" t="inlineStr">
        <is>
          <t>Unclassified</t>
        </is>
      </c>
    </row>
    <row r="609" ht="20" customHeight="1">
      <c r="A609" s="15" t="inlineStr">
        <is>
          <t>64980051505</t>
        </is>
      </c>
      <c r="B609" s="15" t="inlineStr">
        <is>
          <t xml:space="preserve">OFLOXACIN 0.3% SOL (EYE) </t>
        </is>
      </c>
      <c r="C609" s="16" t="n">
        <v>5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8" t="n">
        <v>0</v>
      </c>
      <c r="R609" s="16" t="n">
        <v>2</v>
      </c>
      <c r="S609" s="17" t="n">
        <v>0</v>
      </c>
      <c r="T609" s="17" t="n">
        <v>0</v>
      </c>
      <c r="U609" s="17" t="n">
        <v>2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8" t="n">
        <v>0</v>
      </c>
      <c r="AC609" s="16" t="n">
        <v>-2</v>
      </c>
      <c r="AD609" s="17" t="n">
        <v>0</v>
      </c>
      <c r="AE609" s="17" t="n">
        <v>0</v>
      </c>
      <c r="AF609" s="17" t="n">
        <v>-2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8" t="n">
        <v>0</v>
      </c>
      <c r="AN609" s="16" t="n">
        <v>38</v>
      </c>
      <c r="AO609" s="17" t="n">
        <v>0</v>
      </c>
      <c r="AP609" s="17" t="n">
        <v>0</v>
      </c>
      <c r="AQ609" s="17" t="n">
        <v>38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8" t="n">
        <v>0</v>
      </c>
      <c r="AY609" s="16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8" t="n">
        <v>0</v>
      </c>
      <c r="BJ609" s="16" t="n">
        <v>38</v>
      </c>
      <c r="BK609" s="17" t="n">
        <v>0</v>
      </c>
      <c r="BL609" s="17" t="n">
        <v>0</v>
      </c>
      <c r="BM609" s="17" t="n">
        <v>38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8" t="n">
        <v>0</v>
      </c>
      <c r="BU609" s="17" t="inlineStr">
        <is>
          <t>Unclassified</t>
        </is>
      </c>
    </row>
    <row r="610" ht="20" customHeight="1">
      <c r="A610" s="15" t="inlineStr">
        <is>
          <t>43598016630</t>
        </is>
      </c>
      <c r="B610" s="15" t="inlineStr">
        <is>
          <t>OLANZAPINE 10MG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0</v>
      </c>
      <c r="J610" s="17" t="n">
        <v>30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8" t="n">
        <v>0</v>
      </c>
      <c r="R610" s="16" t="n">
        <v>1</v>
      </c>
      <c r="S610" s="17" t="n">
        <v>0</v>
      </c>
      <c r="T610" s="17" t="n">
        <v>0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8" t="n">
        <v>0</v>
      </c>
      <c r="AC610" s="16" t="n">
        <v>-1</v>
      </c>
      <c r="AD610" s="17" t="n">
        <v>0</v>
      </c>
      <c r="AE610" s="17" t="n">
        <v>0</v>
      </c>
      <c r="AF610" s="17" t="n">
        <v>-1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8" t="n">
        <v>0</v>
      </c>
      <c r="AN610" s="16" t="n">
        <v>2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8" t="n">
        <v>0</v>
      </c>
      <c r="AY610" s="16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7" t="n">
        <v>0</v>
      </c>
      <c r="BI610" s="18" t="n">
        <v>0</v>
      </c>
      <c r="BJ610" s="16" t="n">
        <v>2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7" t="n">
        <v>0</v>
      </c>
      <c r="BT610" s="18" t="n">
        <v>0</v>
      </c>
      <c r="BU610" s="17" t="inlineStr">
        <is>
          <t>Unclassified</t>
        </is>
      </c>
    </row>
    <row r="611" ht="20" customHeight="1">
      <c r="A611" s="15" t="inlineStr">
        <is>
          <t>55111016730</t>
        </is>
      </c>
      <c r="B611" s="15" t="inlineStr">
        <is>
          <t>OLANZAPINE 15MG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60</v>
      </c>
      <c r="H611" s="17" t="n">
        <v>0</v>
      </c>
      <c r="I611" s="17" t="n">
        <v>0</v>
      </c>
      <c r="J611" s="17" t="n">
        <v>60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0</v>
      </c>
      <c r="P611" s="17" t="n">
        <v>0</v>
      </c>
      <c r="Q611" s="18" t="n">
        <v>0</v>
      </c>
      <c r="R611" s="16" t="n">
        <v>2</v>
      </c>
      <c r="S611" s="17" t="n">
        <v>0</v>
      </c>
      <c r="T611" s="17" t="n">
        <v>0</v>
      </c>
      <c r="U611" s="17" t="n">
        <v>2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8" t="n">
        <v>0</v>
      </c>
      <c r="AC611" s="16" t="n">
        <v>-2</v>
      </c>
      <c r="AD611" s="17" t="n">
        <v>0</v>
      </c>
      <c r="AE611" s="17" t="n">
        <v>0</v>
      </c>
      <c r="AF611" s="17" t="n">
        <v>-2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8" t="n">
        <v>0</v>
      </c>
      <c r="AN611" s="16" t="n">
        <v>6</v>
      </c>
      <c r="AO611" s="17" t="n">
        <v>0</v>
      </c>
      <c r="AP611" s="17" t="n">
        <v>0</v>
      </c>
      <c r="AQ611" s="17" t="n">
        <v>6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8" t="n">
        <v>0</v>
      </c>
      <c r="AY611" s="16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8" t="n">
        <v>0</v>
      </c>
      <c r="BJ611" s="16" t="n">
        <v>6</v>
      </c>
      <c r="BK611" s="17" t="n">
        <v>0</v>
      </c>
      <c r="BL611" s="17" t="n">
        <v>0</v>
      </c>
      <c r="BM611" s="17" t="n">
        <v>6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8" t="n">
        <v>0</v>
      </c>
      <c r="BU611" s="17" t="inlineStr">
        <is>
          <t>Unclassified</t>
        </is>
      </c>
    </row>
    <row r="612" ht="20" customHeight="1">
      <c r="A612" s="15" t="inlineStr">
        <is>
          <t>55111016830</t>
        </is>
      </c>
      <c r="B612" s="15" t="inlineStr">
        <is>
          <t>OLANZAPINE 20MG TABLET</t>
        </is>
      </c>
      <c r="C612" s="16" t="n">
        <v>30</v>
      </c>
      <c r="D612" s="16" t="n">
        <v>0</v>
      </c>
      <c r="E612" s="16" t="n">
        <v>0</v>
      </c>
      <c r="F612" s="16" t="n">
        <v>0</v>
      </c>
      <c r="G612" s="16" t="n">
        <v>30</v>
      </c>
      <c r="H612" s="17" t="n">
        <v>0</v>
      </c>
      <c r="I612" s="17" t="n">
        <v>0</v>
      </c>
      <c r="J612" s="17" t="n">
        <v>30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8" t="n">
        <v>0</v>
      </c>
      <c r="R612" s="16" t="n">
        <v>1</v>
      </c>
      <c r="S612" s="17" t="n">
        <v>0</v>
      </c>
      <c r="T612" s="17" t="n">
        <v>0</v>
      </c>
      <c r="U612" s="17" t="n">
        <v>1</v>
      </c>
      <c r="V612" s="17" t="n">
        <v>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8" t="n">
        <v>0</v>
      </c>
      <c r="AC612" s="16" t="n">
        <v>-1</v>
      </c>
      <c r="AD612" s="17" t="n">
        <v>0</v>
      </c>
      <c r="AE612" s="17" t="n">
        <v>0</v>
      </c>
      <c r="AF612" s="17" t="n">
        <v>-1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8" t="n">
        <v>0</v>
      </c>
      <c r="AN612" s="16" t="n">
        <v>3</v>
      </c>
      <c r="AO612" s="17" t="n">
        <v>0</v>
      </c>
      <c r="AP612" s="17" t="n">
        <v>0</v>
      </c>
      <c r="AQ612" s="17" t="n">
        <v>3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8" t="n">
        <v>0</v>
      </c>
      <c r="AY612" s="16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7" t="n">
        <v>0</v>
      </c>
      <c r="BI612" s="18" t="n">
        <v>0</v>
      </c>
      <c r="BJ612" s="16" t="n">
        <v>3</v>
      </c>
      <c r="BK612" s="17" t="n">
        <v>0</v>
      </c>
      <c r="BL612" s="17" t="n">
        <v>0</v>
      </c>
      <c r="BM612" s="17" t="n">
        <v>3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7" t="n">
        <v>0</v>
      </c>
      <c r="BT612" s="18" t="n">
        <v>0</v>
      </c>
      <c r="BU612" s="17" t="inlineStr">
        <is>
          <t>Unclassified</t>
        </is>
      </c>
    </row>
    <row r="613" ht="20" customHeight="1">
      <c r="A613" s="15" t="inlineStr">
        <is>
          <t>68462043790</t>
        </is>
      </c>
      <c r="B613" s="15" t="inlineStr">
        <is>
          <t>OLMESARTAN 20MG TABLET</t>
        </is>
      </c>
      <c r="C613" s="16" t="n">
        <v>90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0</v>
      </c>
      <c r="J613" s="17" t="n">
        <v>90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8" t="n">
        <v>0</v>
      </c>
      <c r="R613" s="16" t="n">
        <v>1</v>
      </c>
      <c r="S613" s="17" t="n">
        <v>0</v>
      </c>
      <c r="T613" s="17" t="n">
        <v>0</v>
      </c>
      <c r="U613" s="17" t="n">
        <v>1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8" t="n">
        <v>0</v>
      </c>
      <c r="AC613" s="16" t="n">
        <v>-1</v>
      </c>
      <c r="AD613" s="17" t="n">
        <v>0</v>
      </c>
      <c r="AE613" s="17" t="n">
        <v>0</v>
      </c>
      <c r="AF613" s="17" t="n">
        <v>-1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8" t="n">
        <v>0</v>
      </c>
      <c r="AN613" s="16" t="n">
        <v>7</v>
      </c>
      <c r="AO613" s="17" t="n">
        <v>0</v>
      </c>
      <c r="AP613" s="17" t="n">
        <v>0</v>
      </c>
      <c r="AQ613" s="17" t="n">
        <v>7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8" t="n">
        <v>0</v>
      </c>
      <c r="AY613" s="16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8" t="n">
        <v>0</v>
      </c>
      <c r="BJ613" s="16" t="n">
        <v>7</v>
      </c>
      <c r="BK613" s="17" t="n">
        <v>0</v>
      </c>
      <c r="BL613" s="17" t="n">
        <v>0</v>
      </c>
      <c r="BM613" s="17" t="n">
        <v>7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8" t="n">
        <v>0</v>
      </c>
      <c r="BU613" s="17" t="inlineStr">
        <is>
          <t>Unclassified</t>
        </is>
      </c>
    </row>
    <row r="614" ht="20" customHeight="1">
      <c r="A614" s="15" t="inlineStr">
        <is>
          <t>68462043890</t>
        </is>
      </c>
      <c r="B614" s="15" t="inlineStr">
        <is>
          <t>OLMESARTAN 40MG TABLET</t>
        </is>
      </c>
      <c r="C614" s="16" t="n">
        <v>90</v>
      </c>
      <c r="D614" s="16" t="n">
        <v>4</v>
      </c>
      <c r="E614" s="16" t="n">
        <v>4</v>
      </c>
      <c r="F614" s="16" t="n">
        <v>11</v>
      </c>
      <c r="G614" s="16" t="n">
        <v>180</v>
      </c>
      <c r="H614" s="17" t="n">
        <v>0</v>
      </c>
      <c r="I614" s="17" t="n">
        <v>0</v>
      </c>
      <c r="J614" s="17" t="n">
        <v>180</v>
      </c>
      <c r="K614" s="17" t="n">
        <v>0</v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8" t="n">
        <v>0</v>
      </c>
      <c r="R614" s="16" t="n">
        <v>2</v>
      </c>
      <c r="S614" s="17" t="n">
        <v>0</v>
      </c>
      <c r="T614" s="17" t="n">
        <v>0</v>
      </c>
      <c r="U614" s="17" t="n">
        <v>2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8" t="n">
        <v>0</v>
      </c>
      <c r="AC614" s="16" t="n">
        <v>2</v>
      </c>
      <c r="AD614" s="17" t="n">
        <v>4</v>
      </c>
      <c r="AE614" s="17" t="n">
        <v>4</v>
      </c>
      <c r="AF614" s="17" t="n">
        <v>2</v>
      </c>
      <c r="AG614" s="17" t="n">
        <v>4</v>
      </c>
      <c r="AH614" s="17" t="n">
        <v>4</v>
      </c>
      <c r="AI614" s="17" t="n">
        <v>4</v>
      </c>
      <c r="AJ614" s="17" t="n">
        <v>4</v>
      </c>
      <c r="AK614" s="17" t="n">
        <v>4</v>
      </c>
      <c r="AL614" s="17" t="n">
        <v>4</v>
      </c>
      <c r="AM614" s="18" t="n">
        <v>4</v>
      </c>
      <c r="AN614" s="16" t="n">
        <v>74</v>
      </c>
      <c r="AO614" s="17" t="n">
        <v>0</v>
      </c>
      <c r="AP614" s="17" t="n">
        <v>0</v>
      </c>
      <c r="AQ614" s="17" t="n">
        <v>72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8" t="n">
        <v>0</v>
      </c>
      <c r="AY614" s="16" t="n">
        <v>22</v>
      </c>
      <c r="AZ614" s="17" t="n">
        <v>0</v>
      </c>
      <c r="BA614" s="17" t="n">
        <v>0</v>
      </c>
      <c r="BB614" s="17" t="n">
        <v>22</v>
      </c>
      <c r="BC614" s="17" t="n">
        <v>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7" t="n">
        <v>0</v>
      </c>
      <c r="BI614" s="18" t="n">
        <v>0</v>
      </c>
      <c r="BJ614" s="16" t="n">
        <v>52</v>
      </c>
      <c r="BK614" s="17" t="n">
        <v>0</v>
      </c>
      <c r="BL614" s="17" t="n">
        <v>0</v>
      </c>
      <c r="BM614" s="17" t="n">
        <v>50</v>
      </c>
      <c r="BN614" s="17" t="n">
        <v>0</v>
      </c>
      <c r="BO614" s="17" t="n">
        <v>0</v>
      </c>
      <c r="BP614" s="17" t="n">
        <v>0</v>
      </c>
      <c r="BQ614" s="17" t="n">
        <v>0</v>
      </c>
      <c r="BR614" s="17" t="n">
        <v>0</v>
      </c>
      <c r="BS614" s="17" t="n">
        <v>0</v>
      </c>
      <c r="BT614" s="18" t="n">
        <v>0</v>
      </c>
      <c r="BU614" s="17" t="inlineStr">
        <is>
          <t>Generic Drug</t>
        </is>
      </c>
    </row>
    <row r="615" ht="20" customHeight="1">
      <c r="A615" s="15" t="inlineStr">
        <is>
          <t>68462043630</t>
        </is>
      </c>
      <c r="B615" s="15" t="inlineStr">
        <is>
          <t>OLMESARTAN 5MG TABLET</t>
        </is>
      </c>
      <c r="C615" s="16" t="n">
        <v>30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8" t="n">
        <v>0</v>
      </c>
      <c r="R615" s="16" t="n">
        <v>3</v>
      </c>
      <c r="S615" s="17" t="n">
        <v>0</v>
      </c>
      <c r="T615" s="17" t="n">
        <v>0</v>
      </c>
      <c r="U615" s="17" t="n">
        <v>3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8" t="n">
        <v>0</v>
      </c>
      <c r="AC615" s="16" t="n">
        <v>-3</v>
      </c>
      <c r="AD615" s="17" t="n">
        <v>0</v>
      </c>
      <c r="AE615" s="17" t="n">
        <v>0</v>
      </c>
      <c r="AF615" s="17" t="n">
        <v>-3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8" t="n">
        <v>0</v>
      </c>
      <c r="AN615" s="16" t="n">
        <v>6</v>
      </c>
      <c r="AO615" s="17" t="n">
        <v>0</v>
      </c>
      <c r="AP615" s="17" t="n">
        <v>0</v>
      </c>
      <c r="AQ615" s="17" t="n">
        <v>6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8" t="n">
        <v>0</v>
      </c>
      <c r="AY615" s="16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8" t="n">
        <v>0</v>
      </c>
      <c r="BJ615" s="16" t="n">
        <v>6</v>
      </c>
      <c r="BK615" s="17" t="n">
        <v>0</v>
      </c>
      <c r="BL615" s="17" t="n">
        <v>0</v>
      </c>
      <c r="BM615" s="17" t="n">
        <v>6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8" t="n">
        <v>0</v>
      </c>
      <c r="BU615" s="17" t="inlineStr">
        <is>
          <t>Unclassified</t>
        </is>
      </c>
    </row>
    <row r="616" ht="20" customHeight="1">
      <c r="A616" s="15" t="inlineStr">
        <is>
          <t>49884078909</t>
        </is>
      </c>
      <c r="B616" s="15" t="inlineStr">
        <is>
          <t>OLMESARTAN-AMLODIPINE-HCTZ 40-10-12.5 MG ORAL TABLET</t>
        </is>
      </c>
      <c r="C616" s="16" t="n">
        <v>90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30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8" t="n">
        <v>0</v>
      </c>
      <c r="R616" s="16" t="n">
        <v>0.333</v>
      </c>
      <c r="S616" s="17" t="n">
        <v>0</v>
      </c>
      <c r="T616" s="17" t="n">
        <v>0</v>
      </c>
      <c r="U616" s="17" t="n">
        <v>0</v>
      </c>
      <c r="V616" s="17" t="n">
        <v>0.333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8" t="n">
        <v>0</v>
      </c>
      <c r="AC616" s="16" t="n">
        <v>-0.333</v>
      </c>
      <c r="AD616" s="17" t="n">
        <v>0</v>
      </c>
      <c r="AE616" s="17" t="n">
        <v>0</v>
      </c>
      <c r="AF616" s="17" t="n">
        <v>0</v>
      </c>
      <c r="AG616" s="17" t="n">
        <v>-0.333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8" t="n">
        <v>0</v>
      </c>
      <c r="AN616" s="16" t="n">
        <v>80</v>
      </c>
      <c r="AO616" s="17" t="n">
        <v>0</v>
      </c>
      <c r="AP616" s="17" t="n">
        <v>0</v>
      </c>
      <c r="AQ616" s="17" t="n">
        <v>0</v>
      </c>
      <c r="AR616" s="17" t="n">
        <v>80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8" t="n">
        <v>0</v>
      </c>
      <c r="AY616" s="16" t="n">
        <v>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0</v>
      </c>
      <c r="BG616" s="17" t="n">
        <v>0</v>
      </c>
      <c r="BH616" s="17" t="n">
        <v>0</v>
      </c>
      <c r="BI616" s="18" t="n">
        <v>0</v>
      </c>
      <c r="BJ616" s="16" t="n">
        <v>80</v>
      </c>
      <c r="BK616" s="17" t="n">
        <v>0</v>
      </c>
      <c r="BL616" s="17" t="n">
        <v>0</v>
      </c>
      <c r="BM616" s="17" t="n">
        <v>0</v>
      </c>
      <c r="BN616" s="17" t="n">
        <v>80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7" t="n">
        <v>0</v>
      </c>
      <c r="BT616" s="18" t="n">
        <v>0</v>
      </c>
      <c r="BU616" s="17" t="inlineStr">
        <is>
          <t>Unclassified</t>
        </is>
      </c>
    </row>
    <row r="617" ht="20" customHeight="1">
      <c r="A617" s="15" t="inlineStr">
        <is>
          <t>49884079009</t>
        </is>
      </c>
      <c r="B617" s="15" t="inlineStr">
        <is>
          <t>OLMESARTAN-AMLODIPINE-HCTZ 40-10-25MG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0</v>
      </c>
      <c r="J617" s="17" t="n">
        <v>0</v>
      </c>
      <c r="K617" s="17" t="n">
        <v>90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8" t="n">
        <v>0</v>
      </c>
      <c r="R617" s="16" t="n">
        <v>1</v>
      </c>
      <c r="S617" s="17" t="n">
        <v>0</v>
      </c>
      <c r="T617" s="17" t="n">
        <v>0</v>
      </c>
      <c r="U617" s="17" t="n">
        <v>0</v>
      </c>
      <c r="V617" s="17" t="n">
        <v>1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8" t="n">
        <v>0</v>
      </c>
      <c r="AC617" s="16" t="n">
        <v>-1</v>
      </c>
      <c r="AD617" s="17" t="n">
        <v>0</v>
      </c>
      <c r="AE617" s="17" t="n">
        <v>0</v>
      </c>
      <c r="AF617" s="17" t="n">
        <v>0</v>
      </c>
      <c r="AG617" s="17" t="n">
        <v>-1</v>
      </c>
      <c r="AH617" s="17" t="n">
        <v>0</v>
      </c>
      <c r="AI617" s="17" t="n">
        <v>0</v>
      </c>
      <c r="AJ617" s="17" t="n">
        <v>0</v>
      </c>
      <c r="AK617" s="17" t="n">
        <v>0</v>
      </c>
      <c r="AL617" s="17" t="n">
        <v>0</v>
      </c>
      <c r="AM617" s="18" t="n">
        <v>0</v>
      </c>
      <c r="AN617" s="16" t="n">
        <v>180</v>
      </c>
      <c r="AO617" s="17" t="n">
        <v>0</v>
      </c>
      <c r="AP617" s="17" t="n">
        <v>0</v>
      </c>
      <c r="AQ617" s="17" t="n">
        <v>0</v>
      </c>
      <c r="AR617" s="17" t="n">
        <v>180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8" t="n">
        <v>0</v>
      </c>
      <c r="AY617" s="16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8" t="n">
        <v>0</v>
      </c>
      <c r="BJ617" s="16" t="n">
        <v>180</v>
      </c>
      <c r="BK617" s="17" t="n">
        <v>0</v>
      </c>
      <c r="BL617" s="17" t="n">
        <v>0</v>
      </c>
      <c r="BM617" s="17" t="n">
        <v>0</v>
      </c>
      <c r="BN617" s="17" t="n">
        <v>180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8" t="n">
        <v>0</v>
      </c>
      <c r="BU617" s="17" t="inlineStr">
        <is>
          <t>Unclassified</t>
        </is>
      </c>
    </row>
    <row r="618" ht="20" customHeight="1">
      <c r="A618" s="15" t="inlineStr">
        <is>
          <t>49884078711</t>
        </is>
      </c>
      <c r="B618" s="15" t="inlineStr">
        <is>
          <t>OLMESARTAN-AMLODIPINE-HCTZ 40-5-12.5 MG ORAL TABLET</t>
        </is>
      </c>
      <c r="C618" s="16" t="n">
        <v>30</v>
      </c>
      <c r="D618" s="16" t="n">
        <v>0</v>
      </c>
      <c r="E618" s="16" t="n">
        <v>0</v>
      </c>
      <c r="F618" s="16" t="n">
        <v>0</v>
      </c>
      <c r="G618" s="16" t="n">
        <v>90</v>
      </c>
      <c r="H618" s="17" t="n">
        <v>0</v>
      </c>
      <c r="I618" s="17" t="n">
        <v>0</v>
      </c>
      <c r="J618" s="17" t="n">
        <v>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90</v>
      </c>
      <c r="P618" s="17" t="n">
        <v>0</v>
      </c>
      <c r="Q618" s="18" t="n">
        <v>0</v>
      </c>
      <c r="R618" s="16" t="n">
        <v>3</v>
      </c>
      <c r="S618" s="17" t="n">
        <v>0</v>
      </c>
      <c r="T618" s="17" t="n">
        <v>0</v>
      </c>
      <c r="U618" s="17" t="n">
        <v>0</v>
      </c>
      <c r="V618" s="17" t="n">
        <v>0</v>
      </c>
      <c r="W618" s="17" t="n">
        <v>0</v>
      </c>
      <c r="X618" s="17" t="n">
        <v>0</v>
      </c>
      <c r="Y618" s="17" t="n">
        <v>0</v>
      </c>
      <c r="Z618" s="17" t="n">
        <v>3</v>
      </c>
      <c r="AA618" s="17" t="n">
        <v>0</v>
      </c>
      <c r="AB618" s="18" t="n">
        <v>0</v>
      </c>
      <c r="AC618" s="16" t="n">
        <v>-3</v>
      </c>
      <c r="AD618" s="17" t="n">
        <v>0</v>
      </c>
      <c r="AE618" s="17" t="n">
        <v>0</v>
      </c>
      <c r="AF618" s="17" t="n">
        <v>0</v>
      </c>
      <c r="AG618" s="17" t="n">
        <v>0</v>
      </c>
      <c r="AH618" s="17" t="n">
        <v>0</v>
      </c>
      <c r="AI618" s="17" t="n">
        <v>0</v>
      </c>
      <c r="AJ618" s="17" t="n">
        <v>0</v>
      </c>
      <c r="AK618" s="17" t="n">
        <v>-3</v>
      </c>
      <c r="AL618" s="17" t="n">
        <v>0</v>
      </c>
      <c r="AM618" s="18" t="n">
        <v>0</v>
      </c>
      <c r="AN618" s="16" t="n">
        <v>181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181</v>
      </c>
      <c r="AW618" s="17" t="n">
        <v>0</v>
      </c>
      <c r="AX618" s="18" t="n">
        <v>0</v>
      </c>
      <c r="AY618" s="16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7" t="n">
        <v>0</v>
      </c>
      <c r="BG618" s="17" t="n">
        <v>0</v>
      </c>
      <c r="BH618" s="17" t="n">
        <v>0</v>
      </c>
      <c r="BI618" s="18" t="n">
        <v>0</v>
      </c>
      <c r="BJ618" s="16" t="n">
        <v>181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181</v>
      </c>
      <c r="BS618" s="17" t="n">
        <v>0</v>
      </c>
      <c r="BT618" s="18" t="n">
        <v>0</v>
      </c>
      <c r="BU618" s="17" t="inlineStr">
        <is>
          <t>Unclassified</t>
        </is>
      </c>
    </row>
    <row r="619" ht="20" customHeight="1">
      <c r="A619" s="15" t="inlineStr">
        <is>
          <t>65862078190</t>
        </is>
      </c>
      <c r="B619" s="15" t="inlineStr">
        <is>
          <t>OLMESARTAN-HCTZ 40-25 MG TABLET</t>
        </is>
      </c>
      <c r="C619" s="16" t="n">
        <v>90</v>
      </c>
      <c r="D619" s="16" t="n">
        <v>0</v>
      </c>
      <c r="E619" s="16" t="n">
        <v>0</v>
      </c>
      <c r="F619" s="16" t="n">
        <v>0</v>
      </c>
      <c r="G619" s="16" t="n">
        <v>90</v>
      </c>
      <c r="H619" s="17" t="n">
        <v>0</v>
      </c>
      <c r="I619" s="17" t="n">
        <v>0</v>
      </c>
      <c r="J619" s="17" t="n">
        <v>90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8" t="n">
        <v>0</v>
      </c>
      <c r="R619" s="16" t="n">
        <v>1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8" t="n">
        <v>0</v>
      </c>
      <c r="AC619" s="16" t="n">
        <v>-1</v>
      </c>
      <c r="AD619" s="17" t="n">
        <v>0</v>
      </c>
      <c r="AE619" s="17" t="n">
        <v>0</v>
      </c>
      <c r="AF619" s="17" t="n">
        <v>-1</v>
      </c>
      <c r="AG619" s="17" t="n">
        <v>0</v>
      </c>
      <c r="AH619" s="17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8" t="n">
        <v>0</v>
      </c>
      <c r="AN619" s="16" t="n">
        <v>31</v>
      </c>
      <c r="AO619" s="17" t="n">
        <v>0</v>
      </c>
      <c r="AP619" s="17" t="n">
        <v>0</v>
      </c>
      <c r="AQ619" s="17" t="n">
        <v>31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8" t="n">
        <v>0</v>
      </c>
      <c r="AY619" s="16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8" t="n">
        <v>0</v>
      </c>
      <c r="BJ619" s="16" t="n">
        <v>31</v>
      </c>
      <c r="BK619" s="17" t="n">
        <v>0</v>
      </c>
      <c r="BL619" s="17" t="n">
        <v>0</v>
      </c>
      <c r="BM619" s="17" t="n">
        <v>31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8" t="n">
        <v>0</v>
      </c>
      <c r="BU619" s="17" t="inlineStr">
        <is>
          <t>Unclassified</t>
        </is>
      </c>
    </row>
    <row r="620" ht="20" customHeight="1">
      <c r="A620" s="15" t="inlineStr">
        <is>
          <t>70512052005</t>
        </is>
      </c>
      <c r="B620" s="15" t="inlineStr">
        <is>
          <t>OLOPATADINE HCL 0.1 % OPHTHALMIC SOLUTION</t>
        </is>
      </c>
      <c r="C620" s="16" t="n">
        <v>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5</v>
      </c>
      <c r="K620" s="17" t="n">
        <v>0</v>
      </c>
      <c r="L620" s="17" t="n">
        <v>0</v>
      </c>
      <c r="M620" s="17" t="n">
        <v>0</v>
      </c>
      <c r="N620" s="17" t="n">
        <v>30</v>
      </c>
      <c r="O620" s="17" t="n">
        <v>0</v>
      </c>
      <c r="P620" s="17" t="n">
        <v>0</v>
      </c>
      <c r="Q620" s="18" t="n">
        <v>0</v>
      </c>
      <c r="R620" s="16" t="n">
        <v>0</v>
      </c>
      <c r="S620" s="17" t="n">
        <v>0</v>
      </c>
      <c r="T620" s="17" t="n">
        <v>0</v>
      </c>
      <c r="U620" s="17" t="n">
        <v>1</v>
      </c>
      <c r="V620" s="17" t="n">
        <v>0</v>
      </c>
      <c r="W620" s="17" t="n">
        <v>0</v>
      </c>
      <c r="X620" s="17" t="n">
        <v>0</v>
      </c>
      <c r="Y620" s="17" t="n">
        <v>6</v>
      </c>
      <c r="Z620" s="17" t="n">
        <v>0</v>
      </c>
      <c r="AA620" s="17" t="n">
        <v>0</v>
      </c>
      <c r="AB620" s="18" t="n">
        <v>0</v>
      </c>
      <c r="AC620" s="16" t="n">
        <v>0</v>
      </c>
      <c r="AD620" s="17" t="n">
        <v>0</v>
      </c>
      <c r="AE620" s="17" t="n">
        <v>0</v>
      </c>
      <c r="AF620" s="17" t="n">
        <v>-1</v>
      </c>
      <c r="AG620" s="17" t="n">
        <v>0</v>
      </c>
      <c r="AH620" s="17" t="n">
        <v>0</v>
      </c>
      <c r="AI620" s="17" t="n">
        <v>0</v>
      </c>
      <c r="AJ620" s="17" t="n">
        <v>-6</v>
      </c>
      <c r="AK620" s="17" t="n">
        <v>0</v>
      </c>
      <c r="AL620" s="17" t="n">
        <v>0</v>
      </c>
      <c r="AM620" s="18" t="n">
        <v>0</v>
      </c>
      <c r="AN620" s="16" t="n">
        <v>0</v>
      </c>
      <c r="AO620" s="17" t="n">
        <v>0</v>
      </c>
      <c r="AP620" s="17" t="n">
        <v>0</v>
      </c>
      <c r="AQ620" s="17" t="n">
        <v>7</v>
      </c>
      <c r="AR620" s="17" t="n">
        <v>0</v>
      </c>
      <c r="AS620" s="17" t="n">
        <v>0</v>
      </c>
      <c r="AT620" s="17" t="n">
        <v>0</v>
      </c>
      <c r="AU620" s="17" t="n">
        <v>91</v>
      </c>
      <c r="AV620" s="17" t="n">
        <v>0</v>
      </c>
      <c r="AW620" s="17" t="n">
        <v>0</v>
      </c>
      <c r="AX620" s="18" t="n">
        <v>0</v>
      </c>
      <c r="AY620" s="16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7" t="n">
        <v>0</v>
      </c>
      <c r="BG620" s="17" t="n">
        <v>0</v>
      </c>
      <c r="BH620" s="17" t="n">
        <v>0</v>
      </c>
      <c r="BI620" s="18" t="n">
        <v>0</v>
      </c>
      <c r="BJ620" s="16" t="n">
        <v>0</v>
      </c>
      <c r="BK620" s="17" t="n">
        <v>0</v>
      </c>
      <c r="BL620" s="17" t="n">
        <v>0</v>
      </c>
      <c r="BM620" s="17" t="n">
        <v>7</v>
      </c>
      <c r="BN620" s="17" t="n">
        <v>0</v>
      </c>
      <c r="BO620" s="17" t="n">
        <v>0</v>
      </c>
      <c r="BP620" s="17" t="n">
        <v>0</v>
      </c>
      <c r="BQ620" s="17" t="n">
        <v>91</v>
      </c>
      <c r="BR620" s="17" t="n">
        <v>0</v>
      </c>
      <c r="BS620" s="17" t="n">
        <v>0</v>
      </c>
      <c r="BT620" s="18" t="n">
        <v>0</v>
      </c>
      <c r="BU620" s="17" t="inlineStr">
        <is>
          <t>Unclassified</t>
        </is>
      </c>
    </row>
    <row r="621" ht="20" customHeight="1">
      <c r="A621" s="15" t="inlineStr">
        <is>
          <t>00536144540</t>
        </is>
      </c>
      <c r="B621" s="15" t="inlineStr">
        <is>
          <t>OLOPATADINE HCL 0.1 % OPHTHALMIC SOLUTION</t>
        </is>
      </c>
      <c r="C621" s="16" t="n">
        <v>5</v>
      </c>
      <c r="D621" s="16" t="n">
        <v>0</v>
      </c>
      <c r="E621" s="16" t="n">
        <v>0</v>
      </c>
      <c r="F621" s="16" t="n">
        <v>0</v>
      </c>
      <c r="G621" s="16" t="n">
        <v>0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5</v>
      </c>
      <c r="O621" s="17" t="n">
        <v>0</v>
      </c>
      <c r="P621" s="17" t="n">
        <v>0</v>
      </c>
      <c r="Q621" s="18" t="n">
        <v>0</v>
      </c>
      <c r="R621" s="16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0</v>
      </c>
      <c r="X621" s="17" t="n">
        <v>0</v>
      </c>
      <c r="Y621" s="17" t="n">
        <v>1</v>
      </c>
      <c r="Z621" s="17" t="n">
        <v>0</v>
      </c>
      <c r="AA621" s="17" t="n">
        <v>0</v>
      </c>
      <c r="AB621" s="18" t="n">
        <v>0</v>
      </c>
      <c r="AC621" s="16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-1</v>
      </c>
      <c r="AK621" s="17" t="n">
        <v>0</v>
      </c>
      <c r="AL621" s="17" t="n">
        <v>0</v>
      </c>
      <c r="AM621" s="18" t="n">
        <v>0</v>
      </c>
      <c r="AN621" s="16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15</v>
      </c>
      <c r="AV621" s="17" t="n">
        <v>0</v>
      </c>
      <c r="AW621" s="17" t="n">
        <v>0</v>
      </c>
      <c r="AX621" s="18" t="n">
        <v>0</v>
      </c>
      <c r="AY621" s="16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8" t="n">
        <v>0</v>
      </c>
      <c r="BJ621" s="16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15</v>
      </c>
      <c r="BR621" s="17" t="n">
        <v>0</v>
      </c>
      <c r="BS621" s="17" t="n">
        <v>0</v>
      </c>
      <c r="BT621" s="18" t="n">
        <v>0</v>
      </c>
      <c r="BU621" s="17" t="inlineStr">
        <is>
          <t>Unclassified</t>
        </is>
      </c>
    </row>
    <row r="622" ht="20" customHeight="1">
      <c r="A622" s="15" t="inlineStr">
        <is>
          <t>00536130723</t>
        </is>
      </c>
      <c r="B622" s="15" t="inlineStr">
        <is>
          <t>OLOPATADINE HCL 0.2 % OPHTHALMIC SOLUTION</t>
        </is>
      </c>
      <c r="C622" s="16" t="n">
        <v>2.5</v>
      </c>
      <c r="D622" s="16" t="n">
        <v>0</v>
      </c>
      <c r="E622" s="16" t="n">
        <v>0</v>
      </c>
      <c r="F622" s="16" t="n">
        <v>0</v>
      </c>
      <c r="G622" s="16" t="n">
        <v>0</v>
      </c>
      <c r="H622" s="17" t="n">
        <v>0</v>
      </c>
      <c r="I622" s="17" t="n">
        <v>0</v>
      </c>
      <c r="J622" s="17" t="n">
        <v>0</v>
      </c>
      <c r="K622" s="17" t="n">
        <v>2.5</v>
      </c>
      <c r="L622" s="17" t="n">
        <v>0</v>
      </c>
      <c r="M622" s="17" t="n">
        <v>0</v>
      </c>
      <c r="N622" s="17" t="n">
        <v>5</v>
      </c>
      <c r="O622" s="17" t="n">
        <v>0</v>
      </c>
      <c r="P622" s="17" t="n">
        <v>0</v>
      </c>
      <c r="Q622" s="18" t="n">
        <v>0</v>
      </c>
      <c r="R622" s="16" t="n">
        <v>0</v>
      </c>
      <c r="S622" s="17" t="n">
        <v>0</v>
      </c>
      <c r="T622" s="17" t="n">
        <v>0</v>
      </c>
      <c r="U622" s="17" t="n">
        <v>0</v>
      </c>
      <c r="V622" s="17" t="n">
        <v>1</v>
      </c>
      <c r="W622" s="17" t="n">
        <v>0</v>
      </c>
      <c r="X622" s="17" t="n">
        <v>0</v>
      </c>
      <c r="Y622" s="17" t="n">
        <v>2</v>
      </c>
      <c r="Z622" s="17" t="n">
        <v>0</v>
      </c>
      <c r="AA622" s="17" t="n">
        <v>0</v>
      </c>
      <c r="AB622" s="18" t="n">
        <v>0</v>
      </c>
      <c r="AC622" s="16" t="n">
        <v>0</v>
      </c>
      <c r="AD622" s="17" t="n">
        <v>0</v>
      </c>
      <c r="AE622" s="17" t="n">
        <v>0</v>
      </c>
      <c r="AF622" s="17" t="n">
        <v>0</v>
      </c>
      <c r="AG622" s="17" t="n">
        <v>-1</v>
      </c>
      <c r="AH622" s="17" t="n">
        <v>0</v>
      </c>
      <c r="AI622" s="17" t="n">
        <v>0</v>
      </c>
      <c r="AJ622" s="17" t="n">
        <v>-2</v>
      </c>
      <c r="AK622" s="17" t="n">
        <v>0</v>
      </c>
      <c r="AL622" s="17" t="n">
        <v>0</v>
      </c>
      <c r="AM622" s="18" t="n">
        <v>0</v>
      </c>
      <c r="AN622" s="16" t="n">
        <v>0</v>
      </c>
      <c r="AO622" s="17" t="n">
        <v>0</v>
      </c>
      <c r="AP622" s="17" t="n">
        <v>0</v>
      </c>
      <c r="AQ622" s="17" t="n">
        <v>0</v>
      </c>
      <c r="AR622" s="17" t="n">
        <v>0</v>
      </c>
      <c r="AS622" s="17" t="n">
        <v>0</v>
      </c>
      <c r="AT622" s="17" t="n">
        <v>0</v>
      </c>
      <c r="AU622" s="17" t="n">
        <v>34</v>
      </c>
      <c r="AV622" s="17" t="n">
        <v>0</v>
      </c>
      <c r="AW622" s="17" t="n">
        <v>0</v>
      </c>
      <c r="AX622" s="18" t="n">
        <v>0</v>
      </c>
      <c r="AY622" s="16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7" t="n">
        <v>0</v>
      </c>
      <c r="BG622" s="17" t="n">
        <v>0</v>
      </c>
      <c r="BH622" s="17" t="n">
        <v>0</v>
      </c>
      <c r="BI622" s="18" t="n">
        <v>0</v>
      </c>
      <c r="BJ622" s="16" t="n">
        <v>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34</v>
      </c>
      <c r="BR622" s="17" t="n">
        <v>0</v>
      </c>
      <c r="BS622" s="17" t="n">
        <v>0</v>
      </c>
      <c r="BT622" s="18" t="n">
        <v>0</v>
      </c>
      <c r="BU622" s="17" t="inlineStr">
        <is>
          <t>Unclassified</t>
        </is>
      </c>
    </row>
    <row r="623" ht="20" customHeight="1">
      <c r="A623" s="15" t="inlineStr">
        <is>
          <t>65162003416</t>
        </is>
      </c>
      <c r="B623" s="15" t="inlineStr">
        <is>
          <t>OMEGA-3-ACID ETHYL ESTERS 1 GM ORAL CAPSULE</t>
        </is>
      </c>
      <c r="C623" s="16" t="n">
        <v>120</v>
      </c>
      <c r="D623" s="16" t="n">
        <v>0</v>
      </c>
      <c r="E623" s="16" t="n">
        <v>0</v>
      </c>
      <c r="F623" s="16" t="n">
        <v>0</v>
      </c>
      <c r="G623" s="16" t="n">
        <v>1110</v>
      </c>
      <c r="H623" s="17" t="n">
        <v>0</v>
      </c>
      <c r="I623" s="17" t="n">
        <v>0</v>
      </c>
      <c r="J623" s="17" t="n">
        <v>750</v>
      </c>
      <c r="K623" s="17" t="n">
        <v>180</v>
      </c>
      <c r="L623" s="17" t="n">
        <v>0</v>
      </c>
      <c r="M623" s="17" t="n">
        <v>0</v>
      </c>
      <c r="N623" s="17" t="n">
        <v>120</v>
      </c>
      <c r="O623" s="17" t="n">
        <v>60</v>
      </c>
      <c r="P623" s="17" t="n">
        <v>0</v>
      </c>
      <c r="Q623" s="18" t="n">
        <v>0</v>
      </c>
      <c r="R623" s="16" t="n">
        <v>9.25</v>
      </c>
      <c r="S623" s="17" t="n">
        <v>0</v>
      </c>
      <c r="T623" s="17" t="n">
        <v>0</v>
      </c>
      <c r="U623" s="17" t="n">
        <v>6.25</v>
      </c>
      <c r="V623" s="17" t="n">
        <v>1.5</v>
      </c>
      <c r="W623" s="17" t="n">
        <v>0</v>
      </c>
      <c r="X623" s="17" t="n">
        <v>0</v>
      </c>
      <c r="Y623" s="17" t="n">
        <v>1</v>
      </c>
      <c r="Z623" s="17" t="n">
        <v>0.5</v>
      </c>
      <c r="AA623" s="17" t="n">
        <v>0</v>
      </c>
      <c r="AB623" s="18" t="n">
        <v>0</v>
      </c>
      <c r="AC623" s="16" t="n">
        <v>-9.25</v>
      </c>
      <c r="AD623" s="17" t="n">
        <v>0</v>
      </c>
      <c r="AE623" s="17" t="n">
        <v>0</v>
      </c>
      <c r="AF623" s="17" t="n">
        <v>-6.25</v>
      </c>
      <c r="AG623" s="17" t="n">
        <v>-1.5</v>
      </c>
      <c r="AH623" s="17" t="n">
        <v>0</v>
      </c>
      <c r="AI623" s="17" t="n">
        <v>0</v>
      </c>
      <c r="AJ623" s="17" t="n">
        <v>-1</v>
      </c>
      <c r="AK623" s="17" t="n">
        <v>-0.5</v>
      </c>
      <c r="AL623" s="17" t="n">
        <v>0</v>
      </c>
      <c r="AM623" s="18" t="n">
        <v>0</v>
      </c>
      <c r="AN623" s="16" t="n">
        <v>219</v>
      </c>
      <c r="AO623" s="17" t="n">
        <v>0</v>
      </c>
      <c r="AP623" s="17" t="n">
        <v>0</v>
      </c>
      <c r="AQ623" s="17" t="n">
        <v>106</v>
      </c>
      <c r="AR623" s="17" t="n">
        <v>25</v>
      </c>
      <c r="AS623" s="17" t="n">
        <v>0</v>
      </c>
      <c r="AT623" s="17" t="n">
        <v>0</v>
      </c>
      <c r="AU623" s="17" t="n">
        <v>27</v>
      </c>
      <c r="AV623" s="17" t="n">
        <v>10</v>
      </c>
      <c r="AW623" s="17" t="n">
        <v>0</v>
      </c>
      <c r="AX623" s="18" t="n">
        <v>0</v>
      </c>
      <c r="AY623" s="16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8" t="n">
        <v>0</v>
      </c>
      <c r="BJ623" s="16" t="n">
        <v>219</v>
      </c>
      <c r="BK623" s="17" t="n">
        <v>0</v>
      </c>
      <c r="BL623" s="17" t="n">
        <v>0</v>
      </c>
      <c r="BM623" s="17" t="n">
        <v>106</v>
      </c>
      <c r="BN623" s="17" t="n">
        <v>25</v>
      </c>
      <c r="BO623" s="17" t="n">
        <v>0</v>
      </c>
      <c r="BP623" s="17" t="n">
        <v>0</v>
      </c>
      <c r="BQ623" s="17" t="n">
        <v>27</v>
      </c>
      <c r="BR623" s="17" t="n">
        <v>10</v>
      </c>
      <c r="BS623" s="17" t="n">
        <v>0</v>
      </c>
      <c r="BT623" s="18" t="n">
        <v>0</v>
      </c>
      <c r="BU623" s="17" t="inlineStr">
        <is>
          <t>Unclassified</t>
        </is>
      </c>
    </row>
    <row r="624" ht="20" customHeight="1">
      <c r="A624" s="15" t="inlineStr">
        <is>
          <t>68462039610</t>
        </is>
      </c>
      <c r="B624" s="15" t="inlineStr">
        <is>
          <t>OMEPRAZOLE 20MG CAPSULE DR</t>
        </is>
      </c>
      <c r="C624" s="16" t="n">
        <v>1000</v>
      </c>
      <c r="D624" s="16" t="n">
        <v>2</v>
      </c>
      <c r="E624" s="16" t="n">
        <v>2</v>
      </c>
      <c r="F624" s="16" t="n">
        <v>19</v>
      </c>
      <c r="G624" s="16" t="n">
        <v>120</v>
      </c>
      <c r="H624" s="17" t="n">
        <v>0</v>
      </c>
      <c r="I624" s="17" t="n">
        <v>0</v>
      </c>
      <c r="J624" s="17" t="n">
        <v>120</v>
      </c>
      <c r="K624" s="17" t="n">
        <v>0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8" t="n">
        <v>0</v>
      </c>
      <c r="R624" s="16" t="n">
        <v>0.12</v>
      </c>
      <c r="S624" s="17" t="n">
        <v>0</v>
      </c>
      <c r="T624" s="17" t="n">
        <v>0</v>
      </c>
      <c r="U624" s="17" t="n">
        <v>0.12</v>
      </c>
      <c r="V624" s="17" t="n">
        <v>0</v>
      </c>
      <c r="W624" s="17" t="n">
        <v>0</v>
      </c>
      <c r="X624" s="17" t="n">
        <v>0</v>
      </c>
      <c r="Y624" s="17" t="n">
        <v>0</v>
      </c>
      <c r="Z624" s="17" t="n">
        <v>0</v>
      </c>
      <c r="AA624" s="17" t="n">
        <v>0</v>
      </c>
      <c r="AB624" s="18" t="n">
        <v>0</v>
      </c>
      <c r="AC624" s="16" t="n">
        <v>1.88</v>
      </c>
      <c r="AD624" s="17" t="n">
        <v>2</v>
      </c>
      <c r="AE624" s="17" t="n">
        <v>2</v>
      </c>
      <c r="AF624" s="17" t="n">
        <v>1.88</v>
      </c>
      <c r="AG624" s="17" t="n">
        <v>2</v>
      </c>
      <c r="AH624" s="17" t="n">
        <v>2</v>
      </c>
      <c r="AI624" s="17" t="n">
        <v>2</v>
      </c>
      <c r="AJ624" s="17" t="n">
        <v>2</v>
      </c>
      <c r="AK624" s="17" t="n">
        <v>2</v>
      </c>
      <c r="AL624" s="17" t="n">
        <v>2</v>
      </c>
      <c r="AM624" s="18" t="n">
        <v>2</v>
      </c>
      <c r="AN624" s="16" t="n">
        <v>3</v>
      </c>
      <c r="AO624" s="17" t="n">
        <v>0</v>
      </c>
      <c r="AP624" s="17" t="n">
        <v>0</v>
      </c>
      <c r="AQ624" s="17" t="n">
        <v>1</v>
      </c>
      <c r="AR624" s="17" t="n">
        <v>0</v>
      </c>
      <c r="AS624" s="17" t="n">
        <v>0</v>
      </c>
      <c r="AT624" s="17" t="n">
        <v>0</v>
      </c>
      <c r="AU624" s="17" t="n">
        <v>0</v>
      </c>
      <c r="AV624" s="17" t="n">
        <v>0</v>
      </c>
      <c r="AW624" s="17" t="n">
        <v>0</v>
      </c>
      <c r="AX624" s="18" t="n">
        <v>0</v>
      </c>
      <c r="AY624" s="16" t="n">
        <v>2</v>
      </c>
      <c r="AZ624" s="17" t="n">
        <v>0</v>
      </c>
      <c r="BA624" s="17" t="n">
        <v>0</v>
      </c>
      <c r="BB624" s="17" t="n">
        <v>2</v>
      </c>
      <c r="BC624" s="17" t="n">
        <v>0</v>
      </c>
      <c r="BD624" s="17" t="n">
        <v>0</v>
      </c>
      <c r="BE624" s="17" t="n">
        <v>0</v>
      </c>
      <c r="BF624" s="17" t="n">
        <v>0</v>
      </c>
      <c r="BG624" s="17" t="n">
        <v>0</v>
      </c>
      <c r="BH624" s="17" t="n">
        <v>0</v>
      </c>
      <c r="BI624" s="18" t="n">
        <v>0</v>
      </c>
      <c r="BJ624" s="16" t="n">
        <v>1</v>
      </c>
      <c r="BK624" s="17" t="n">
        <v>0</v>
      </c>
      <c r="BL624" s="17" t="n">
        <v>0</v>
      </c>
      <c r="BM624" s="17" t="n">
        <v>-1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7" t="n">
        <v>0</v>
      </c>
      <c r="BT624" s="18" t="n">
        <v>0</v>
      </c>
      <c r="BU624" s="17" t="inlineStr">
        <is>
          <t>Generic Drug</t>
        </is>
      </c>
    </row>
    <row r="625" ht="20" customHeight="1">
      <c r="A625" s="15" t="inlineStr">
        <is>
          <t>00781286810</t>
        </is>
      </c>
      <c r="B625" s="15" t="inlineStr">
        <is>
          <t>OMEPRAZOLE 20MG CAPSULE DR</t>
        </is>
      </c>
      <c r="C625" s="16" t="n">
        <v>1000</v>
      </c>
      <c r="D625" s="16" t="n">
        <v>0</v>
      </c>
      <c r="E625" s="16" t="n">
        <v>0</v>
      </c>
      <c r="F625" s="16" t="n">
        <v>0</v>
      </c>
      <c r="G625" s="16" t="n">
        <v>1320</v>
      </c>
      <c r="H625" s="17" t="n">
        <v>0</v>
      </c>
      <c r="I625" s="17" t="n">
        <v>0</v>
      </c>
      <c r="J625" s="17" t="n">
        <v>1140</v>
      </c>
      <c r="K625" s="17" t="n">
        <v>120</v>
      </c>
      <c r="L625" s="17" t="n">
        <v>0</v>
      </c>
      <c r="M625" s="17" t="n">
        <v>0</v>
      </c>
      <c r="N625" s="17" t="n">
        <v>60</v>
      </c>
      <c r="O625" s="17" t="n">
        <v>0</v>
      </c>
      <c r="P625" s="17" t="n">
        <v>0</v>
      </c>
      <c r="Q625" s="18" t="n">
        <v>0</v>
      </c>
      <c r="R625" s="16" t="n">
        <v>1.32</v>
      </c>
      <c r="S625" s="17" t="n">
        <v>0</v>
      </c>
      <c r="T625" s="17" t="n">
        <v>0</v>
      </c>
      <c r="U625" s="17" t="n">
        <v>1.14</v>
      </c>
      <c r="V625" s="17" t="n">
        <v>0.12</v>
      </c>
      <c r="W625" s="17" t="n">
        <v>0</v>
      </c>
      <c r="X625" s="17" t="n">
        <v>0</v>
      </c>
      <c r="Y625" s="17" t="n">
        <v>0.06</v>
      </c>
      <c r="Z625" s="17" t="n">
        <v>0</v>
      </c>
      <c r="AA625" s="17" t="n">
        <v>0</v>
      </c>
      <c r="AB625" s="18" t="n">
        <v>0</v>
      </c>
      <c r="AC625" s="16" t="n">
        <v>-1.32</v>
      </c>
      <c r="AD625" s="17" t="n">
        <v>0</v>
      </c>
      <c r="AE625" s="17" t="n">
        <v>0</v>
      </c>
      <c r="AF625" s="17" t="n">
        <v>-1.14</v>
      </c>
      <c r="AG625" s="17" t="n">
        <v>-0.12</v>
      </c>
      <c r="AH625" s="17" t="n">
        <v>0</v>
      </c>
      <c r="AI625" s="17" t="n">
        <v>0</v>
      </c>
      <c r="AJ625" s="17" t="n">
        <v>-0.06</v>
      </c>
      <c r="AK625" s="17" t="n">
        <v>0</v>
      </c>
      <c r="AL625" s="17" t="n">
        <v>0</v>
      </c>
      <c r="AM625" s="18" t="n">
        <v>0</v>
      </c>
      <c r="AN625" s="16" t="n">
        <v>40</v>
      </c>
      <c r="AO625" s="17" t="n">
        <v>0</v>
      </c>
      <c r="AP625" s="17" t="n">
        <v>0</v>
      </c>
      <c r="AQ625" s="17" t="n">
        <v>10</v>
      </c>
      <c r="AR625" s="17" t="n">
        <v>2</v>
      </c>
      <c r="AS625" s="17" t="n">
        <v>0</v>
      </c>
      <c r="AT625" s="17" t="n">
        <v>0</v>
      </c>
      <c r="AU625" s="17" t="n">
        <v>21</v>
      </c>
      <c r="AV625" s="17" t="n">
        <v>0</v>
      </c>
      <c r="AW625" s="17" t="n">
        <v>0</v>
      </c>
      <c r="AX625" s="18" t="n">
        <v>0</v>
      </c>
      <c r="AY625" s="16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8" t="n">
        <v>0</v>
      </c>
      <c r="BJ625" s="16" t="n">
        <v>40</v>
      </c>
      <c r="BK625" s="17" t="n">
        <v>0</v>
      </c>
      <c r="BL625" s="17" t="n">
        <v>0</v>
      </c>
      <c r="BM625" s="17" t="n">
        <v>10</v>
      </c>
      <c r="BN625" s="17" t="n">
        <v>2</v>
      </c>
      <c r="BO625" s="17" t="n">
        <v>0</v>
      </c>
      <c r="BP625" s="17" t="n">
        <v>0</v>
      </c>
      <c r="BQ625" s="17" t="n">
        <v>21</v>
      </c>
      <c r="BR625" s="17" t="n">
        <v>0</v>
      </c>
      <c r="BS625" s="17" t="n">
        <v>0</v>
      </c>
      <c r="BT625" s="18" t="n">
        <v>0</v>
      </c>
      <c r="BU625" s="17" t="inlineStr">
        <is>
          <t>Unclassified</t>
        </is>
      </c>
    </row>
    <row r="626" ht="20" customHeight="1">
      <c r="A626" s="15" t="inlineStr">
        <is>
          <t>68462039710</t>
        </is>
      </c>
      <c r="B626" s="15" t="inlineStr">
        <is>
          <t>OMEPRAZOLE 40MG CAPSULE DR</t>
        </is>
      </c>
      <c r="C626" s="16" t="n">
        <v>1000</v>
      </c>
      <c r="D626" s="16" t="n">
        <v>1</v>
      </c>
      <c r="E626" s="16" t="n">
        <v>1</v>
      </c>
      <c r="F626" s="16" t="n">
        <v>57</v>
      </c>
      <c r="G626" s="16" t="n">
        <v>2954</v>
      </c>
      <c r="H626" s="17" t="n">
        <v>0</v>
      </c>
      <c r="I626" s="17" t="n">
        <v>0</v>
      </c>
      <c r="J626" s="17" t="n">
        <v>1904</v>
      </c>
      <c r="K626" s="17" t="n">
        <v>180</v>
      </c>
      <c r="L626" s="17" t="n">
        <v>0</v>
      </c>
      <c r="M626" s="17" t="n">
        <v>390</v>
      </c>
      <c r="N626" s="17" t="n">
        <v>420</v>
      </c>
      <c r="O626" s="17" t="n">
        <v>60</v>
      </c>
      <c r="P626" s="17" t="n">
        <v>0</v>
      </c>
      <c r="Q626" s="18" t="n">
        <v>0</v>
      </c>
      <c r="R626" s="16" t="n">
        <v>2.954</v>
      </c>
      <c r="S626" s="17" t="n">
        <v>0</v>
      </c>
      <c r="T626" s="17" t="n">
        <v>0</v>
      </c>
      <c r="U626" s="17" t="n">
        <v>1.904</v>
      </c>
      <c r="V626" s="17" t="n">
        <v>0.18</v>
      </c>
      <c r="W626" s="17" t="n">
        <v>0</v>
      </c>
      <c r="X626" s="17" t="n">
        <v>0.39</v>
      </c>
      <c r="Y626" s="17" t="n">
        <v>0.42</v>
      </c>
      <c r="Z626" s="17" t="n">
        <v>0.06</v>
      </c>
      <c r="AA626" s="17" t="n">
        <v>0</v>
      </c>
      <c r="AB626" s="18" t="n">
        <v>0</v>
      </c>
      <c r="AC626" s="16" t="n">
        <v>-1.954</v>
      </c>
      <c r="AD626" s="17" t="n">
        <v>1</v>
      </c>
      <c r="AE626" s="17" t="n">
        <v>1</v>
      </c>
      <c r="AF626" s="17" t="n">
        <v>-0.904</v>
      </c>
      <c r="AG626" s="17" t="n">
        <v>0.82</v>
      </c>
      <c r="AH626" s="17" t="n">
        <v>1</v>
      </c>
      <c r="AI626" s="17" t="n">
        <v>0.61</v>
      </c>
      <c r="AJ626" s="17" t="n">
        <v>0.58</v>
      </c>
      <c r="AK626" s="17" t="n">
        <v>0.9399999999999999</v>
      </c>
      <c r="AL626" s="17" t="n">
        <v>1</v>
      </c>
      <c r="AM626" s="18" t="n">
        <v>1</v>
      </c>
      <c r="AN626" s="16" t="n">
        <v>305</v>
      </c>
      <c r="AO626" s="17" t="n">
        <v>0</v>
      </c>
      <c r="AP626" s="17" t="n">
        <v>0</v>
      </c>
      <c r="AQ626" s="17" t="n">
        <v>123</v>
      </c>
      <c r="AR626" s="17" t="n">
        <v>4</v>
      </c>
      <c r="AS626" s="17" t="n">
        <v>0</v>
      </c>
      <c r="AT626" s="17" t="n">
        <v>41</v>
      </c>
      <c r="AU626" s="17" t="n">
        <v>103</v>
      </c>
      <c r="AV626" s="17" t="n">
        <v>0</v>
      </c>
      <c r="AW626" s="17" t="n">
        <v>0</v>
      </c>
      <c r="AX626" s="18" t="n">
        <v>0</v>
      </c>
      <c r="AY626" s="16" t="n">
        <v>168</v>
      </c>
      <c r="AZ626" s="17" t="n">
        <v>0</v>
      </c>
      <c r="BA626" s="17" t="n">
        <v>0</v>
      </c>
      <c r="BB626" s="17" t="n">
        <v>109</v>
      </c>
      <c r="BC626" s="17" t="n">
        <v>10</v>
      </c>
      <c r="BD626" s="17" t="n">
        <v>0</v>
      </c>
      <c r="BE626" s="17" t="n">
        <v>22</v>
      </c>
      <c r="BF626" s="17" t="n">
        <v>24</v>
      </c>
      <c r="BG626" s="17" t="n">
        <v>3</v>
      </c>
      <c r="BH626" s="17" t="n">
        <v>0</v>
      </c>
      <c r="BI626" s="18" t="n">
        <v>0</v>
      </c>
      <c r="BJ626" s="16" t="n">
        <v>137</v>
      </c>
      <c r="BK626" s="17" t="n">
        <v>0</v>
      </c>
      <c r="BL626" s="17" t="n">
        <v>0</v>
      </c>
      <c r="BM626" s="17" t="n">
        <v>15</v>
      </c>
      <c r="BN626" s="17" t="n">
        <v>-6</v>
      </c>
      <c r="BO626" s="17" t="n">
        <v>0</v>
      </c>
      <c r="BP626" s="17" t="n">
        <v>19</v>
      </c>
      <c r="BQ626" s="17" t="n">
        <v>79</v>
      </c>
      <c r="BR626" s="17" t="n">
        <v>-3</v>
      </c>
      <c r="BS626" s="17" t="n">
        <v>0</v>
      </c>
      <c r="BT626" s="18" t="n">
        <v>0</v>
      </c>
      <c r="BU626" s="17" t="inlineStr">
        <is>
          <t>Generic Drug</t>
        </is>
      </c>
    </row>
    <row r="627" ht="20" customHeight="1">
      <c r="A627" s="15" t="inlineStr">
        <is>
          <t>08508300001</t>
        </is>
      </c>
      <c r="B627" s="15" t="inlineStr">
        <is>
          <t>OMNIPOD 5 G6 INTRO (GEN 5) KIT</t>
        </is>
      </c>
      <c r="C627" s="16" t="n">
        <v>1</v>
      </c>
      <c r="D627" s="16" t="n">
        <v>1</v>
      </c>
      <c r="E627" s="16" t="n">
        <v>1</v>
      </c>
      <c r="F627" s="16" t="n">
        <v>621</v>
      </c>
      <c r="G627" s="16" t="n">
        <v>1</v>
      </c>
      <c r="H627" s="17" t="n">
        <v>0</v>
      </c>
      <c r="I627" s="17" t="n">
        <v>0</v>
      </c>
      <c r="J627" s="17" t="n">
        <v>1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8" t="n">
        <v>0</v>
      </c>
      <c r="R627" s="16" t="n">
        <v>1</v>
      </c>
      <c r="S627" s="17" t="n">
        <v>0</v>
      </c>
      <c r="T627" s="17" t="n">
        <v>0</v>
      </c>
      <c r="U627" s="17" t="n">
        <v>1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8" t="n">
        <v>0</v>
      </c>
      <c r="AC627" s="16" t="n">
        <v>0</v>
      </c>
      <c r="AD627" s="17" t="n">
        <v>1</v>
      </c>
      <c r="AE627" s="17" t="n">
        <v>1</v>
      </c>
      <c r="AF627" s="17" t="n">
        <v>0</v>
      </c>
      <c r="AG627" s="17" t="n">
        <v>1</v>
      </c>
      <c r="AH627" s="17" t="n">
        <v>1</v>
      </c>
      <c r="AI627" s="17" t="n">
        <v>1</v>
      </c>
      <c r="AJ627" s="17" t="n">
        <v>1</v>
      </c>
      <c r="AK627" s="17" t="n">
        <v>1</v>
      </c>
      <c r="AL627" s="17" t="n">
        <v>1</v>
      </c>
      <c r="AM627" s="18" t="n">
        <v>1</v>
      </c>
      <c r="AN627" s="16" t="n">
        <v>590</v>
      </c>
      <c r="AO627" s="17" t="n">
        <v>0</v>
      </c>
      <c r="AP627" s="17" t="n">
        <v>0</v>
      </c>
      <c r="AQ627" s="17" t="n">
        <v>590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8" t="n">
        <v>0</v>
      </c>
      <c r="AY627" s="16" t="n">
        <v>621</v>
      </c>
      <c r="AZ627" s="17" t="n">
        <v>0</v>
      </c>
      <c r="BA627" s="17" t="n">
        <v>0</v>
      </c>
      <c r="BB627" s="17" t="n">
        <v>621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8" t="n">
        <v>0</v>
      </c>
      <c r="BJ627" s="16" t="n">
        <v>-31</v>
      </c>
      <c r="BK627" s="17" t="n">
        <v>0</v>
      </c>
      <c r="BL627" s="17" t="n">
        <v>0</v>
      </c>
      <c r="BM627" s="17" t="n">
        <v>-31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8" t="n">
        <v>0</v>
      </c>
      <c r="BU627" s="17" t="inlineStr">
        <is>
          <t>Home Health Care</t>
        </is>
      </c>
    </row>
    <row r="628" ht="20" customHeight="1">
      <c r="A628" s="15" t="inlineStr">
        <is>
          <t>08508300021</t>
        </is>
      </c>
      <c r="B628" s="15" t="inlineStr">
        <is>
          <t>OMNIPOD 5 G6 POD (GEN 5)</t>
        </is>
      </c>
      <c r="C628" s="16" t="n">
        <v>5</v>
      </c>
      <c r="D628" s="16" t="n">
        <v>6</v>
      </c>
      <c r="E628" s="16" t="n">
        <v>6</v>
      </c>
      <c r="F628" s="16" t="n">
        <v>307</v>
      </c>
      <c r="G628" s="16" t="n">
        <v>30</v>
      </c>
      <c r="H628" s="17" t="n">
        <v>0</v>
      </c>
      <c r="I628" s="17" t="n">
        <v>0</v>
      </c>
      <c r="J628" s="17" t="n">
        <v>30</v>
      </c>
      <c r="K628" s="17" t="n">
        <v>0</v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8" t="n">
        <v>0</v>
      </c>
      <c r="R628" s="16" t="n">
        <v>6</v>
      </c>
      <c r="S628" s="17" t="n">
        <v>0</v>
      </c>
      <c r="T628" s="17" t="n">
        <v>0</v>
      </c>
      <c r="U628" s="17" t="n">
        <v>6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8" t="n">
        <v>0</v>
      </c>
      <c r="AC628" s="16" t="n">
        <v>0</v>
      </c>
      <c r="AD628" s="17" t="n">
        <v>6</v>
      </c>
      <c r="AE628" s="17" t="n">
        <v>6</v>
      </c>
      <c r="AF628" s="17" t="n">
        <v>0</v>
      </c>
      <c r="AG628" s="17" t="n">
        <v>6</v>
      </c>
      <c r="AH628" s="17" t="n">
        <v>6</v>
      </c>
      <c r="AI628" s="17" t="n">
        <v>6</v>
      </c>
      <c r="AJ628" s="17" t="n">
        <v>6</v>
      </c>
      <c r="AK628" s="17" t="n">
        <v>6</v>
      </c>
      <c r="AL628" s="17" t="n">
        <v>6</v>
      </c>
      <c r="AM628" s="18" t="n">
        <v>6</v>
      </c>
      <c r="AN628" s="16" t="n">
        <v>1770</v>
      </c>
      <c r="AO628" s="17" t="n">
        <v>0</v>
      </c>
      <c r="AP628" s="17" t="n">
        <v>0</v>
      </c>
      <c r="AQ628" s="17" t="n">
        <v>1770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8" t="n">
        <v>0</v>
      </c>
      <c r="AY628" s="16" t="n">
        <v>1842</v>
      </c>
      <c r="AZ628" s="17" t="n">
        <v>0</v>
      </c>
      <c r="BA628" s="17" t="n">
        <v>0</v>
      </c>
      <c r="BB628" s="17" t="n">
        <v>1842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7" t="n">
        <v>0</v>
      </c>
      <c r="BI628" s="18" t="n">
        <v>0</v>
      </c>
      <c r="BJ628" s="16" t="n">
        <v>-72</v>
      </c>
      <c r="BK628" s="17" t="n">
        <v>0</v>
      </c>
      <c r="BL628" s="17" t="n">
        <v>0</v>
      </c>
      <c r="BM628" s="17" t="n">
        <v>-72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7" t="n">
        <v>0</v>
      </c>
      <c r="BT628" s="18" t="n">
        <v>0</v>
      </c>
      <c r="BU628" s="17" t="inlineStr">
        <is>
          <t>Home Health Care</t>
        </is>
      </c>
    </row>
    <row r="629" ht="20" customHeight="1">
      <c r="A629" s="15" t="inlineStr">
        <is>
          <t>65862018730</t>
        </is>
      </c>
      <c r="B629" s="15" t="inlineStr">
        <is>
          <t xml:space="preserve">ONDANSETRON 4MG TAB </t>
        </is>
      </c>
      <c r="C629" s="16" t="n">
        <v>30</v>
      </c>
      <c r="D629" s="16" t="n">
        <v>0</v>
      </c>
      <c r="E629" s="16" t="n">
        <v>0</v>
      </c>
      <c r="F629" s="16" t="n">
        <v>0</v>
      </c>
      <c r="G629" s="16" t="n">
        <v>25</v>
      </c>
      <c r="H629" s="17" t="n">
        <v>0</v>
      </c>
      <c r="I629" s="17" t="n">
        <v>0</v>
      </c>
      <c r="J629" s="17" t="n">
        <v>25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8" t="n">
        <v>0</v>
      </c>
      <c r="R629" s="16" t="n">
        <v>0.833</v>
      </c>
      <c r="S629" s="17" t="n">
        <v>0</v>
      </c>
      <c r="T629" s="17" t="n">
        <v>0</v>
      </c>
      <c r="U629" s="17" t="n">
        <v>0.833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8" t="n">
        <v>0</v>
      </c>
      <c r="AC629" s="16" t="n">
        <v>-0.833</v>
      </c>
      <c r="AD629" s="17" t="n">
        <v>0</v>
      </c>
      <c r="AE629" s="17" t="n">
        <v>0</v>
      </c>
      <c r="AF629" s="17" t="n">
        <v>-0.833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8" t="n">
        <v>0</v>
      </c>
      <c r="AN629" s="16" t="n">
        <v>3</v>
      </c>
      <c r="AO629" s="17" t="n">
        <v>0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  <c r="AW629" s="17" t="n">
        <v>0</v>
      </c>
      <c r="AX629" s="18" t="n">
        <v>0</v>
      </c>
      <c r="AY629" s="16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8" t="n">
        <v>0</v>
      </c>
      <c r="BJ629" s="16" t="n">
        <v>3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8" t="n">
        <v>0</v>
      </c>
      <c r="BU629" s="17" t="inlineStr">
        <is>
          <t>Unclassified</t>
        </is>
      </c>
    </row>
    <row r="630" ht="20" customHeight="1">
      <c r="A630" s="15" t="inlineStr">
        <is>
          <t>65862018830</t>
        </is>
      </c>
      <c r="B630" s="15" t="inlineStr">
        <is>
          <t xml:space="preserve">ONDANSETRON 8MG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30</v>
      </c>
      <c r="H630" s="17" t="n">
        <v>0</v>
      </c>
      <c r="I630" s="17" t="n">
        <v>0</v>
      </c>
      <c r="J630" s="17" t="n">
        <v>30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8" t="n">
        <v>0</v>
      </c>
      <c r="R630" s="16" t="n">
        <v>1</v>
      </c>
      <c r="S630" s="17" t="n">
        <v>0</v>
      </c>
      <c r="T630" s="17" t="n">
        <v>0</v>
      </c>
      <c r="U630" s="17" t="n">
        <v>1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8" t="n">
        <v>0</v>
      </c>
      <c r="AC630" s="16" t="n">
        <v>-1</v>
      </c>
      <c r="AD630" s="17" t="n">
        <v>0</v>
      </c>
      <c r="AE630" s="17" t="n">
        <v>0</v>
      </c>
      <c r="AF630" s="17" t="n">
        <v>-1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8" t="n">
        <v>0</v>
      </c>
      <c r="AN630" s="16" t="n">
        <v>1</v>
      </c>
      <c r="AO630" s="17" t="n">
        <v>0</v>
      </c>
      <c r="AP630" s="17" t="n">
        <v>0</v>
      </c>
      <c r="AQ630" s="17" t="n">
        <v>1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8" t="n">
        <v>0</v>
      </c>
      <c r="AY630" s="16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7" t="n">
        <v>0</v>
      </c>
      <c r="BG630" s="17" t="n">
        <v>0</v>
      </c>
      <c r="BH630" s="17" t="n">
        <v>0</v>
      </c>
      <c r="BI630" s="18" t="n">
        <v>0</v>
      </c>
      <c r="BJ630" s="16" t="n">
        <v>1</v>
      </c>
      <c r="BK630" s="17" t="n">
        <v>0</v>
      </c>
      <c r="BL630" s="17" t="n">
        <v>0</v>
      </c>
      <c r="BM630" s="17" t="n">
        <v>1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7" t="n">
        <v>0</v>
      </c>
      <c r="BT630" s="18" t="n">
        <v>0</v>
      </c>
      <c r="BU630" s="17" t="inlineStr">
        <is>
          <t>Unclassified</t>
        </is>
      </c>
    </row>
    <row r="631" ht="20" customHeight="1">
      <c r="A631" s="15" t="inlineStr">
        <is>
          <t>65162069179</t>
        </is>
      </c>
      <c r="B631" s="15" t="inlineStr">
        <is>
          <t>ONDANSETRON HCL 4 MG/5ML SOLUTION</t>
        </is>
      </c>
      <c r="C631" s="16" t="n">
        <v>50</v>
      </c>
      <c r="D631" s="16" t="n">
        <v>3</v>
      </c>
      <c r="E631" s="16" t="n">
        <v>3</v>
      </c>
      <c r="F631" s="16" t="n">
        <v>13</v>
      </c>
      <c r="G631" s="16" t="n">
        <v>50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50</v>
      </c>
      <c r="O631" s="17" t="n">
        <v>0</v>
      </c>
      <c r="P631" s="17" t="n">
        <v>0</v>
      </c>
      <c r="Q631" s="18" t="n">
        <v>0</v>
      </c>
      <c r="R631" s="16" t="n">
        <v>1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0</v>
      </c>
      <c r="X631" s="17" t="n">
        <v>0</v>
      </c>
      <c r="Y631" s="17" t="n">
        <v>1</v>
      </c>
      <c r="Z631" s="17" t="n">
        <v>0</v>
      </c>
      <c r="AA631" s="17" t="n">
        <v>0</v>
      </c>
      <c r="AB631" s="18" t="n">
        <v>0</v>
      </c>
      <c r="AC631" s="16" t="n">
        <v>2</v>
      </c>
      <c r="AD631" s="17" t="n">
        <v>3</v>
      </c>
      <c r="AE631" s="17" t="n">
        <v>3</v>
      </c>
      <c r="AF631" s="17" t="n">
        <v>3</v>
      </c>
      <c r="AG631" s="17" t="n">
        <v>3</v>
      </c>
      <c r="AH631" s="17" t="n">
        <v>3</v>
      </c>
      <c r="AI631" s="17" t="n">
        <v>3</v>
      </c>
      <c r="AJ631" s="17" t="n">
        <v>2</v>
      </c>
      <c r="AK631" s="17" t="n">
        <v>3</v>
      </c>
      <c r="AL631" s="17" t="n">
        <v>3</v>
      </c>
      <c r="AM631" s="18" t="n">
        <v>3</v>
      </c>
      <c r="AN631" s="16" t="n">
        <v>24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24</v>
      </c>
      <c r="AV631" s="17" t="n">
        <v>0</v>
      </c>
      <c r="AW631" s="17" t="n">
        <v>0</v>
      </c>
      <c r="AX631" s="18" t="n">
        <v>0</v>
      </c>
      <c r="AY631" s="16" t="n">
        <v>13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13</v>
      </c>
      <c r="BG631" s="17" t="n">
        <v>0</v>
      </c>
      <c r="BH631" s="17" t="n">
        <v>0</v>
      </c>
      <c r="BI631" s="18" t="n">
        <v>0</v>
      </c>
      <c r="BJ631" s="16" t="n">
        <v>11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11</v>
      </c>
      <c r="BR631" s="17" t="n">
        <v>0</v>
      </c>
      <c r="BS631" s="17" t="n">
        <v>0</v>
      </c>
      <c r="BT631" s="18" t="n">
        <v>0</v>
      </c>
      <c r="BU631" s="17" t="inlineStr">
        <is>
          <t>Generic Drug</t>
        </is>
      </c>
    </row>
    <row r="632" ht="20" customHeight="1">
      <c r="A632" s="15" t="inlineStr">
        <is>
          <t>68462015713</t>
        </is>
      </c>
      <c r="B632" s="15" t="inlineStr">
        <is>
          <t xml:space="preserve">ONDANSETRON ODT  4MG TAB </t>
        </is>
      </c>
      <c r="C632" s="16" t="n">
        <v>30</v>
      </c>
      <c r="D632" s="16" t="n">
        <v>0</v>
      </c>
      <c r="E632" s="16" t="n">
        <v>0</v>
      </c>
      <c r="F632" s="16" t="n">
        <v>0</v>
      </c>
      <c r="G632" s="16" t="n">
        <v>60</v>
      </c>
      <c r="H632" s="17" t="n">
        <v>0</v>
      </c>
      <c r="I632" s="17" t="n">
        <v>0</v>
      </c>
      <c r="J632" s="17" t="n">
        <v>20</v>
      </c>
      <c r="K632" s="17" t="n">
        <v>0</v>
      </c>
      <c r="L632" s="17" t="n">
        <v>0</v>
      </c>
      <c r="M632" s="17" t="n">
        <v>0</v>
      </c>
      <c r="N632" s="17" t="n">
        <v>40</v>
      </c>
      <c r="O632" s="17" t="n">
        <v>0</v>
      </c>
      <c r="P632" s="17" t="n">
        <v>0</v>
      </c>
      <c r="Q632" s="18" t="n">
        <v>0</v>
      </c>
      <c r="R632" s="16" t="n">
        <v>2</v>
      </c>
      <c r="S632" s="17" t="n">
        <v>0</v>
      </c>
      <c r="T632" s="17" t="n">
        <v>0</v>
      </c>
      <c r="U632" s="17" t="n">
        <v>0.667</v>
      </c>
      <c r="V632" s="17" t="n">
        <v>0</v>
      </c>
      <c r="W632" s="17" t="n">
        <v>0</v>
      </c>
      <c r="X632" s="17" t="n">
        <v>0</v>
      </c>
      <c r="Y632" s="17" t="n">
        <v>1.333</v>
      </c>
      <c r="Z632" s="17" t="n">
        <v>0</v>
      </c>
      <c r="AA632" s="17" t="n">
        <v>0</v>
      </c>
      <c r="AB632" s="18" t="n">
        <v>0</v>
      </c>
      <c r="AC632" s="16" t="n">
        <v>-2</v>
      </c>
      <c r="AD632" s="17" t="n">
        <v>0</v>
      </c>
      <c r="AE632" s="17" t="n">
        <v>0</v>
      </c>
      <c r="AF632" s="17" t="n">
        <v>-0.667</v>
      </c>
      <c r="AG632" s="17" t="n">
        <v>0</v>
      </c>
      <c r="AH632" s="17" t="n">
        <v>0</v>
      </c>
      <c r="AI632" s="17" t="n">
        <v>0</v>
      </c>
      <c r="AJ632" s="17" t="n">
        <v>-1.333</v>
      </c>
      <c r="AK632" s="17" t="n">
        <v>0</v>
      </c>
      <c r="AL632" s="17" t="n">
        <v>0</v>
      </c>
      <c r="AM632" s="18" t="n">
        <v>0</v>
      </c>
      <c r="AN632" s="16" t="n">
        <v>29</v>
      </c>
      <c r="AO632" s="17" t="n">
        <v>0</v>
      </c>
      <c r="AP632" s="17" t="n">
        <v>0</v>
      </c>
      <c r="AQ632" s="17" t="n">
        <v>2</v>
      </c>
      <c r="AR632" s="17" t="n">
        <v>0</v>
      </c>
      <c r="AS632" s="17" t="n">
        <v>0</v>
      </c>
      <c r="AT632" s="17" t="n">
        <v>0</v>
      </c>
      <c r="AU632" s="17" t="n">
        <v>26</v>
      </c>
      <c r="AV632" s="17" t="n">
        <v>0</v>
      </c>
      <c r="AW632" s="17" t="n">
        <v>0</v>
      </c>
      <c r="AX632" s="18" t="n">
        <v>0</v>
      </c>
      <c r="AY632" s="16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7" t="n">
        <v>0</v>
      </c>
      <c r="BI632" s="18" t="n">
        <v>0</v>
      </c>
      <c r="BJ632" s="16" t="n">
        <v>29</v>
      </c>
      <c r="BK632" s="17" t="n">
        <v>0</v>
      </c>
      <c r="BL632" s="17" t="n">
        <v>0</v>
      </c>
      <c r="BM632" s="17" t="n">
        <v>2</v>
      </c>
      <c r="BN632" s="17" t="n">
        <v>0</v>
      </c>
      <c r="BO632" s="17" t="n">
        <v>0</v>
      </c>
      <c r="BP632" s="17" t="n">
        <v>0</v>
      </c>
      <c r="BQ632" s="17" t="n">
        <v>26</v>
      </c>
      <c r="BR632" s="17" t="n">
        <v>0</v>
      </c>
      <c r="BS632" s="17" t="n">
        <v>0</v>
      </c>
      <c r="BT632" s="18" t="n">
        <v>0</v>
      </c>
      <c r="BU632" s="17" t="inlineStr">
        <is>
          <t>Unclassified</t>
        </is>
      </c>
    </row>
    <row r="633" ht="20" customHeight="1">
      <c r="A633" s="15" t="inlineStr">
        <is>
          <t>62756035664</t>
        </is>
      </c>
      <c r="B633" s="15" t="inlineStr">
        <is>
          <t xml:space="preserve">ONDANSETRON ODT 8MG TAB 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30</v>
      </c>
      <c r="H633" s="17" t="n">
        <v>0</v>
      </c>
      <c r="I633" s="17" t="n">
        <v>0</v>
      </c>
      <c r="J633" s="17" t="n">
        <v>0</v>
      </c>
      <c r="K633" s="17" t="n">
        <v>30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8" t="n">
        <v>0</v>
      </c>
      <c r="R633" s="16" t="n">
        <v>1</v>
      </c>
      <c r="S633" s="17" t="n">
        <v>0</v>
      </c>
      <c r="T633" s="17" t="n">
        <v>0</v>
      </c>
      <c r="U633" s="17" t="n">
        <v>0</v>
      </c>
      <c r="V633" s="17" t="n">
        <v>1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8" t="n">
        <v>0</v>
      </c>
      <c r="AC633" s="16" t="n">
        <v>-1</v>
      </c>
      <c r="AD633" s="17" t="n">
        <v>0</v>
      </c>
      <c r="AE633" s="17" t="n">
        <v>0</v>
      </c>
      <c r="AF633" s="17" t="n">
        <v>0</v>
      </c>
      <c r="AG633" s="17" t="n">
        <v>-1</v>
      </c>
      <c r="AH633" s="17" t="n">
        <v>0</v>
      </c>
      <c r="AI633" s="17" t="n">
        <v>0</v>
      </c>
      <c r="AJ633" s="17" t="n">
        <v>0</v>
      </c>
      <c r="AK633" s="17" t="n">
        <v>0</v>
      </c>
      <c r="AL633" s="17" t="n">
        <v>0</v>
      </c>
      <c r="AM633" s="18" t="n">
        <v>0</v>
      </c>
      <c r="AN633" s="16" t="n">
        <v>11</v>
      </c>
      <c r="AO633" s="17" t="n">
        <v>0</v>
      </c>
      <c r="AP633" s="17" t="n">
        <v>0</v>
      </c>
      <c r="AQ633" s="17" t="n">
        <v>0</v>
      </c>
      <c r="AR633" s="17" t="n">
        <v>11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8" t="n">
        <v>0</v>
      </c>
      <c r="AY633" s="16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8" t="n">
        <v>0</v>
      </c>
      <c r="BJ633" s="16" t="n">
        <v>11</v>
      </c>
      <c r="BK633" s="17" t="n">
        <v>0</v>
      </c>
      <c r="BL633" s="17" t="n">
        <v>0</v>
      </c>
      <c r="BM633" s="17" t="n">
        <v>0</v>
      </c>
      <c r="BN633" s="17" t="n">
        <v>11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8" t="n">
        <v>0</v>
      </c>
      <c r="BU633" s="17" t="inlineStr">
        <is>
          <t>Unclassified</t>
        </is>
      </c>
    </row>
    <row r="634" ht="20" customHeight="1">
      <c r="A634" s="15" t="inlineStr">
        <is>
          <t>53885024450</t>
        </is>
      </c>
      <c r="B634" s="15" t="inlineStr">
        <is>
          <t>ONETOUCH ULTRA BLUE  STRIP</t>
        </is>
      </c>
      <c r="C634" s="16" t="n">
        <v>50</v>
      </c>
      <c r="D634" s="16" t="n">
        <v>24</v>
      </c>
      <c r="E634" s="16" t="n">
        <v>24</v>
      </c>
      <c r="F634" s="16" t="n">
        <v>81</v>
      </c>
      <c r="G634" s="16" t="n">
        <v>300</v>
      </c>
      <c r="H634" s="17" t="n">
        <v>0</v>
      </c>
      <c r="I634" s="17" t="n">
        <v>0</v>
      </c>
      <c r="J634" s="17" t="n">
        <v>300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8" t="n">
        <v>0</v>
      </c>
      <c r="R634" s="16" t="n">
        <v>6</v>
      </c>
      <c r="S634" s="17" t="n">
        <v>0</v>
      </c>
      <c r="T634" s="17" t="n">
        <v>0</v>
      </c>
      <c r="U634" s="17" t="n">
        <v>6</v>
      </c>
      <c r="V634" s="17" t="n">
        <v>0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8" t="n">
        <v>0</v>
      </c>
      <c r="AC634" s="16" t="n">
        <v>18</v>
      </c>
      <c r="AD634" s="17" t="n">
        <v>24</v>
      </c>
      <c r="AE634" s="17" t="n">
        <v>24</v>
      </c>
      <c r="AF634" s="17" t="n">
        <v>18</v>
      </c>
      <c r="AG634" s="17" t="n">
        <v>24</v>
      </c>
      <c r="AH634" s="17" t="n">
        <v>24</v>
      </c>
      <c r="AI634" s="17" t="n">
        <v>24</v>
      </c>
      <c r="AJ634" s="17" t="n">
        <v>24</v>
      </c>
      <c r="AK634" s="17" t="n">
        <v>24</v>
      </c>
      <c r="AL634" s="17" t="n">
        <v>24</v>
      </c>
      <c r="AM634" s="18" t="n">
        <v>24</v>
      </c>
      <c r="AN634" s="16" t="n">
        <v>455</v>
      </c>
      <c r="AO634" s="17" t="n">
        <v>0</v>
      </c>
      <c r="AP634" s="17" t="n">
        <v>0</v>
      </c>
      <c r="AQ634" s="17" t="n">
        <v>455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8" t="n">
        <v>0</v>
      </c>
      <c r="AY634" s="16" t="n">
        <v>486</v>
      </c>
      <c r="AZ634" s="17" t="n">
        <v>0</v>
      </c>
      <c r="BA634" s="17" t="n">
        <v>0</v>
      </c>
      <c r="BB634" s="17" t="n">
        <v>486</v>
      </c>
      <c r="BC634" s="17" t="n">
        <v>0</v>
      </c>
      <c r="BD634" s="17" t="n">
        <v>0</v>
      </c>
      <c r="BE634" s="17" t="n">
        <v>0</v>
      </c>
      <c r="BF634" s="17" t="n">
        <v>0</v>
      </c>
      <c r="BG634" s="17" t="n">
        <v>0</v>
      </c>
      <c r="BH634" s="17" t="n">
        <v>0</v>
      </c>
      <c r="BI634" s="18" t="n">
        <v>0</v>
      </c>
      <c r="BJ634" s="16" t="n">
        <v>-31</v>
      </c>
      <c r="BK634" s="17" t="n">
        <v>0</v>
      </c>
      <c r="BL634" s="17" t="n">
        <v>0</v>
      </c>
      <c r="BM634" s="17" t="n">
        <v>-31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7" t="n">
        <v>0</v>
      </c>
      <c r="BT634" s="18" t="n">
        <v>0</v>
      </c>
      <c r="BU634" s="17" t="inlineStr">
        <is>
          <t>Home Health Care</t>
        </is>
      </c>
    </row>
    <row r="635" ht="20" customHeight="1">
      <c r="A635" s="15" t="inlineStr">
        <is>
          <t>50881000705</t>
        </is>
      </c>
      <c r="B635" s="15" t="inlineStr">
        <is>
          <t>OPZELURA 1.5 % EXTERNAL CREAM</t>
        </is>
      </c>
      <c r="C635" s="16" t="n">
        <v>60</v>
      </c>
      <c r="D635" s="16" t="n">
        <v>0</v>
      </c>
      <c r="E635" s="16" t="n">
        <v>0</v>
      </c>
      <c r="F635" s="16" t="n">
        <v>0</v>
      </c>
      <c r="G635" s="16" t="n">
        <v>60</v>
      </c>
      <c r="H635" s="17" t="n">
        <v>0</v>
      </c>
      <c r="I635" s="17" t="n">
        <v>0</v>
      </c>
      <c r="J635" s="17" t="n">
        <v>60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8" t="n">
        <v>0</v>
      </c>
      <c r="R635" s="16" t="n">
        <v>1</v>
      </c>
      <c r="S635" s="17" t="n">
        <v>0</v>
      </c>
      <c r="T635" s="17" t="n">
        <v>0</v>
      </c>
      <c r="U635" s="17" t="n">
        <v>1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8" t="n">
        <v>0</v>
      </c>
      <c r="AC635" s="16" t="n">
        <v>-1</v>
      </c>
      <c r="AD635" s="17" t="n">
        <v>0</v>
      </c>
      <c r="AE635" s="17" t="n">
        <v>0</v>
      </c>
      <c r="AF635" s="17" t="n">
        <v>-1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8" t="n">
        <v>0</v>
      </c>
      <c r="AN635" s="16" t="n">
        <v>2029</v>
      </c>
      <c r="AO635" s="17" t="n">
        <v>0</v>
      </c>
      <c r="AP635" s="17" t="n">
        <v>0</v>
      </c>
      <c r="AQ635" s="17" t="n">
        <v>2004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8" t="n">
        <v>0</v>
      </c>
      <c r="AY635" s="16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8" t="n">
        <v>0</v>
      </c>
      <c r="BJ635" s="16" t="n">
        <v>2029</v>
      </c>
      <c r="BK635" s="17" t="n">
        <v>0</v>
      </c>
      <c r="BL635" s="17" t="n">
        <v>0</v>
      </c>
      <c r="BM635" s="17" t="n">
        <v>2004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8" t="n">
        <v>0</v>
      </c>
      <c r="BU635" s="17" t="inlineStr">
        <is>
          <t>Unclassified</t>
        </is>
      </c>
    </row>
    <row r="636" ht="20" customHeight="1">
      <c r="A636" s="15" t="inlineStr">
        <is>
          <t>27241015608</t>
        </is>
      </c>
      <c r="B636" s="15" t="inlineStr">
        <is>
          <t>OXYBUTYNIN 10MG TABLET ER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n">
        <v>0</v>
      </c>
      <c r="M636" s="17" t="n">
        <v>0</v>
      </c>
      <c r="N636" s="17" t="n">
        <v>90</v>
      </c>
      <c r="O636" s="17" t="n">
        <v>0</v>
      </c>
      <c r="P636" s="17" t="n">
        <v>0</v>
      </c>
      <c r="Q636" s="18" t="n">
        <v>0</v>
      </c>
      <c r="R636" s="16" t="n">
        <v>0.18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0.18</v>
      </c>
      <c r="Z636" s="17" t="n">
        <v>0</v>
      </c>
      <c r="AA636" s="17" t="n">
        <v>0</v>
      </c>
      <c r="AB636" s="18" t="n">
        <v>0</v>
      </c>
      <c r="AC636" s="16" t="n">
        <v>-0.18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-0.18</v>
      </c>
      <c r="AK636" s="17" t="n">
        <v>0</v>
      </c>
      <c r="AL636" s="17" t="n">
        <v>0</v>
      </c>
      <c r="AM636" s="18" t="n">
        <v>0</v>
      </c>
      <c r="AN636" s="16" t="n">
        <v>20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7" t="n">
        <v>0</v>
      </c>
      <c r="AT636" s="17" t="n">
        <v>0</v>
      </c>
      <c r="AU636" s="17" t="n">
        <v>20</v>
      </c>
      <c r="AV636" s="17" t="n">
        <v>0</v>
      </c>
      <c r="AW636" s="17" t="n">
        <v>0</v>
      </c>
      <c r="AX636" s="18" t="n">
        <v>0</v>
      </c>
      <c r="AY636" s="16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7" t="n">
        <v>0</v>
      </c>
      <c r="BG636" s="17" t="n">
        <v>0</v>
      </c>
      <c r="BH636" s="17" t="n">
        <v>0</v>
      </c>
      <c r="BI636" s="18" t="n">
        <v>0</v>
      </c>
      <c r="BJ636" s="16" t="n">
        <v>20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20</v>
      </c>
      <c r="BR636" s="17" t="n">
        <v>0</v>
      </c>
      <c r="BS636" s="17" t="n">
        <v>0</v>
      </c>
      <c r="BT636" s="18" t="n">
        <v>0</v>
      </c>
      <c r="BU636" s="17" t="inlineStr">
        <is>
          <t>Unclassified</t>
        </is>
      </c>
    </row>
    <row r="637" ht="20" customHeight="1">
      <c r="A637" s="15" t="inlineStr">
        <is>
          <t>70954000530</t>
        </is>
      </c>
      <c r="B637" s="15" t="inlineStr">
        <is>
          <t>OXYBUTYNIN CHLORIDE 5MG TABLET</t>
        </is>
      </c>
      <c r="C637" s="16" t="n">
        <v>1000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30</v>
      </c>
      <c r="O637" s="17" t="n">
        <v>0</v>
      </c>
      <c r="P637" s="17" t="n">
        <v>0</v>
      </c>
      <c r="Q637" s="18" t="n">
        <v>0</v>
      </c>
      <c r="R637" s="16" t="n">
        <v>0.03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0.03</v>
      </c>
      <c r="Z637" s="17" t="n">
        <v>0</v>
      </c>
      <c r="AA637" s="17" t="n">
        <v>0</v>
      </c>
      <c r="AB637" s="18" t="n">
        <v>0</v>
      </c>
      <c r="AC637" s="16" t="n">
        <v>-0.03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-0.03</v>
      </c>
      <c r="AK637" s="17" t="n">
        <v>0</v>
      </c>
      <c r="AL637" s="17" t="n">
        <v>0</v>
      </c>
      <c r="AM637" s="18" t="n">
        <v>0</v>
      </c>
      <c r="AN637" s="16" t="n">
        <v>11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7" t="n">
        <v>0</v>
      </c>
      <c r="AT637" s="17" t="n">
        <v>0</v>
      </c>
      <c r="AU637" s="17" t="n">
        <v>10</v>
      </c>
      <c r="AV637" s="17" t="n">
        <v>0</v>
      </c>
      <c r="AW637" s="17" t="n">
        <v>0</v>
      </c>
      <c r="AX637" s="18" t="n">
        <v>0</v>
      </c>
      <c r="AY637" s="16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8" t="n">
        <v>0</v>
      </c>
      <c r="BJ637" s="16" t="n">
        <v>11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10</v>
      </c>
      <c r="BR637" s="17" t="n">
        <v>0</v>
      </c>
      <c r="BS637" s="17" t="n">
        <v>0</v>
      </c>
      <c r="BT637" s="18" t="n">
        <v>0</v>
      </c>
      <c r="BU637" s="17" t="inlineStr">
        <is>
          <t>Unclassified</t>
        </is>
      </c>
    </row>
    <row r="638" ht="20" customHeight="1">
      <c r="A638" s="15" t="inlineStr">
        <is>
          <t>47781026405</t>
        </is>
      </c>
      <c r="B638" s="15" t="inlineStr">
        <is>
          <t xml:space="preserve">OXYCODONE 15 MG TABLET </t>
        </is>
      </c>
      <c r="C638" s="16" t="n">
        <v>500</v>
      </c>
      <c r="D638" s="16" t="n">
        <v>0</v>
      </c>
      <c r="E638" s="16" t="n">
        <v>0</v>
      </c>
      <c r="F638" s="16" t="n">
        <v>0</v>
      </c>
      <c r="G638" s="16" t="n">
        <v>180</v>
      </c>
      <c r="H638" s="17" t="n">
        <v>0</v>
      </c>
      <c r="I638" s="17" t="n">
        <v>0</v>
      </c>
      <c r="J638" s="17" t="n">
        <v>90</v>
      </c>
      <c r="K638" s="17" t="n">
        <v>0</v>
      </c>
      <c r="L638" s="17" t="n">
        <v>0</v>
      </c>
      <c r="M638" s="17" t="n">
        <v>0</v>
      </c>
      <c r="N638" s="17" t="n">
        <v>90</v>
      </c>
      <c r="O638" s="17" t="n">
        <v>0</v>
      </c>
      <c r="P638" s="17" t="n">
        <v>0</v>
      </c>
      <c r="Q638" s="18" t="n">
        <v>0</v>
      </c>
      <c r="R638" s="16" t="n">
        <v>0.36</v>
      </c>
      <c r="S638" s="17" t="n">
        <v>0</v>
      </c>
      <c r="T638" s="17" t="n">
        <v>0</v>
      </c>
      <c r="U638" s="17" t="n">
        <v>0.18</v>
      </c>
      <c r="V638" s="17" t="n">
        <v>0</v>
      </c>
      <c r="W638" s="17" t="n">
        <v>0</v>
      </c>
      <c r="X638" s="17" t="n">
        <v>0</v>
      </c>
      <c r="Y638" s="17" t="n">
        <v>0.18</v>
      </c>
      <c r="Z638" s="17" t="n">
        <v>0</v>
      </c>
      <c r="AA638" s="17" t="n">
        <v>0</v>
      </c>
      <c r="AB638" s="18" t="n">
        <v>0</v>
      </c>
      <c r="AC638" s="16" t="n">
        <v>-0.36</v>
      </c>
      <c r="AD638" s="17" t="n">
        <v>0</v>
      </c>
      <c r="AE638" s="17" t="n">
        <v>0</v>
      </c>
      <c r="AF638" s="17" t="n">
        <v>-0.18</v>
      </c>
      <c r="AG638" s="17" t="n">
        <v>0</v>
      </c>
      <c r="AH638" s="17" t="n">
        <v>0</v>
      </c>
      <c r="AI638" s="17" t="n">
        <v>0</v>
      </c>
      <c r="AJ638" s="17" t="n">
        <v>-0.18</v>
      </c>
      <c r="AK638" s="17" t="n">
        <v>0</v>
      </c>
      <c r="AL638" s="17" t="n">
        <v>0</v>
      </c>
      <c r="AM638" s="18" t="n">
        <v>0</v>
      </c>
      <c r="AN638" s="16" t="n">
        <v>25</v>
      </c>
      <c r="AO638" s="17" t="n">
        <v>0</v>
      </c>
      <c r="AP638" s="17" t="n">
        <v>0</v>
      </c>
      <c r="AQ638" s="17" t="n">
        <v>6</v>
      </c>
      <c r="AR638" s="17" t="n">
        <v>0</v>
      </c>
      <c r="AS638" s="17" t="n">
        <v>0</v>
      </c>
      <c r="AT638" s="17" t="n">
        <v>0</v>
      </c>
      <c r="AU638" s="17" t="n">
        <v>16</v>
      </c>
      <c r="AV638" s="17" t="n">
        <v>0</v>
      </c>
      <c r="AW638" s="17" t="n">
        <v>0</v>
      </c>
      <c r="AX638" s="18" t="n">
        <v>0</v>
      </c>
      <c r="AY638" s="16" t="n">
        <v>0</v>
      </c>
      <c r="AZ638" s="17" t="n">
        <v>0</v>
      </c>
      <c r="BA638" s="17" t="n">
        <v>0</v>
      </c>
      <c r="BB638" s="17" t="n">
        <v>0</v>
      </c>
      <c r="BC638" s="17" t="n">
        <v>0</v>
      </c>
      <c r="BD638" s="17" t="n">
        <v>0</v>
      </c>
      <c r="BE638" s="17" t="n">
        <v>0</v>
      </c>
      <c r="BF638" s="17" t="n">
        <v>0</v>
      </c>
      <c r="BG638" s="17" t="n">
        <v>0</v>
      </c>
      <c r="BH638" s="17" t="n">
        <v>0</v>
      </c>
      <c r="BI638" s="18" t="n">
        <v>0</v>
      </c>
      <c r="BJ638" s="16" t="n">
        <v>25</v>
      </c>
      <c r="BK638" s="17" t="n">
        <v>0</v>
      </c>
      <c r="BL638" s="17" t="n">
        <v>0</v>
      </c>
      <c r="BM638" s="17" t="n">
        <v>6</v>
      </c>
      <c r="BN638" s="17" t="n">
        <v>0</v>
      </c>
      <c r="BO638" s="17" t="n">
        <v>0</v>
      </c>
      <c r="BP638" s="17" t="n">
        <v>0</v>
      </c>
      <c r="BQ638" s="17" t="n">
        <v>16</v>
      </c>
      <c r="BR638" s="17" t="n">
        <v>0</v>
      </c>
      <c r="BS638" s="17" t="n">
        <v>0</v>
      </c>
      <c r="BT638" s="18" t="n">
        <v>0</v>
      </c>
      <c r="BU638" s="17" t="inlineStr">
        <is>
          <t>Unclassified</t>
        </is>
      </c>
    </row>
    <row r="639" ht="20" customHeight="1">
      <c r="A639" s="15" t="inlineStr">
        <is>
          <t>10702000950</t>
        </is>
      </c>
      <c r="B639" s="15" t="inlineStr">
        <is>
          <t>OXYCODONE 30MG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120</v>
      </c>
      <c r="H639" s="17" t="n">
        <v>0</v>
      </c>
      <c r="I639" s="17" t="n">
        <v>0</v>
      </c>
      <c r="J639" s="17" t="n">
        <v>0</v>
      </c>
      <c r="K639" s="17" t="n">
        <v>120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8" t="n">
        <v>0</v>
      </c>
      <c r="R639" s="16" t="n">
        <v>0.24</v>
      </c>
      <c r="S639" s="17" t="n">
        <v>0</v>
      </c>
      <c r="T639" s="17" t="n">
        <v>0</v>
      </c>
      <c r="U639" s="17" t="n">
        <v>0</v>
      </c>
      <c r="V639" s="17" t="n">
        <v>0.24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8" t="n">
        <v>0</v>
      </c>
      <c r="AC639" s="16" t="n">
        <v>-0.24</v>
      </c>
      <c r="AD639" s="17" t="n">
        <v>0</v>
      </c>
      <c r="AE639" s="17" t="n">
        <v>0</v>
      </c>
      <c r="AF639" s="17" t="n">
        <v>0</v>
      </c>
      <c r="AG639" s="17" t="n">
        <v>-0.24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8" t="n">
        <v>0</v>
      </c>
      <c r="AN639" s="16" t="n">
        <v>43</v>
      </c>
      <c r="AO639" s="17" t="n">
        <v>0</v>
      </c>
      <c r="AP639" s="17" t="n">
        <v>0</v>
      </c>
      <c r="AQ639" s="17" t="n">
        <v>0</v>
      </c>
      <c r="AR639" s="17" t="n">
        <v>43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8" t="n">
        <v>0</v>
      </c>
      <c r="AY639" s="16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8" t="n">
        <v>0</v>
      </c>
      <c r="BJ639" s="16" t="n">
        <v>43</v>
      </c>
      <c r="BK639" s="17" t="n">
        <v>0</v>
      </c>
      <c r="BL639" s="17" t="n">
        <v>0</v>
      </c>
      <c r="BM639" s="17" t="n">
        <v>0</v>
      </c>
      <c r="BN639" s="17" t="n">
        <v>43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8" t="n">
        <v>0</v>
      </c>
      <c r="BU639" s="17" t="inlineStr">
        <is>
          <t>Unclassified</t>
        </is>
      </c>
    </row>
    <row r="640" ht="20" customHeight="1">
      <c r="A640" s="15" t="inlineStr">
        <is>
          <t>10702005601</t>
        </is>
      </c>
      <c r="B640" s="15" t="inlineStr">
        <is>
          <t>OXYCODONE HCL 10 MG ORAL TABLET</t>
        </is>
      </c>
      <c r="C640" s="16" t="n">
        <v>100</v>
      </c>
      <c r="D640" s="16" t="n">
        <v>6</v>
      </c>
      <c r="E640" s="16" t="n">
        <v>6</v>
      </c>
      <c r="F640" s="16" t="n">
        <v>15</v>
      </c>
      <c r="G640" s="16" t="n">
        <v>434</v>
      </c>
      <c r="H640" s="17" t="n">
        <v>0</v>
      </c>
      <c r="I640" s="17" t="n">
        <v>0</v>
      </c>
      <c r="J640" s="17" t="n">
        <v>120</v>
      </c>
      <c r="K640" s="17" t="n">
        <v>90</v>
      </c>
      <c r="L640" s="17" t="n">
        <v>0</v>
      </c>
      <c r="M640" s="17" t="n">
        <v>0</v>
      </c>
      <c r="N640" s="17" t="n">
        <v>224</v>
      </c>
      <c r="O640" s="17" t="n">
        <v>0</v>
      </c>
      <c r="P640" s="17" t="n">
        <v>0</v>
      </c>
      <c r="Q640" s="18" t="n">
        <v>0</v>
      </c>
      <c r="R640" s="16" t="n">
        <v>4.34</v>
      </c>
      <c r="S640" s="17" t="n">
        <v>0</v>
      </c>
      <c r="T640" s="17" t="n">
        <v>0</v>
      </c>
      <c r="U640" s="17" t="n">
        <v>1.2</v>
      </c>
      <c r="V640" s="17" t="n">
        <v>0.9</v>
      </c>
      <c r="W640" s="17" t="n">
        <v>0</v>
      </c>
      <c r="X640" s="17" t="n">
        <v>0</v>
      </c>
      <c r="Y640" s="17" t="n">
        <v>2.24</v>
      </c>
      <c r="Z640" s="17" t="n">
        <v>0</v>
      </c>
      <c r="AA640" s="17" t="n">
        <v>0</v>
      </c>
      <c r="AB640" s="18" t="n">
        <v>0</v>
      </c>
      <c r="AC640" s="16" t="n">
        <v>1.66</v>
      </c>
      <c r="AD640" s="17" t="n">
        <v>6</v>
      </c>
      <c r="AE640" s="17" t="n">
        <v>6</v>
      </c>
      <c r="AF640" s="17" t="n">
        <v>4.8</v>
      </c>
      <c r="AG640" s="17" t="n">
        <v>5.1</v>
      </c>
      <c r="AH640" s="17" t="n">
        <v>6</v>
      </c>
      <c r="AI640" s="17" t="n">
        <v>6</v>
      </c>
      <c r="AJ640" s="17" t="n">
        <v>3.76</v>
      </c>
      <c r="AK640" s="17" t="n">
        <v>6</v>
      </c>
      <c r="AL640" s="17" t="n">
        <v>6</v>
      </c>
      <c r="AM640" s="18" t="n">
        <v>6</v>
      </c>
      <c r="AN640" s="16" t="n">
        <v>82</v>
      </c>
      <c r="AO640" s="17" t="n">
        <v>0</v>
      </c>
      <c r="AP640" s="17" t="n">
        <v>0</v>
      </c>
      <c r="AQ640" s="17" t="n">
        <v>10</v>
      </c>
      <c r="AR640" s="17" t="n">
        <v>13</v>
      </c>
      <c r="AS640" s="17" t="n">
        <v>0</v>
      </c>
      <c r="AT640" s="17" t="n">
        <v>0</v>
      </c>
      <c r="AU640" s="17" t="n">
        <v>57</v>
      </c>
      <c r="AV640" s="17" t="n">
        <v>0</v>
      </c>
      <c r="AW640" s="17" t="n">
        <v>0</v>
      </c>
      <c r="AX640" s="18" t="n">
        <v>0</v>
      </c>
      <c r="AY640" s="16" t="n">
        <v>65</v>
      </c>
      <c r="AZ640" s="17" t="n">
        <v>0</v>
      </c>
      <c r="BA640" s="17" t="n">
        <v>0</v>
      </c>
      <c r="BB640" s="17" t="n">
        <v>18</v>
      </c>
      <c r="BC640" s="17" t="n">
        <v>14</v>
      </c>
      <c r="BD640" s="17" t="n">
        <v>0</v>
      </c>
      <c r="BE640" s="17" t="n">
        <v>0</v>
      </c>
      <c r="BF640" s="17" t="n">
        <v>34</v>
      </c>
      <c r="BG640" s="17" t="n">
        <v>0</v>
      </c>
      <c r="BH640" s="17" t="n">
        <v>0</v>
      </c>
      <c r="BI640" s="18" t="n">
        <v>0</v>
      </c>
      <c r="BJ640" s="16" t="n">
        <v>17</v>
      </c>
      <c r="BK640" s="17" t="n">
        <v>0</v>
      </c>
      <c r="BL640" s="17" t="n">
        <v>0</v>
      </c>
      <c r="BM640" s="17" t="n">
        <v>-8</v>
      </c>
      <c r="BN640" s="17" t="n">
        <v>-1</v>
      </c>
      <c r="BO640" s="17" t="n">
        <v>0</v>
      </c>
      <c r="BP640" s="17" t="n">
        <v>0</v>
      </c>
      <c r="BQ640" s="17" t="n">
        <v>23</v>
      </c>
      <c r="BR640" s="17" t="n">
        <v>0</v>
      </c>
      <c r="BS640" s="17" t="n">
        <v>0</v>
      </c>
      <c r="BT640" s="18" t="n">
        <v>0</v>
      </c>
      <c r="BU640" s="17" t="inlineStr">
        <is>
          <t>Generic Drug</t>
        </is>
      </c>
    </row>
    <row r="641" ht="20" customHeight="1">
      <c r="A641" s="15" t="inlineStr">
        <is>
          <t>47781026305</t>
        </is>
      </c>
      <c r="B641" s="15" t="inlineStr">
        <is>
          <t>OXYCODONE HCL 5 MG TABLET</t>
        </is>
      </c>
      <c r="C641" s="16" t="n">
        <v>500</v>
      </c>
      <c r="D641" s="16" t="n">
        <v>0</v>
      </c>
      <c r="E641" s="16" t="n">
        <v>0</v>
      </c>
      <c r="F641" s="16" t="n">
        <v>0</v>
      </c>
      <c r="G641" s="16" t="n">
        <v>32</v>
      </c>
      <c r="H641" s="17" t="n">
        <v>0</v>
      </c>
      <c r="I641" s="17" t="n">
        <v>0</v>
      </c>
      <c r="J641" s="17" t="n">
        <v>5</v>
      </c>
      <c r="K641" s="17" t="n">
        <v>12</v>
      </c>
      <c r="L641" s="17" t="n">
        <v>0</v>
      </c>
      <c r="M641" s="17" t="n">
        <v>5</v>
      </c>
      <c r="N641" s="17" t="n">
        <v>10</v>
      </c>
      <c r="O641" s="17" t="n">
        <v>0</v>
      </c>
      <c r="P641" s="17" t="n">
        <v>0</v>
      </c>
      <c r="Q641" s="18" t="n">
        <v>0</v>
      </c>
      <c r="R641" s="16" t="n">
        <v>0.064</v>
      </c>
      <c r="S641" s="17" t="n">
        <v>0</v>
      </c>
      <c r="T641" s="17" t="n">
        <v>0</v>
      </c>
      <c r="U641" s="17" t="n">
        <v>0.01</v>
      </c>
      <c r="V641" s="17" t="n">
        <v>0.024</v>
      </c>
      <c r="W641" s="17" t="n">
        <v>0</v>
      </c>
      <c r="X641" s="17" t="n">
        <v>0.01</v>
      </c>
      <c r="Y641" s="17" t="n">
        <v>0.02</v>
      </c>
      <c r="Z641" s="17" t="n">
        <v>0</v>
      </c>
      <c r="AA641" s="17" t="n">
        <v>0</v>
      </c>
      <c r="AB641" s="18" t="n">
        <v>0</v>
      </c>
      <c r="AC641" s="16" t="n">
        <v>-0.064</v>
      </c>
      <c r="AD641" s="17" t="n">
        <v>0</v>
      </c>
      <c r="AE641" s="17" t="n">
        <v>0</v>
      </c>
      <c r="AF641" s="17" t="n">
        <v>-0.01</v>
      </c>
      <c r="AG641" s="17" t="n">
        <v>-0.024</v>
      </c>
      <c r="AH641" s="17" t="n">
        <v>0</v>
      </c>
      <c r="AI641" s="17" t="n">
        <v>-0.01</v>
      </c>
      <c r="AJ641" s="17" t="n">
        <v>-0.02</v>
      </c>
      <c r="AK641" s="17" t="n">
        <v>0</v>
      </c>
      <c r="AL641" s="17" t="n">
        <v>0</v>
      </c>
      <c r="AM641" s="18" t="n">
        <v>0</v>
      </c>
      <c r="AN641" s="16" t="n">
        <v>23</v>
      </c>
      <c r="AO641" s="17" t="n">
        <v>0</v>
      </c>
      <c r="AP641" s="17" t="n">
        <v>0</v>
      </c>
      <c r="AQ641" s="17" t="n">
        <v>0</v>
      </c>
      <c r="AR641" s="17" t="n">
        <v>0</v>
      </c>
      <c r="AS641" s="17" t="n">
        <v>0</v>
      </c>
      <c r="AT641" s="17" t="n">
        <v>1</v>
      </c>
      <c r="AU641" s="17" t="n">
        <v>21</v>
      </c>
      <c r="AV641" s="17" t="n">
        <v>0</v>
      </c>
      <c r="AW641" s="17" t="n">
        <v>0</v>
      </c>
      <c r="AX641" s="18" t="n">
        <v>0</v>
      </c>
      <c r="AY641" s="16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8" t="n">
        <v>0</v>
      </c>
      <c r="BJ641" s="16" t="n">
        <v>23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1</v>
      </c>
      <c r="BQ641" s="17" t="n">
        <v>21</v>
      </c>
      <c r="BR641" s="17" t="n">
        <v>0</v>
      </c>
      <c r="BS641" s="17" t="n">
        <v>0</v>
      </c>
      <c r="BT641" s="18" t="n">
        <v>0</v>
      </c>
      <c r="BU641" s="17" t="inlineStr">
        <is>
          <t>Unclassified</t>
        </is>
      </c>
    </row>
    <row r="642" ht="20" customHeight="1">
      <c r="A642" s="15" t="inlineStr">
        <is>
          <t>47781023001</t>
        </is>
      </c>
      <c r="B642" s="15" t="inlineStr">
        <is>
          <t>OXYCODONE-ACETAMINOPHEN 10-325MG TABLET</t>
        </is>
      </c>
      <c r="C642" s="16" t="n">
        <v>100</v>
      </c>
      <c r="D642" s="16" t="n">
        <v>8</v>
      </c>
      <c r="E642" s="16" t="n">
        <v>8</v>
      </c>
      <c r="F642" s="16" t="n">
        <v>26</v>
      </c>
      <c r="G642" s="16" t="n">
        <v>967</v>
      </c>
      <c r="H642" s="17" t="n">
        <v>0</v>
      </c>
      <c r="I642" s="17" t="n">
        <v>0</v>
      </c>
      <c r="J642" s="17" t="n">
        <v>330</v>
      </c>
      <c r="K642" s="17" t="n">
        <v>150</v>
      </c>
      <c r="L642" s="17" t="n">
        <v>0</v>
      </c>
      <c r="M642" s="17" t="n">
        <v>90</v>
      </c>
      <c r="N642" s="17" t="n">
        <v>397</v>
      </c>
      <c r="O642" s="17" t="n">
        <v>0</v>
      </c>
      <c r="P642" s="17" t="n">
        <v>0</v>
      </c>
      <c r="Q642" s="18" t="n">
        <v>0</v>
      </c>
      <c r="R642" s="16" t="n">
        <v>9.67</v>
      </c>
      <c r="S642" s="17" t="n">
        <v>0</v>
      </c>
      <c r="T642" s="17" t="n">
        <v>0</v>
      </c>
      <c r="U642" s="17" t="n">
        <v>3.3</v>
      </c>
      <c r="V642" s="17" t="n">
        <v>1.5</v>
      </c>
      <c r="W642" s="17" t="n">
        <v>0</v>
      </c>
      <c r="X642" s="17" t="n">
        <v>0.9</v>
      </c>
      <c r="Y642" s="17" t="n">
        <v>3.97</v>
      </c>
      <c r="Z642" s="17" t="n">
        <v>0</v>
      </c>
      <c r="AA642" s="17" t="n">
        <v>0</v>
      </c>
      <c r="AB642" s="18" t="n">
        <v>0</v>
      </c>
      <c r="AC642" s="16" t="n">
        <v>-1.67</v>
      </c>
      <c r="AD642" s="17" t="n">
        <v>8</v>
      </c>
      <c r="AE642" s="17" t="n">
        <v>8</v>
      </c>
      <c r="AF642" s="17" t="n">
        <v>4.7</v>
      </c>
      <c r="AG642" s="17" t="n">
        <v>6.5</v>
      </c>
      <c r="AH642" s="17" t="n">
        <v>8</v>
      </c>
      <c r="AI642" s="17" t="n">
        <v>7.1</v>
      </c>
      <c r="AJ642" s="17" t="n">
        <v>4.03</v>
      </c>
      <c r="AK642" s="17" t="n">
        <v>8</v>
      </c>
      <c r="AL642" s="17" t="n">
        <v>8</v>
      </c>
      <c r="AM642" s="18" t="n">
        <v>8</v>
      </c>
      <c r="AN642" s="16" t="n">
        <v>193</v>
      </c>
      <c r="AO642" s="17" t="n">
        <v>0</v>
      </c>
      <c r="AP642" s="17" t="n">
        <v>0</v>
      </c>
      <c r="AQ642" s="17" t="n">
        <v>34</v>
      </c>
      <c r="AR642" s="17" t="n">
        <v>22</v>
      </c>
      <c r="AS642" s="17" t="n">
        <v>0</v>
      </c>
      <c r="AT642" s="17" t="n">
        <v>23</v>
      </c>
      <c r="AU642" s="17" t="n">
        <v>106</v>
      </c>
      <c r="AV642" s="17" t="n">
        <v>0</v>
      </c>
      <c r="AW642" s="17" t="n">
        <v>0</v>
      </c>
      <c r="AX642" s="18" t="n">
        <v>0</v>
      </c>
      <c r="AY642" s="16" t="n">
        <v>251</v>
      </c>
      <c r="AZ642" s="17" t="n">
        <v>0</v>
      </c>
      <c r="BA642" s="17" t="n">
        <v>0</v>
      </c>
      <c r="BB642" s="17" t="n">
        <v>86</v>
      </c>
      <c r="BC642" s="17" t="n">
        <v>39</v>
      </c>
      <c r="BD642" s="17" t="n">
        <v>0</v>
      </c>
      <c r="BE642" s="17" t="n">
        <v>23</v>
      </c>
      <c r="BF642" s="17" t="n">
        <v>103</v>
      </c>
      <c r="BG642" s="17" t="n">
        <v>0</v>
      </c>
      <c r="BH642" s="17" t="n">
        <v>0</v>
      </c>
      <c r="BI642" s="18" t="n">
        <v>0</v>
      </c>
      <c r="BJ642" s="16" t="n">
        <v>-58</v>
      </c>
      <c r="BK642" s="17" t="n">
        <v>0</v>
      </c>
      <c r="BL642" s="17" t="n">
        <v>0</v>
      </c>
      <c r="BM642" s="17" t="n">
        <v>-52</v>
      </c>
      <c r="BN642" s="17" t="n">
        <v>-17</v>
      </c>
      <c r="BO642" s="17" t="n">
        <v>0</v>
      </c>
      <c r="BP642" s="17" t="n">
        <v>-1</v>
      </c>
      <c r="BQ642" s="17" t="n">
        <v>3</v>
      </c>
      <c r="BR642" s="17" t="n">
        <v>0</v>
      </c>
      <c r="BS642" s="17" t="n">
        <v>0</v>
      </c>
      <c r="BT642" s="18" t="n">
        <v>0</v>
      </c>
      <c r="BU642" s="17" t="inlineStr">
        <is>
          <t>Generic Drug</t>
        </is>
      </c>
    </row>
    <row r="643" ht="20" customHeight="1">
      <c r="A643" s="15" t="inlineStr">
        <is>
          <t>47781019601</t>
        </is>
      </c>
      <c r="B643" s="15" t="inlineStr">
        <is>
          <t>OXYCODONE-ACETAMINOPHEN 5-325 MG ORAL TABLET</t>
        </is>
      </c>
      <c r="C643" s="16" t="n">
        <v>100</v>
      </c>
      <c r="D643" s="16" t="n">
        <v>0</v>
      </c>
      <c r="E643" s="16" t="n">
        <v>0</v>
      </c>
      <c r="F643" s="16" t="n">
        <v>0</v>
      </c>
      <c r="G643" s="16" t="n">
        <v>225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120</v>
      </c>
      <c r="N643" s="17" t="n">
        <v>0</v>
      </c>
      <c r="O643" s="17" t="n">
        <v>15</v>
      </c>
      <c r="P643" s="17" t="n">
        <v>0</v>
      </c>
      <c r="Q643" s="18" t="n">
        <v>0</v>
      </c>
      <c r="R643" s="16" t="n">
        <v>2.25</v>
      </c>
      <c r="S643" s="17" t="n">
        <v>0</v>
      </c>
      <c r="T643" s="17" t="n">
        <v>0</v>
      </c>
      <c r="U643" s="17" t="n">
        <v>0.9</v>
      </c>
      <c r="V643" s="17" t="n">
        <v>0</v>
      </c>
      <c r="W643" s="17" t="n">
        <v>0</v>
      </c>
      <c r="X643" s="17" t="n">
        <v>1.2</v>
      </c>
      <c r="Y643" s="17" t="n">
        <v>0</v>
      </c>
      <c r="Z643" s="17" t="n">
        <v>0.15</v>
      </c>
      <c r="AA643" s="17" t="n">
        <v>0</v>
      </c>
      <c r="AB643" s="18" t="n">
        <v>0</v>
      </c>
      <c r="AC643" s="16" t="n">
        <v>-2.25</v>
      </c>
      <c r="AD643" s="17" t="n">
        <v>0</v>
      </c>
      <c r="AE643" s="17" t="n">
        <v>0</v>
      </c>
      <c r="AF643" s="17" t="n">
        <v>-0.9</v>
      </c>
      <c r="AG643" s="17" t="n">
        <v>0</v>
      </c>
      <c r="AH643" s="17" t="n">
        <v>0</v>
      </c>
      <c r="AI643" s="17" t="n">
        <v>-1.2</v>
      </c>
      <c r="AJ643" s="17" t="n">
        <v>0</v>
      </c>
      <c r="AK643" s="17" t="n">
        <v>-0.15</v>
      </c>
      <c r="AL643" s="17" t="n">
        <v>0</v>
      </c>
      <c r="AM643" s="18" t="n">
        <v>0</v>
      </c>
      <c r="AN643" s="16" t="n">
        <v>36</v>
      </c>
      <c r="AO643" s="17" t="n">
        <v>0</v>
      </c>
      <c r="AP643" s="17" t="n">
        <v>0</v>
      </c>
      <c r="AQ643" s="17" t="n">
        <v>5</v>
      </c>
      <c r="AR643" s="17" t="n">
        <v>0</v>
      </c>
      <c r="AS643" s="17" t="n">
        <v>0</v>
      </c>
      <c r="AT643" s="17" t="n">
        <v>24</v>
      </c>
      <c r="AU643" s="17" t="n">
        <v>0</v>
      </c>
      <c r="AV643" s="17" t="n">
        <v>0</v>
      </c>
      <c r="AW643" s="17" t="n">
        <v>0</v>
      </c>
      <c r="AX643" s="18" t="n">
        <v>0</v>
      </c>
      <c r="AY643" s="16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8" t="n">
        <v>0</v>
      </c>
      <c r="BJ643" s="16" t="n">
        <v>36</v>
      </c>
      <c r="BK643" s="17" t="n">
        <v>0</v>
      </c>
      <c r="BL643" s="17" t="n">
        <v>0</v>
      </c>
      <c r="BM643" s="17" t="n">
        <v>5</v>
      </c>
      <c r="BN643" s="17" t="n">
        <v>0</v>
      </c>
      <c r="BO643" s="17" t="n">
        <v>0</v>
      </c>
      <c r="BP643" s="17" t="n">
        <v>24</v>
      </c>
      <c r="BQ643" s="17" t="n">
        <v>0</v>
      </c>
      <c r="BR643" s="17" t="n">
        <v>0</v>
      </c>
      <c r="BS643" s="17" t="n">
        <v>0</v>
      </c>
      <c r="BT643" s="18" t="n">
        <v>0</v>
      </c>
      <c r="BU643" s="17" t="inlineStr">
        <is>
          <t>Unclassified</t>
        </is>
      </c>
    </row>
    <row r="644" ht="20" customHeight="1">
      <c r="A644" s="15" t="inlineStr">
        <is>
          <t>47781023005</t>
        </is>
      </c>
      <c r="B644" s="15" t="inlineStr">
        <is>
          <t>OXYCODONE-APAP 10-325MG TABLET</t>
        </is>
      </c>
      <c r="C644" s="16" t="n">
        <v>500</v>
      </c>
      <c r="D644" s="16" t="n">
        <v>4</v>
      </c>
      <c r="E644" s="16" t="n">
        <v>4</v>
      </c>
      <c r="F644" s="16" t="n">
        <v>113</v>
      </c>
      <c r="G644" s="16" t="n">
        <v>2192</v>
      </c>
      <c r="H644" s="17" t="n">
        <v>0</v>
      </c>
      <c r="I644" s="17" t="n">
        <v>0</v>
      </c>
      <c r="J644" s="17" t="n">
        <v>685</v>
      </c>
      <c r="K644" s="17" t="n">
        <v>480</v>
      </c>
      <c r="L644" s="17" t="n">
        <v>0</v>
      </c>
      <c r="M644" s="17" t="n">
        <v>270</v>
      </c>
      <c r="N644" s="17" t="n">
        <v>667</v>
      </c>
      <c r="O644" s="17" t="n">
        <v>90</v>
      </c>
      <c r="P644" s="17" t="n">
        <v>0</v>
      </c>
      <c r="Q644" s="18" t="n">
        <v>0</v>
      </c>
      <c r="R644" s="16" t="n">
        <v>4.384</v>
      </c>
      <c r="S644" s="17" t="n">
        <v>0</v>
      </c>
      <c r="T644" s="17" t="n">
        <v>0</v>
      </c>
      <c r="U644" s="17" t="n">
        <v>1.37</v>
      </c>
      <c r="V644" s="17" t="n">
        <v>0.96</v>
      </c>
      <c r="W644" s="17" t="n">
        <v>0</v>
      </c>
      <c r="X644" s="17" t="n">
        <v>0.54</v>
      </c>
      <c r="Y644" s="17" t="n">
        <v>1.334</v>
      </c>
      <c r="Z644" s="17" t="n">
        <v>0.18</v>
      </c>
      <c r="AA644" s="17" t="n">
        <v>0</v>
      </c>
      <c r="AB644" s="18" t="n">
        <v>0</v>
      </c>
      <c r="AC644" s="16" t="n">
        <v>-0.384</v>
      </c>
      <c r="AD644" s="17" t="n">
        <v>4</v>
      </c>
      <c r="AE644" s="17" t="n">
        <v>4</v>
      </c>
      <c r="AF644" s="17" t="n">
        <v>2.63</v>
      </c>
      <c r="AG644" s="17" t="n">
        <v>3.04</v>
      </c>
      <c r="AH644" s="17" t="n">
        <v>4</v>
      </c>
      <c r="AI644" s="17" t="n">
        <v>3.46</v>
      </c>
      <c r="AJ644" s="17" t="n">
        <v>2.666</v>
      </c>
      <c r="AK644" s="17" t="n">
        <v>3.82</v>
      </c>
      <c r="AL644" s="17" t="n">
        <v>4</v>
      </c>
      <c r="AM644" s="18" t="n">
        <v>4</v>
      </c>
      <c r="AN644" s="16" t="n">
        <v>424</v>
      </c>
      <c r="AO644" s="17" t="n">
        <v>0</v>
      </c>
      <c r="AP644" s="17" t="n">
        <v>0</v>
      </c>
      <c r="AQ644" s="17" t="n">
        <v>61</v>
      </c>
      <c r="AR644" s="17" t="n">
        <v>74</v>
      </c>
      <c r="AS644" s="17" t="n">
        <v>0</v>
      </c>
      <c r="AT644" s="17" t="n">
        <v>68</v>
      </c>
      <c r="AU644" s="17" t="n">
        <v>165</v>
      </c>
      <c r="AV644" s="17" t="n">
        <v>23</v>
      </c>
      <c r="AW644" s="17" t="n">
        <v>0</v>
      </c>
      <c r="AX644" s="18" t="n">
        <v>0</v>
      </c>
      <c r="AY644" s="16" t="n">
        <v>495</v>
      </c>
      <c r="AZ644" s="17" t="n">
        <v>0</v>
      </c>
      <c r="BA644" s="17" t="n">
        <v>0</v>
      </c>
      <c r="BB644" s="17" t="n">
        <v>155</v>
      </c>
      <c r="BC644" s="17" t="n">
        <v>108</v>
      </c>
      <c r="BD644" s="17" t="n">
        <v>0</v>
      </c>
      <c r="BE644" s="17" t="n">
        <v>61</v>
      </c>
      <c r="BF644" s="17" t="n">
        <v>151</v>
      </c>
      <c r="BG644" s="17" t="n">
        <v>20</v>
      </c>
      <c r="BH644" s="17" t="n">
        <v>0</v>
      </c>
      <c r="BI644" s="18" t="n">
        <v>0</v>
      </c>
      <c r="BJ644" s="16" t="n">
        <v>-71</v>
      </c>
      <c r="BK644" s="17" t="n">
        <v>0</v>
      </c>
      <c r="BL644" s="17" t="n">
        <v>0</v>
      </c>
      <c r="BM644" s="17" t="n">
        <v>-94</v>
      </c>
      <c r="BN644" s="17" t="n">
        <v>-35</v>
      </c>
      <c r="BO644" s="17" t="n">
        <v>0</v>
      </c>
      <c r="BP644" s="17" t="n">
        <v>7</v>
      </c>
      <c r="BQ644" s="17" t="n">
        <v>14</v>
      </c>
      <c r="BR644" s="17" t="n">
        <v>3</v>
      </c>
      <c r="BS644" s="17" t="n">
        <v>0</v>
      </c>
      <c r="BT644" s="18" t="n">
        <v>0</v>
      </c>
      <c r="BU644" s="17" t="inlineStr">
        <is>
          <t>Generic Drug</t>
        </is>
      </c>
    </row>
    <row r="645" ht="20" customHeight="1">
      <c r="A645" s="15" t="inlineStr">
        <is>
          <t>00904546072</t>
        </is>
      </c>
      <c r="B645" s="15" t="inlineStr">
        <is>
          <t>OYSTER SHELL CALCIUM W/D 500-5 MG-MCG ORAL TABLET</t>
        </is>
      </c>
      <c r="C645" s="16" t="n">
        <v>300</v>
      </c>
      <c r="D645" s="16" t="n">
        <v>0</v>
      </c>
      <c r="E645" s="16" t="n">
        <v>0</v>
      </c>
      <c r="F645" s="16" t="n">
        <v>0</v>
      </c>
      <c r="G645" s="16" t="n">
        <v>0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100</v>
      </c>
      <c r="O645" s="17" t="n">
        <v>0</v>
      </c>
      <c r="P645" s="17" t="n">
        <v>0</v>
      </c>
      <c r="Q645" s="18" t="n">
        <v>0</v>
      </c>
      <c r="R645" s="16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0.333</v>
      </c>
      <c r="Z645" s="17" t="n">
        <v>0</v>
      </c>
      <c r="AA645" s="17" t="n">
        <v>0</v>
      </c>
      <c r="AB645" s="18" t="n">
        <v>0</v>
      </c>
      <c r="AC645" s="16" t="n">
        <v>0</v>
      </c>
      <c r="AD645" s="17" t="n">
        <v>0</v>
      </c>
      <c r="AE645" s="17" t="n">
        <v>0</v>
      </c>
      <c r="AF645" s="17" t="n">
        <v>0</v>
      </c>
      <c r="AG645" s="17" t="n">
        <v>0</v>
      </c>
      <c r="AH645" s="17" t="n">
        <v>0</v>
      </c>
      <c r="AI645" s="17" t="n">
        <v>0</v>
      </c>
      <c r="AJ645" s="17" t="n">
        <v>-0.333</v>
      </c>
      <c r="AK645" s="17" t="n">
        <v>0</v>
      </c>
      <c r="AL645" s="17" t="n">
        <v>0</v>
      </c>
      <c r="AM645" s="18" t="n">
        <v>0</v>
      </c>
      <c r="AN645" s="16" t="n">
        <v>0</v>
      </c>
      <c r="AO645" s="17" t="n">
        <v>0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2</v>
      </c>
      <c r="AV645" s="17" t="n">
        <v>0</v>
      </c>
      <c r="AW645" s="17" t="n">
        <v>0</v>
      </c>
      <c r="AX645" s="18" t="n">
        <v>0</v>
      </c>
      <c r="AY645" s="16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8" t="n">
        <v>0</v>
      </c>
      <c r="BJ645" s="16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2</v>
      </c>
      <c r="BR645" s="17" t="n">
        <v>0</v>
      </c>
      <c r="BS645" s="17" t="n">
        <v>0</v>
      </c>
      <c r="BT645" s="18" t="n">
        <v>0</v>
      </c>
      <c r="BU645" s="17" t="inlineStr">
        <is>
          <t>Unclassified</t>
        </is>
      </c>
    </row>
    <row r="646" ht="20" customHeight="1">
      <c r="A646" s="15" t="inlineStr">
        <is>
          <t>00904546080</t>
        </is>
      </c>
      <c r="B646" s="15" t="inlineStr">
        <is>
          <t>OYSTER SHELL CALCIUM/D TABLET</t>
        </is>
      </c>
      <c r="C646" s="16" t="n">
        <v>1000</v>
      </c>
      <c r="D646" s="16" t="n">
        <v>0</v>
      </c>
      <c r="E646" s="16" t="n">
        <v>0</v>
      </c>
      <c r="F646" s="16" t="n">
        <v>0</v>
      </c>
      <c r="G646" s="16" t="n">
        <v>0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450</v>
      </c>
      <c r="O646" s="17" t="n">
        <v>0</v>
      </c>
      <c r="P646" s="17" t="n">
        <v>0</v>
      </c>
      <c r="Q646" s="18" t="n">
        <v>0</v>
      </c>
      <c r="R646" s="16" t="n">
        <v>0</v>
      </c>
      <c r="S646" s="17" t="n">
        <v>0</v>
      </c>
      <c r="T646" s="17" t="n">
        <v>0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0.45</v>
      </c>
      <c r="Z646" s="17" t="n">
        <v>0</v>
      </c>
      <c r="AA646" s="17" t="n">
        <v>0</v>
      </c>
      <c r="AB646" s="18" t="n">
        <v>0</v>
      </c>
      <c r="AC646" s="16" t="n">
        <v>0</v>
      </c>
      <c r="AD646" s="17" t="n">
        <v>0</v>
      </c>
      <c r="AE646" s="17" t="n">
        <v>0</v>
      </c>
      <c r="AF646" s="17" t="n">
        <v>0</v>
      </c>
      <c r="AG646" s="17" t="n">
        <v>0</v>
      </c>
      <c r="AH646" s="17" t="n">
        <v>0</v>
      </c>
      <c r="AI646" s="17" t="n">
        <v>0</v>
      </c>
      <c r="AJ646" s="17" t="n">
        <v>-0.45</v>
      </c>
      <c r="AK646" s="17" t="n">
        <v>0</v>
      </c>
      <c r="AL646" s="17" t="n">
        <v>0</v>
      </c>
      <c r="AM646" s="18" t="n">
        <v>0</v>
      </c>
      <c r="AN646" s="16" t="n">
        <v>0</v>
      </c>
      <c r="AO646" s="17" t="n">
        <v>0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11</v>
      </c>
      <c r="AV646" s="17" t="n">
        <v>0</v>
      </c>
      <c r="AW646" s="17" t="n">
        <v>0</v>
      </c>
      <c r="AX646" s="18" t="n">
        <v>0</v>
      </c>
      <c r="AY646" s="16" t="n">
        <v>0</v>
      </c>
      <c r="AZ646" s="17" t="n">
        <v>0</v>
      </c>
      <c r="BA646" s="17" t="n">
        <v>0</v>
      </c>
      <c r="BB646" s="17" t="n">
        <v>0</v>
      </c>
      <c r="BC646" s="17" t="n">
        <v>0</v>
      </c>
      <c r="BD646" s="17" t="n">
        <v>0</v>
      </c>
      <c r="BE646" s="17" t="n">
        <v>0</v>
      </c>
      <c r="BF646" s="17" t="n">
        <v>0</v>
      </c>
      <c r="BG646" s="17" t="n">
        <v>0</v>
      </c>
      <c r="BH646" s="17" t="n">
        <v>0</v>
      </c>
      <c r="BI646" s="18" t="n">
        <v>0</v>
      </c>
      <c r="BJ646" s="16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11</v>
      </c>
      <c r="BR646" s="17" t="n">
        <v>0</v>
      </c>
      <c r="BS646" s="17" t="n">
        <v>0</v>
      </c>
      <c r="BT646" s="18" t="n">
        <v>0</v>
      </c>
      <c r="BU646" s="17" t="inlineStr">
        <is>
          <t>Unclassified</t>
        </is>
      </c>
    </row>
    <row r="647" ht="20" customHeight="1">
      <c r="A647" s="15" t="inlineStr">
        <is>
          <t>00169418113</t>
        </is>
      </c>
      <c r="B647" s="15" t="inlineStr">
        <is>
          <t>OZEMPIC (0.25 OR 0.5 MG/DOSE) 2 MG/3ML PEN-INJECTOR</t>
        </is>
      </c>
      <c r="C647" s="16" t="n">
        <v>3</v>
      </c>
      <c r="D647" s="16" t="n">
        <v>26</v>
      </c>
      <c r="E647" s="16" t="n">
        <v>26</v>
      </c>
      <c r="F647" s="16" t="n">
        <v>999</v>
      </c>
      <c r="G647" s="16" t="n">
        <v>105</v>
      </c>
      <c r="H647" s="17" t="n">
        <v>0</v>
      </c>
      <c r="I647" s="17" t="n">
        <v>0</v>
      </c>
      <c r="J647" s="17" t="n">
        <v>66</v>
      </c>
      <c r="K647" s="17" t="n">
        <v>6</v>
      </c>
      <c r="L647" s="17" t="n">
        <v>0</v>
      </c>
      <c r="M647" s="17" t="n">
        <v>6</v>
      </c>
      <c r="N647" s="17" t="n">
        <v>24</v>
      </c>
      <c r="O647" s="17" t="n">
        <v>0</v>
      </c>
      <c r="P647" s="17" t="n">
        <v>3</v>
      </c>
      <c r="Q647" s="18" t="n">
        <v>0</v>
      </c>
      <c r="R647" s="16" t="n">
        <v>35</v>
      </c>
      <c r="S647" s="17" t="n">
        <v>0</v>
      </c>
      <c r="T647" s="17" t="n">
        <v>0</v>
      </c>
      <c r="U647" s="17" t="n">
        <v>22</v>
      </c>
      <c r="V647" s="17" t="n">
        <v>2</v>
      </c>
      <c r="W647" s="17" t="n">
        <v>0</v>
      </c>
      <c r="X647" s="17" t="n">
        <v>2</v>
      </c>
      <c r="Y647" s="17" t="n">
        <v>8</v>
      </c>
      <c r="Z647" s="17" t="n">
        <v>0</v>
      </c>
      <c r="AA647" s="17" t="n">
        <v>1</v>
      </c>
      <c r="AB647" s="18" t="n">
        <v>0</v>
      </c>
      <c r="AC647" s="16" t="n">
        <v>-9</v>
      </c>
      <c r="AD647" s="17" t="n">
        <v>26</v>
      </c>
      <c r="AE647" s="17" t="n">
        <v>26</v>
      </c>
      <c r="AF647" s="17" t="n">
        <v>4</v>
      </c>
      <c r="AG647" s="17" t="n">
        <v>24</v>
      </c>
      <c r="AH647" s="17" t="n">
        <v>26</v>
      </c>
      <c r="AI647" s="17" t="n">
        <v>24</v>
      </c>
      <c r="AJ647" s="17" t="n">
        <v>18</v>
      </c>
      <c r="AK647" s="17" t="n">
        <v>26</v>
      </c>
      <c r="AL647" s="17" t="n">
        <v>25</v>
      </c>
      <c r="AM647" s="18" t="n">
        <v>26</v>
      </c>
      <c r="AN647" s="16" t="n">
        <v>34079</v>
      </c>
      <c r="AO647" s="17" t="n">
        <v>0</v>
      </c>
      <c r="AP647" s="17" t="n">
        <v>0</v>
      </c>
      <c r="AQ647" s="17" t="n">
        <v>21255</v>
      </c>
      <c r="AR647" s="17" t="n">
        <v>1845</v>
      </c>
      <c r="AS647" s="17" t="n">
        <v>0</v>
      </c>
      <c r="AT647" s="17" t="n">
        <v>1944</v>
      </c>
      <c r="AU647" s="17" t="n">
        <v>8048</v>
      </c>
      <c r="AV647" s="17" t="n">
        <v>0</v>
      </c>
      <c r="AW647" s="17" t="n">
        <v>904</v>
      </c>
      <c r="AX647" s="18" t="n">
        <v>0</v>
      </c>
      <c r="AY647" s="16" t="n">
        <v>34965</v>
      </c>
      <c r="AZ647" s="17" t="n">
        <v>0</v>
      </c>
      <c r="BA647" s="17" t="n">
        <v>0</v>
      </c>
      <c r="BB647" s="17" t="n">
        <v>21978</v>
      </c>
      <c r="BC647" s="17" t="n">
        <v>1998</v>
      </c>
      <c r="BD647" s="17" t="n">
        <v>0</v>
      </c>
      <c r="BE647" s="17" t="n">
        <v>1998</v>
      </c>
      <c r="BF647" s="17" t="n">
        <v>7992</v>
      </c>
      <c r="BG647" s="17" t="n">
        <v>0</v>
      </c>
      <c r="BH647" s="17" t="n">
        <v>999</v>
      </c>
      <c r="BI647" s="18" t="n">
        <v>0</v>
      </c>
      <c r="BJ647" s="16" t="n">
        <v>-886</v>
      </c>
      <c r="BK647" s="17" t="n">
        <v>0</v>
      </c>
      <c r="BL647" s="17" t="n">
        <v>0</v>
      </c>
      <c r="BM647" s="17" t="n">
        <v>-723</v>
      </c>
      <c r="BN647" s="17" t="n">
        <v>-153</v>
      </c>
      <c r="BO647" s="17" t="n">
        <v>0</v>
      </c>
      <c r="BP647" s="17" t="n">
        <v>-54</v>
      </c>
      <c r="BQ647" s="17" t="n">
        <v>56</v>
      </c>
      <c r="BR647" s="17" t="n">
        <v>0</v>
      </c>
      <c r="BS647" s="17" t="n">
        <v>-95</v>
      </c>
      <c r="BT647" s="18" t="n">
        <v>0</v>
      </c>
      <c r="BU647" s="17" t="inlineStr">
        <is>
          <t>Branded Drug</t>
        </is>
      </c>
    </row>
    <row r="648" ht="20" customHeight="1">
      <c r="A648" s="15" t="inlineStr">
        <is>
          <t>00169413013</t>
        </is>
      </c>
      <c r="B648" s="15" t="inlineStr">
        <is>
          <t>OZEMPIC (1 MG/DOSE) 4MG/3ML INJECTION</t>
        </is>
      </c>
      <c r="C648" s="16" t="n">
        <v>3</v>
      </c>
      <c r="D648" s="16" t="n">
        <v>22</v>
      </c>
      <c r="E648" s="16" t="n">
        <v>22</v>
      </c>
      <c r="F648" s="16" t="n">
        <v>999</v>
      </c>
      <c r="G648" s="16" t="n">
        <v>75</v>
      </c>
      <c r="H648" s="17" t="n">
        <v>0</v>
      </c>
      <c r="I648" s="17" t="n">
        <v>0</v>
      </c>
      <c r="J648" s="17" t="n">
        <v>60</v>
      </c>
      <c r="K648" s="17" t="n">
        <v>0</v>
      </c>
      <c r="L648" s="17" t="n">
        <v>0</v>
      </c>
      <c r="M648" s="17" t="n">
        <v>3</v>
      </c>
      <c r="N648" s="17" t="n">
        <v>12</v>
      </c>
      <c r="O648" s="17" t="n">
        <v>0</v>
      </c>
      <c r="P648" s="17" t="n">
        <v>0</v>
      </c>
      <c r="Q648" s="18" t="n">
        <v>0</v>
      </c>
      <c r="R648" s="16" t="n">
        <v>25</v>
      </c>
      <c r="S648" s="17" t="n">
        <v>0</v>
      </c>
      <c r="T648" s="17" t="n">
        <v>0</v>
      </c>
      <c r="U648" s="17" t="n">
        <v>20</v>
      </c>
      <c r="V648" s="17" t="n">
        <v>0</v>
      </c>
      <c r="W648" s="17" t="n">
        <v>0</v>
      </c>
      <c r="X648" s="17" t="n">
        <v>1</v>
      </c>
      <c r="Y648" s="17" t="n">
        <v>4</v>
      </c>
      <c r="Z648" s="17" t="n">
        <v>0</v>
      </c>
      <c r="AA648" s="17" t="n">
        <v>0</v>
      </c>
      <c r="AB648" s="18" t="n">
        <v>0</v>
      </c>
      <c r="AC648" s="16" t="n">
        <v>-3</v>
      </c>
      <c r="AD648" s="17" t="n">
        <v>22</v>
      </c>
      <c r="AE648" s="17" t="n">
        <v>22</v>
      </c>
      <c r="AF648" s="17" t="n">
        <v>2</v>
      </c>
      <c r="AG648" s="17" t="n">
        <v>22</v>
      </c>
      <c r="AH648" s="17" t="n">
        <v>22</v>
      </c>
      <c r="AI648" s="17" t="n">
        <v>21</v>
      </c>
      <c r="AJ648" s="17" t="n">
        <v>18</v>
      </c>
      <c r="AK648" s="17" t="n">
        <v>22</v>
      </c>
      <c r="AL648" s="17" t="n">
        <v>22</v>
      </c>
      <c r="AM648" s="18" t="n">
        <v>22</v>
      </c>
      <c r="AN648" s="16" t="n">
        <v>24423</v>
      </c>
      <c r="AO648" s="17" t="n">
        <v>0</v>
      </c>
      <c r="AP648" s="17" t="n">
        <v>0</v>
      </c>
      <c r="AQ648" s="17" t="n">
        <v>19327</v>
      </c>
      <c r="AR648" s="17" t="n">
        <v>0</v>
      </c>
      <c r="AS648" s="17" t="n">
        <v>0</v>
      </c>
      <c r="AT648" s="17" t="n">
        <v>969</v>
      </c>
      <c r="AU648" s="17" t="n">
        <v>4004</v>
      </c>
      <c r="AV648" s="17" t="n">
        <v>0</v>
      </c>
      <c r="AW648" s="17" t="n">
        <v>0</v>
      </c>
      <c r="AX648" s="18" t="n">
        <v>0</v>
      </c>
      <c r="AY648" s="16" t="n">
        <v>24975</v>
      </c>
      <c r="AZ648" s="17" t="n">
        <v>0</v>
      </c>
      <c r="BA648" s="17" t="n">
        <v>0</v>
      </c>
      <c r="BB648" s="17" t="n">
        <v>19980</v>
      </c>
      <c r="BC648" s="17" t="n">
        <v>0</v>
      </c>
      <c r="BD648" s="17" t="n">
        <v>0</v>
      </c>
      <c r="BE648" s="17" t="n">
        <v>999</v>
      </c>
      <c r="BF648" s="17" t="n">
        <v>3996</v>
      </c>
      <c r="BG648" s="17" t="n">
        <v>0</v>
      </c>
      <c r="BH648" s="17" t="n">
        <v>0</v>
      </c>
      <c r="BI648" s="18" t="n">
        <v>0</v>
      </c>
      <c r="BJ648" s="16" t="n">
        <v>-552</v>
      </c>
      <c r="BK648" s="17" t="n">
        <v>0</v>
      </c>
      <c r="BL648" s="17" t="n">
        <v>0</v>
      </c>
      <c r="BM648" s="17" t="n">
        <v>-653</v>
      </c>
      <c r="BN648" s="17" t="n">
        <v>0</v>
      </c>
      <c r="BO648" s="17" t="n">
        <v>0</v>
      </c>
      <c r="BP648" s="17" t="n">
        <v>-30</v>
      </c>
      <c r="BQ648" s="17" t="n">
        <v>8</v>
      </c>
      <c r="BR648" s="17" t="n">
        <v>0</v>
      </c>
      <c r="BS648" s="17" t="n">
        <v>0</v>
      </c>
      <c r="BT648" s="18" t="n">
        <v>0</v>
      </c>
      <c r="BU648" s="17" t="inlineStr">
        <is>
          <t>Branded Drug</t>
        </is>
      </c>
    </row>
    <row r="649" ht="20" customHeight="1">
      <c r="A649" s="15" t="inlineStr">
        <is>
          <t>00169477212</t>
        </is>
      </c>
      <c r="B649" s="15" t="inlineStr">
        <is>
          <t>OZEMPIC (2 MG/DOSE) 8 MG/3ML PEN-INJECTOR</t>
        </is>
      </c>
      <c r="C649" s="16" t="n">
        <v>3</v>
      </c>
      <c r="D649" s="16" t="n">
        <v>17</v>
      </c>
      <c r="E649" s="16" t="n">
        <v>17</v>
      </c>
      <c r="F649" s="16" t="n">
        <v>999</v>
      </c>
      <c r="G649" s="16" t="n">
        <v>36</v>
      </c>
      <c r="H649" s="17" t="n">
        <v>0</v>
      </c>
      <c r="I649" s="17" t="n">
        <v>0</v>
      </c>
      <c r="J649" s="17" t="n">
        <v>21</v>
      </c>
      <c r="K649" s="17" t="n">
        <v>6</v>
      </c>
      <c r="L649" s="17" t="n">
        <v>0</v>
      </c>
      <c r="M649" s="17" t="n">
        <v>0</v>
      </c>
      <c r="N649" s="17" t="n">
        <v>9</v>
      </c>
      <c r="O649" s="17" t="n">
        <v>0</v>
      </c>
      <c r="P649" s="17" t="n">
        <v>0</v>
      </c>
      <c r="Q649" s="18" t="n">
        <v>0</v>
      </c>
      <c r="R649" s="16" t="n">
        <v>12</v>
      </c>
      <c r="S649" s="17" t="n">
        <v>0</v>
      </c>
      <c r="T649" s="17" t="n">
        <v>0</v>
      </c>
      <c r="U649" s="17" t="n">
        <v>7</v>
      </c>
      <c r="V649" s="17" t="n">
        <v>2</v>
      </c>
      <c r="W649" s="17" t="n">
        <v>0</v>
      </c>
      <c r="X649" s="17" t="n">
        <v>0</v>
      </c>
      <c r="Y649" s="17" t="n">
        <v>3</v>
      </c>
      <c r="Z649" s="17" t="n">
        <v>0</v>
      </c>
      <c r="AA649" s="17" t="n">
        <v>0</v>
      </c>
      <c r="AB649" s="18" t="n">
        <v>0</v>
      </c>
      <c r="AC649" s="16" t="n">
        <v>5</v>
      </c>
      <c r="AD649" s="17" t="n">
        <v>17</v>
      </c>
      <c r="AE649" s="17" t="n">
        <v>17</v>
      </c>
      <c r="AF649" s="17" t="n">
        <v>10</v>
      </c>
      <c r="AG649" s="17" t="n">
        <v>15</v>
      </c>
      <c r="AH649" s="17" t="n">
        <v>17</v>
      </c>
      <c r="AI649" s="17" t="n">
        <v>17</v>
      </c>
      <c r="AJ649" s="17" t="n">
        <v>14</v>
      </c>
      <c r="AK649" s="17" t="n">
        <v>17</v>
      </c>
      <c r="AL649" s="17" t="n">
        <v>17</v>
      </c>
      <c r="AM649" s="18" t="n">
        <v>17</v>
      </c>
      <c r="AN649" s="16" t="n">
        <v>11668</v>
      </c>
      <c r="AO649" s="17" t="n">
        <v>0</v>
      </c>
      <c r="AP649" s="17" t="n">
        <v>0</v>
      </c>
      <c r="AQ649" s="17" t="n">
        <v>6742</v>
      </c>
      <c r="AR649" s="17" t="n">
        <v>1858</v>
      </c>
      <c r="AS649" s="17" t="n">
        <v>0</v>
      </c>
      <c r="AT649" s="17" t="n">
        <v>0</v>
      </c>
      <c r="AU649" s="17" t="n">
        <v>3018</v>
      </c>
      <c r="AV649" s="17" t="n">
        <v>0</v>
      </c>
      <c r="AW649" s="17" t="n">
        <v>0</v>
      </c>
      <c r="AX649" s="18" t="n">
        <v>0</v>
      </c>
      <c r="AY649" s="16" t="n">
        <v>11988</v>
      </c>
      <c r="AZ649" s="17" t="n">
        <v>0</v>
      </c>
      <c r="BA649" s="17" t="n">
        <v>0</v>
      </c>
      <c r="BB649" s="17" t="n">
        <v>6993</v>
      </c>
      <c r="BC649" s="17" t="n">
        <v>1998</v>
      </c>
      <c r="BD649" s="17" t="n">
        <v>0</v>
      </c>
      <c r="BE649" s="17" t="n">
        <v>0</v>
      </c>
      <c r="BF649" s="17" t="n">
        <v>2997</v>
      </c>
      <c r="BG649" s="17" t="n">
        <v>0</v>
      </c>
      <c r="BH649" s="17" t="n">
        <v>0</v>
      </c>
      <c r="BI649" s="18" t="n">
        <v>0</v>
      </c>
      <c r="BJ649" s="16" t="n">
        <v>-320</v>
      </c>
      <c r="BK649" s="17" t="n">
        <v>0</v>
      </c>
      <c r="BL649" s="17" t="n">
        <v>0</v>
      </c>
      <c r="BM649" s="17" t="n">
        <v>-251</v>
      </c>
      <c r="BN649" s="17" t="n">
        <v>-140</v>
      </c>
      <c r="BO649" s="17" t="n">
        <v>0</v>
      </c>
      <c r="BP649" s="17" t="n">
        <v>0</v>
      </c>
      <c r="BQ649" s="17" t="n">
        <v>21</v>
      </c>
      <c r="BR649" s="17" t="n">
        <v>0</v>
      </c>
      <c r="BS649" s="17" t="n">
        <v>0</v>
      </c>
      <c r="BT649" s="18" t="n">
        <v>0</v>
      </c>
      <c r="BU649" s="17" t="inlineStr">
        <is>
          <t>Branded Drug</t>
        </is>
      </c>
    </row>
    <row r="650" ht="20" customHeight="1">
      <c r="A650" s="15" t="inlineStr">
        <is>
          <t>13668009690</t>
        </is>
      </c>
      <c r="B650" s="15" t="inlineStr">
        <is>
          <t xml:space="preserve">PANTOPRAZOLE 20MG TAB </t>
        </is>
      </c>
      <c r="C650" s="16" t="n">
        <v>90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0</v>
      </c>
      <c r="J650" s="17" t="n">
        <v>60</v>
      </c>
      <c r="K650" s="17" t="n">
        <v>30</v>
      </c>
      <c r="L650" s="17" t="n">
        <v>0</v>
      </c>
      <c r="M650" s="17" t="n">
        <v>0</v>
      </c>
      <c r="N650" s="17" t="n">
        <v>0</v>
      </c>
      <c r="O650" s="17" t="n">
        <v>0</v>
      </c>
      <c r="P650" s="17" t="n">
        <v>0</v>
      </c>
      <c r="Q650" s="18" t="n">
        <v>0</v>
      </c>
      <c r="R650" s="16" t="n">
        <v>1</v>
      </c>
      <c r="S650" s="17" t="n">
        <v>0</v>
      </c>
      <c r="T650" s="17" t="n">
        <v>0</v>
      </c>
      <c r="U650" s="17" t="n">
        <v>0.667</v>
      </c>
      <c r="V650" s="17" t="n">
        <v>0.333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8" t="n">
        <v>0</v>
      </c>
      <c r="AC650" s="16" t="n">
        <v>-1</v>
      </c>
      <c r="AD650" s="17" t="n">
        <v>0</v>
      </c>
      <c r="AE650" s="17" t="n">
        <v>0</v>
      </c>
      <c r="AF650" s="17" t="n">
        <v>-0.667</v>
      </c>
      <c r="AG650" s="17" t="n">
        <v>-0.333</v>
      </c>
      <c r="AH650" s="17" t="n">
        <v>0</v>
      </c>
      <c r="AI650" s="17" t="n">
        <v>0</v>
      </c>
      <c r="AJ650" s="17" t="n">
        <v>0</v>
      </c>
      <c r="AK650" s="17" t="n">
        <v>0</v>
      </c>
      <c r="AL650" s="17" t="n">
        <v>0</v>
      </c>
      <c r="AM650" s="18" t="n">
        <v>0</v>
      </c>
      <c r="AN650" s="16" t="n">
        <v>5</v>
      </c>
      <c r="AO650" s="17" t="n">
        <v>0</v>
      </c>
      <c r="AP650" s="17" t="n">
        <v>0</v>
      </c>
      <c r="AQ650" s="17" t="n">
        <v>4</v>
      </c>
      <c r="AR650" s="17" t="n">
        <v>2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8" t="n">
        <v>0</v>
      </c>
      <c r="AY650" s="16" t="n">
        <v>0</v>
      </c>
      <c r="AZ650" s="17" t="n">
        <v>0</v>
      </c>
      <c r="BA650" s="17" t="n">
        <v>0</v>
      </c>
      <c r="BB650" s="17" t="n">
        <v>0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7" t="n">
        <v>0</v>
      </c>
      <c r="BI650" s="18" t="n">
        <v>0</v>
      </c>
      <c r="BJ650" s="16" t="n">
        <v>5</v>
      </c>
      <c r="BK650" s="17" t="n">
        <v>0</v>
      </c>
      <c r="BL650" s="17" t="n">
        <v>0</v>
      </c>
      <c r="BM650" s="17" t="n">
        <v>4</v>
      </c>
      <c r="BN650" s="17" t="n">
        <v>2</v>
      </c>
      <c r="BO650" s="17" t="n">
        <v>0</v>
      </c>
      <c r="BP650" s="17" t="n">
        <v>0</v>
      </c>
      <c r="BQ650" s="17" t="n">
        <v>0</v>
      </c>
      <c r="BR650" s="17" t="n">
        <v>0</v>
      </c>
      <c r="BS650" s="17" t="n">
        <v>0</v>
      </c>
      <c r="BT650" s="18" t="n">
        <v>0</v>
      </c>
      <c r="BU650" s="17" t="inlineStr">
        <is>
          <t>Unclassified</t>
        </is>
      </c>
    </row>
    <row r="651" ht="20" customHeight="1">
      <c r="A651" s="15" t="inlineStr">
        <is>
          <t>65862056099</t>
        </is>
      </c>
      <c r="B651" s="15" t="inlineStr">
        <is>
          <t xml:space="preserve">PANTOPRAZOLE 40MG TAB </t>
        </is>
      </c>
      <c r="C651" s="16" t="n">
        <v>1000</v>
      </c>
      <c r="D651" s="16" t="n">
        <v>2</v>
      </c>
      <c r="E651" s="16" t="n">
        <v>2</v>
      </c>
      <c r="F651" s="16" t="n">
        <v>38</v>
      </c>
      <c r="G651" s="16" t="n">
        <v>2039</v>
      </c>
      <c r="H651" s="17" t="n">
        <v>0</v>
      </c>
      <c r="I651" s="17" t="n">
        <v>0</v>
      </c>
      <c r="J651" s="17" t="n">
        <v>1155</v>
      </c>
      <c r="K651" s="17" t="n">
        <v>150</v>
      </c>
      <c r="L651" s="17" t="n">
        <v>0</v>
      </c>
      <c r="M651" s="17" t="n">
        <v>90</v>
      </c>
      <c r="N651" s="17" t="n">
        <v>390</v>
      </c>
      <c r="O651" s="17" t="n">
        <v>240</v>
      </c>
      <c r="P651" s="17" t="n">
        <v>0</v>
      </c>
      <c r="Q651" s="18" t="n">
        <v>14</v>
      </c>
      <c r="R651" s="16" t="n">
        <v>2.039</v>
      </c>
      <c r="S651" s="17" t="n">
        <v>0</v>
      </c>
      <c r="T651" s="17" t="n">
        <v>0</v>
      </c>
      <c r="U651" s="17" t="n">
        <v>1.155</v>
      </c>
      <c r="V651" s="17" t="n">
        <v>0.15</v>
      </c>
      <c r="W651" s="17" t="n">
        <v>0</v>
      </c>
      <c r="X651" s="17" t="n">
        <v>0.09</v>
      </c>
      <c r="Y651" s="17" t="n">
        <v>0.39</v>
      </c>
      <c r="Z651" s="17" t="n">
        <v>0.24</v>
      </c>
      <c r="AA651" s="17" t="n">
        <v>0</v>
      </c>
      <c r="AB651" s="18" t="n">
        <v>0.014</v>
      </c>
      <c r="AC651" s="16" t="n">
        <v>-0.039</v>
      </c>
      <c r="AD651" s="17" t="n">
        <v>2</v>
      </c>
      <c r="AE651" s="17" t="n">
        <v>2</v>
      </c>
      <c r="AF651" s="17" t="n">
        <v>0.845</v>
      </c>
      <c r="AG651" s="17" t="n">
        <v>1.85</v>
      </c>
      <c r="AH651" s="17" t="n">
        <v>2</v>
      </c>
      <c r="AI651" s="17" t="n">
        <v>1.91</v>
      </c>
      <c r="AJ651" s="17" t="n">
        <v>1.61</v>
      </c>
      <c r="AK651" s="17" t="n">
        <v>1.76</v>
      </c>
      <c r="AL651" s="17" t="n">
        <v>2</v>
      </c>
      <c r="AM651" s="18" t="n">
        <v>1.986</v>
      </c>
      <c r="AN651" s="16" t="n">
        <v>244</v>
      </c>
      <c r="AO651" s="17" t="n">
        <v>0</v>
      </c>
      <c r="AP651" s="17" t="n">
        <v>0</v>
      </c>
      <c r="AQ651" s="17" t="n">
        <v>83</v>
      </c>
      <c r="AR651" s="17" t="n">
        <v>2</v>
      </c>
      <c r="AS651" s="17" t="n">
        <v>0</v>
      </c>
      <c r="AT651" s="17" t="n">
        <v>6</v>
      </c>
      <c r="AU651" s="17" t="n">
        <v>59</v>
      </c>
      <c r="AV651" s="17" t="n">
        <v>25</v>
      </c>
      <c r="AW651" s="17" t="n">
        <v>0</v>
      </c>
      <c r="AX651" s="18" t="n">
        <v>0</v>
      </c>
      <c r="AY651" s="16" t="n">
        <v>77</v>
      </c>
      <c r="AZ651" s="17" t="n">
        <v>0</v>
      </c>
      <c r="BA651" s="17" t="n">
        <v>0</v>
      </c>
      <c r="BB651" s="17" t="n">
        <v>44</v>
      </c>
      <c r="BC651" s="17" t="n">
        <v>6</v>
      </c>
      <c r="BD651" s="17" t="n">
        <v>0</v>
      </c>
      <c r="BE651" s="17" t="n">
        <v>3</v>
      </c>
      <c r="BF651" s="17" t="n">
        <v>15</v>
      </c>
      <c r="BG651" s="17" t="n">
        <v>9</v>
      </c>
      <c r="BH651" s="17" t="n">
        <v>0</v>
      </c>
      <c r="BI651" s="18" t="n">
        <v>1</v>
      </c>
      <c r="BJ651" s="16" t="n">
        <v>166</v>
      </c>
      <c r="BK651" s="17" t="n">
        <v>0</v>
      </c>
      <c r="BL651" s="17" t="n">
        <v>0</v>
      </c>
      <c r="BM651" s="17" t="n">
        <v>40</v>
      </c>
      <c r="BN651" s="17" t="n">
        <v>-4</v>
      </c>
      <c r="BO651" s="17" t="n">
        <v>0</v>
      </c>
      <c r="BP651" s="17" t="n">
        <v>3</v>
      </c>
      <c r="BQ651" s="17" t="n">
        <v>45</v>
      </c>
      <c r="BR651" s="17" t="n">
        <v>16</v>
      </c>
      <c r="BS651" s="17" t="n">
        <v>0</v>
      </c>
      <c r="BT651" s="18" t="n">
        <v>-1</v>
      </c>
      <c r="BU651" s="17" t="inlineStr">
        <is>
          <t>Generic Drug</t>
        </is>
      </c>
    </row>
    <row r="652" ht="20" customHeight="1">
      <c r="A652" s="15" t="inlineStr">
        <is>
          <t>13107015430</t>
        </is>
      </c>
      <c r="B652" s="15" t="inlineStr">
        <is>
          <t>PAROXETINE 10MG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90</v>
      </c>
      <c r="H652" s="17" t="n">
        <v>0</v>
      </c>
      <c r="I652" s="17" t="n">
        <v>0</v>
      </c>
      <c r="J652" s="17" t="n">
        <v>60</v>
      </c>
      <c r="K652" s="17" t="n">
        <v>30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8" t="n">
        <v>0</v>
      </c>
      <c r="R652" s="16" t="n">
        <v>3</v>
      </c>
      <c r="S652" s="17" t="n">
        <v>0</v>
      </c>
      <c r="T652" s="17" t="n">
        <v>0</v>
      </c>
      <c r="U652" s="17" t="n">
        <v>2</v>
      </c>
      <c r="V652" s="17" t="n">
        <v>1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8" t="n">
        <v>0</v>
      </c>
      <c r="AC652" s="16" t="n">
        <v>-3</v>
      </c>
      <c r="AD652" s="17" t="n">
        <v>0</v>
      </c>
      <c r="AE652" s="17" t="n">
        <v>0</v>
      </c>
      <c r="AF652" s="17" t="n">
        <v>-2</v>
      </c>
      <c r="AG652" s="17" t="n">
        <v>-1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8" t="n">
        <v>0</v>
      </c>
      <c r="AN652" s="16" t="n">
        <v>4</v>
      </c>
      <c r="AO652" s="17" t="n">
        <v>0</v>
      </c>
      <c r="AP652" s="17" t="n">
        <v>0</v>
      </c>
      <c r="AQ652" s="17" t="n">
        <v>1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8" t="n">
        <v>0</v>
      </c>
      <c r="AY652" s="16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7" t="n">
        <v>0</v>
      </c>
      <c r="BI652" s="18" t="n">
        <v>0</v>
      </c>
      <c r="BJ652" s="16" t="n">
        <v>4</v>
      </c>
      <c r="BK652" s="17" t="n">
        <v>0</v>
      </c>
      <c r="BL652" s="17" t="n">
        <v>0</v>
      </c>
      <c r="BM652" s="17" t="n">
        <v>1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7" t="n">
        <v>0</v>
      </c>
      <c r="BT652" s="18" t="n">
        <v>0</v>
      </c>
      <c r="BU652" s="17" t="inlineStr">
        <is>
          <t>Unclassified</t>
        </is>
      </c>
    </row>
    <row r="653" ht="20" customHeight="1">
      <c r="A653" s="15" t="inlineStr">
        <is>
          <t>13107015530</t>
        </is>
      </c>
      <c r="B653" s="15" t="inlineStr">
        <is>
          <t xml:space="preserve">PAROXETINE 20MG TABLET </t>
        </is>
      </c>
      <c r="C653" s="16" t="n">
        <v>30</v>
      </c>
      <c r="D653" s="16" t="n">
        <v>0</v>
      </c>
      <c r="E653" s="16" t="n">
        <v>0</v>
      </c>
      <c r="F653" s="16" t="n">
        <v>0</v>
      </c>
      <c r="G653" s="16" t="n">
        <v>30</v>
      </c>
      <c r="H653" s="17" t="n">
        <v>0</v>
      </c>
      <c r="I653" s="17" t="n">
        <v>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30</v>
      </c>
      <c r="O653" s="17" t="n">
        <v>0</v>
      </c>
      <c r="P653" s="17" t="n">
        <v>0</v>
      </c>
      <c r="Q653" s="18" t="n">
        <v>0</v>
      </c>
      <c r="R653" s="16" t="n">
        <v>1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1</v>
      </c>
      <c r="Z653" s="17" t="n">
        <v>0</v>
      </c>
      <c r="AA653" s="17" t="n">
        <v>0</v>
      </c>
      <c r="AB653" s="18" t="n">
        <v>0</v>
      </c>
      <c r="AC653" s="16" t="n">
        <v>-1</v>
      </c>
      <c r="AD653" s="17" t="n">
        <v>0</v>
      </c>
      <c r="AE653" s="17" t="n">
        <v>0</v>
      </c>
      <c r="AF653" s="17" t="n">
        <v>0</v>
      </c>
      <c r="AG653" s="17" t="n">
        <v>0</v>
      </c>
      <c r="AH653" s="17" t="n">
        <v>0</v>
      </c>
      <c r="AI653" s="17" t="n">
        <v>0</v>
      </c>
      <c r="AJ653" s="17" t="n">
        <v>-1</v>
      </c>
      <c r="AK653" s="17" t="n">
        <v>0</v>
      </c>
      <c r="AL653" s="17" t="n">
        <v>0</v>
      </c>
      <c r="AM653" s="18" t="n">
        <v>0</v>
      </c>
      <c r="AN653" s="16" t="n">
        <v>12</v>
      </c>
      <c r="AO653" s="17" t="n">
        <v>0</v>
      </c>
      <c r="AP653" s="17" t="n">
        <v>0</v>
      </c>
      <c r="AQ653" s="17" t="n">
        <v>0</v>
      </c>
      <c r="AR653" s="17" t="n">
        <v>0</v>
      </c>
      <c r="AS653" s="17" t="n">
        <v>0</v>
      </c>
      <c r="AT653" s="17" t="n">
        <v>0</v>
      </c>
      <c r="AU653" s="17" t="n">
        <v>12</v>
      </c>
      <c r="AV653" s="17" t="n">
        <v>0</v>
      </c>
      <c r="AW653" s="17" t="n">
        <v>0</v>
      </c>
      <c r="AX653" s="18" t="n">
        <v>0</v>
      </c>
      <c r="AY653" s="16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8" t="n">
        <v>0</v>
      </c>
      <c r="BJ653" s="16" t="n">
        <v>12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12</v>
      </c>
      <c r="BR653" s="17" t="n">
        <v>0</v>
      </c>
      <c r="BS653" s="17" t="n">
        <v>0</v>
      </c>
      <c r="BT653" s="18" t="n">
        <v>0</v>
      </c>
      <c r="BU653" s="17" t="inlineStr">
        <is>
          <t>Unclassified</t>
        </is>
      </c>
    </row>
    <row r="654" ht="20" customHeight="1">
      <c r="A654" s="15" t="inlineStr">
        <is>
          <t>13107015630</t>
        </is>
      </c>
      <c r="B654" s="15" t="inlineStr">
        <is>
          <t>PAROXETINE 30MG TABLET</t>
        </is>
      </c>
      <c r="C654" s="16" t="n">
        <v>30</v>
      </c>
      <c r="D654" s="16" t="n">
        <v>0</v>
      </c>
      <c r="E654" s="16" t="n">
        <v>0</v>
      </c>
      <c r="F654" s="16" t="n">
        <v>0</v>
      </c>
      <c r="G654" s="16" t="n">
        <v>30</v>
      </c>
      <c r="H654" s="17" t="n">
        <v>0</v>
      </c>
      <c r="I654" s="17" t="n">
        <v>0</v>
      </c>
      <c r="J654" s="17" t="n">
        <v>30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8" t="n">
        <v>0</v>
      </c>
      <c r="R654" s="16" t="n">
        <v>1</v>
      </c>
      <c r="S654" s="17" t="n">
        <v>0</v>
      </c>
      <c r="T654" s="17" t="n">
        <v>0</v>
      </c>
      <c r="U654" s="17" t="n">
        <v>1</v>
      </c>
      <c r="V654" s="17" t="n">
        <v>0</v>
      </c>
      <c r="W654" s="17" t="n">
        <v>0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8" t="n">
        <v>0</v>
      </c>
      <c r="AC654" s="16" t="n">
        <v>-1</v>
      </c>
      <c r="AD654" s="17" t="n">
        <v>0</v>
      </c>
      <c r="AE654" s="17" t="n">
        <v>0</v>
      </c>
      <c r="AF654" s="17" t="n">
        <v>-1</v>
      </c>
      <c r="AG654" s="17" t="n">
        <v>0</v>
      </c>
      <c r="AH654" s="17" t="n">
        <v>0</v>
      </c>
      <c r="AI654" s="17" t="n">
        <v>0</v>
      </c>
      <c r="AJ654" s="17" t="n">
        <v>0</v>
      </c>
      <c r="AK654" s="17" t="n">
        <v>0</v>
      </c>
      <c r="AL654" s="17" t="n">
        <v>0</v>
      </c>
      <c r="AM654" s="18" t="n">
        <v>0</v>
      </c>
      <c r="AN654" s="16" t="n">
        <v>3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7" t="n">
        <v>0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8" t="n">
        <v>0</v>
      </c>
      <c r="AY654" s="16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7" t="n">
        <v>0</v>
      </c>
      <c r="BI654" s="18" t="n">
        <v>0</v>
      </c>
      <c r="BJ654" s="16" t="n">
        <v>3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7" t="n">
        <v>0</v>
      </c>
      <c r="BT654" s="18" t="n">
        <v>0</v>
      </c>
      <c r="BU654" s="17" t="inlineStr">
        <is>
          <t>Unclassified</t>
        </is>
      </c>
    </row>
    <row r="655" ht="20" customHeight="1">
      <c r="A655" s="15" t="inlineStr">
        <is>
          <t>60505010104</t>
        </is>
      </c>
      <c r="B655" s="15" t="inlineStr">
        <is>
          <t>PAROXETINE 40MG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90</v>
      </c>
      <c r="H655" s="17" t="n">
        <v>0</v>
      </c>
      <c r="I655" s="17" t="n">
        <v>0</v>
      </c>
      <c r="J655" s="17" t="n">
        <v>90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8" t="n">
        <v>0</v>
      </c>
      <c r="R655" s="16" t="n">
        <v>0.09</v>
      </c>
      <c r="S655" s="17" t="n">
        <v>0</v>
      </c>
      <c r="T655" s="17" t="n">
        <v>0</v>
      </c>
      <c r="U655" s="17" t="n">
        <v>0.09</v>
      </c>
      <c r="V655" s="17" t="n">
        <v>0</v>
      </c>
      <c r="W655" s="17" t="n">
        <v>0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8" t="n">
        <v>0</v>
      </c>
      <c r="AC655" s="16" t="n">
        <v>-0.09</v>
      </c>
      <c r="AD655" s="17" t="n">
        <v>0</v>
      </c>
      <c r="AE655" s="17" t="n">
        <v>0</v>
      </c>
      <c r="AF655" s="17" t="n">
        <v>-0.09</v>
      </c>
      <c r="AG655" s="17" t="n">
        <v>0</v>
      </c>
      <c r="AH655" s="17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8" t="n">
        <v>0</v>
      </c>
      <c r="AN655" s="16" t="n">
        <v>6</v>
      </c>
      <c r="AO655" s="17" t="n">
        <v>0</v>
      </c>
      <c r="AP655" s="17" t="n">
        <v>0</v>
      </c>
      <c r="AQ655" s="17" t="n">
        <v>6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0</v>
      </c>
      <c r="AW655" s="17" t="n">
        <v>0</v>
      </c>
      <c r="AX655" s="18" t="n">
        <v>0</v>
      </c>
      <c r="AY655" s="16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8" t="n">
        <v>0</v>
      </c>
      <c r="BJ655" s="16" t="n">
        <v>6</v>
      </c>
      <c r="BK655" s="17" t="n">
        <v>0</v>
      </c>
      <c r="BL655" s="17" t="n">
        <v>0</v>
      </c>
      <c r="BM655" s="17" t="n">
        <v>6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8" t="n">
        <v>0</v>
      </c>
      <c r="BU655" s="17" t="inlineStr">
        <is>
          <t>Unclassified</t>
        </is>
      </c>
    </row>
    <row r="656" ht="20" customHeight="1">
      <c r="A656" s="15" t="inlineStr">
        <is>
          <t>60505451803</t>
        </is>
      </c>
      <c r="B656" s="15" t="inlineStr">
        <is>
          <t>PAXIL 20 MG ORAL TABLET</t>
        </is>
      </c>
      <c r="C656" s="16" t="n">
        <v>30</v>
      </c>
      <c r="D656" s="16" t="n">
        <v>2</v>
      </c>
      <c r="E656" s="16" t="n">
        <v>2</v>
      </c>
      <c r="F656" s="16" t="n">
        <v>328</v>
      </c>
      <c r="G656" s="16" t="n">
        <v>60</v>
      </c>
      <c r="H656" s="17" t="n">
        <v>0</v>
      </c>
      <c r="I656" s="17" t="n">
        <v>0</v>
      </c>
      <c r="J656" s="17" t="n">
        <v>60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0</v>
      </c>
      <c r="P656" s="17" t="n">
        <v>0</v>
      </c>
      <c r="Q656" s="18" t="n">
        <v>0</v>
      </c>
      <c r="R656" s="16" t="n">
        <v>2</v>
      </c>
      <c r="S656" s="17" t="n">
        <v>0</v>
      </c>
      <c r="T656" s="17" t="n">
        <v>0</v>
      </c>
      <c r="U656" s="17" t="n">
        <v>2</v>
      </c>
      <c r="V656" s="17" t="n">
        <v>0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8" t="n">
        <v>0</v>
      </c>
      <c r="AC656" s="16" t="n">
        <v>0</v>
      </c>
      <c r="AD656" s="17" t="n">
        <v>2</v>
      </c>
      <c r="AE656" s="17" t="n">
        <v>2</v>
      </c>
      <c r="AF656" s="17" t="n">
        <v>0</v>
      </c>
      <c r="AG656" s="17" t="n">
        <v>2</v>
      </c>
      <c r="AH656" s="17" t="n">
        <v>2</v>
      </c>
      <c r="AI656" s="17" t="n">
        <v>2</v>
      </c>
      <c r="AJ656" s="17" t="n">
        <v>2</v>
      </c>
      <c r="AK656" s="17" t="n">
        <v>2</v>
      </c>
      <c r="AL656" s="17" t="n">
        <v>2</v>
      </c>
      <c r="AM656" s="18" t="n">
        <v>2</v>
      </c>
      <c r="AN656" s="16" t="n">
        <v>642</v>
      </c>
      <c r="AO656" s="17" t="n">
        <v>0</v>
      </c>
      <c r="AP656" s="17" t="n">
        <v>0</v>
      </c>
      <c r="AQ656" s="17" t="n">
        <v>642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8" t="n">
        <v>0</v>
      </c>
      <c r="AY656" s="16" t="n">
        <v>656</v>
      </c>
      <c r="AZ656" s="17" t="n">
        <v>0</v>
      </c>
      <c r="BA656" s="17" t="n">
        <v>0</v>
      </c>
      <c r="BB656" s="17" t="n">
        <v>656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7" t="n">
        <v>0</v>
      </c>
      <c r="BI656" s="18" t="n">
        <v>0</v>
      </c>
      <c r="BJ656" s="16" t="n">
        <v>-14</v>
      </c>
      <c r="BK656" s="17" t="n">
        <v>0</v>
      </c>
      <c r="BL656" s="17" t="n">
        <v>0</v>
      </c>
      <c r="BM656" s="17" t="n">
        <v>-14</v>
      </c>
      <c r="BN656" s="17" t="n">
        <v>0</v>
      </c>
      <c r="BO656" s="17" t="n">
        <v>0</v>
      </c>
      <c r="BP656" s="17" t="n">
        <v>0</v>
      </c>
      <c r="BQ656" s="17" t="n">
        <v>0</v>
      </c>
      <c r="BR656" s="17" t="n">
        <v>0</v>
      </c>
      <c r="BS656" s="17" t="n">
        <v>0</v>
      </c>
      <c r="BT656" s="18" t="n">
        <v>0</v>
      </c>
      <c r="BU656" s="17" t="inlineStr">
        <is>
          <t>Branded Drug</t>
        </is>
      </c>
    </row>
    <row r="657" ht="20" customHeight="1">
      <c r="A657" s="15" t="inlineStr">
        <is>
          <t>70074080240</t>
        </is>
      </c>
      <c r="B657" s="15" t="inlineStr">
        <is>
          <t>PEDIALYTE ORAL SOLUTION</t>
        </is>
      </c>
      <c r="C657" s="16" t="n">
        <v>1000</v>
      </c>
      <c r="D657" s="16" t="n">
        <v>3</v>
      </c>
      <c r="E657" s="16" t="n">
        <v>3</v>
      </c>
      <c r="F657" s="16" t="n">
        <v>7</v>
      </c>
      <c r="G657" s="16" t="n">
        <v>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1000</v>
      </c>
      <c r="O657" s="17" t="n">
        <v>0</v>
      </c>
      <c r="P657" s="17" t="n">
        <v>0</v>
      </c>
      <c r="Q657" s="18" t="n">
        <v>0</v>
      </c>
      <c r="R657" s="16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1</v>
      </c>
      <c r="Z657" s="17" t="n">
        <v>0</v>
      </c>
      <c r="AA657" s="17" t="n">
        <v>0</v>
      </c>
      <c r="AB657" s="18" t="n">
        <v>0</v>
      </c>
      <c r="AC657" s="16" t="n">
        <v>3</v>
      </c>
      <c r="AD657" s="17" t="n">
        <v>3</v>
      </c>
      <c r="AE657" s="17" t="n">
        <v>3</v>
      </c>
      <c r="AF657" s="17" t="n">
        <v>3</v>
      </c>
      <c r="AG657" s="17" t="n">
        <v>3</v>
      </c>
      <c r="AH657" s="17" t="n">
        <v>3</v>
      </c>
      <c r="AI657" s="17" t="n">
        <v>3</v>
      </c>
      <c r="AJ657" s="17" t="n">
        <v>2</v>
      </c>
      <c r="AK657" s="17" t="n">
        <v>3</v>
      </c>
      <c r="AL657" s="17" t="n">
        <v>3</v>
      </c>
      <c r="AM657" s="18" t="n">
        <v>3</v>
      </c>
      <c r="AN657" s="16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6</v>
      </c>
      <c r="AV657" s="17" t="n">
        <v>0</v>
      </c>
      <c r="AW657" s="17" t="n">
        <v>0</v>
      </c>
      <c r="AX657" s="18" t="n">
        <v>0</v>
      </c>
      <c r="AY657" s="16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7</v>
      </c>
      <c r="BG657" s="17" t="n">
        <v>0</v>
      </c>
      <c r="BH657" s="17" t="n">
        <v>0</v>
      </c>
      <c r="BI657" s="18" t="n">
        <v>0</v>
      </c>
      <c r="BJ657" s="16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-1</v>
      </c>
      <c r="BR657" s="17" t="n">
        <v>0</v>
      </c>
      <c r="BS657" s="17" t="n">
        <v>0</v>
      </c>
      <c r="BT657" s="18" t="n">
        <v>0</v>
      </c>
      <c r="BU657" s="17" t="inlineStr">
        <is>
          <t>Health and Beauty Aid</t>
        </is>
      </c>
    </row>
    <row r="658" ht="20" customHeight="1">
      <c r="A658" s="15" t="inlineStr">
        <is>
          <t>73317666604</t>
        </is>
      </c>
      <c r="B658" s="15" t="inlineStr">
        <is>
          <t>PEN NEEDLE 31G X 4 MM QUICK TOUCH INSULIN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0</v>
      </c>
      <c r="H658" s="17" t="n">
        <v>0</v>
      </c>
      <c r="I658" s="17" t="n">
        <v>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8" t="n">
        <v>0</v>
      </c>
      <c r="R658" s="16" t="n">
        <v>0</v>
      </c>
      <c r="S658" s="17" t="n">
        <v>0</v>
      </c>
      <c r="T658" s="17" t="n">
        <v>0</v>
      </c>
      <c r="U658" s="17" t="n">
        <v>1</v>
      </c>
      <c r="V658" s="17" t="n">
        <v>0</v>
      </c>
      <c r="W658" s="17" t="n">
        <v>0</v>
      </c>
      <c r="X658" s="17" t="n">
        <v>0</v>
      </c>
      <c r="Y658" s="17" t="n">
        <v>0</v>
      </c>
      <c r="Z658" s="17" t="n">
        <v>0</v>
      </c>
      <c r="AA658" s="17" t="n">
        <v>0</v>
      </c>
      <c r="AB658" s="18" t="n">
        <v>0</v>
      </c>
      <c r="AC658" s="16" t="n">
        <v>0</v>
      </c>
      <c r="AD658" s="17" t="n">
        <v>0</v>
      </c>
      <c r="AE658" s="17" t="n">
        <v>0</v>
      </c>
      <c r="AF658" s="17" t="n">
        <v>-1</v>
      </c>
      <c r="AG658" s="17" t="n">
        <v>0</v>
      </c>
      <c r="AH658" s="17" t="n">
        <v>0</v>
      </c>
      <c r="AI658" s="17" t="n">
        <v>0</v>
      </c>
      <c r="AJ658" s="17" t="n">
        <v>0</v>
      </c>
      <c r="AK658" s="17" t="n">
        <v>0</v>
      </c>
      <c r="AL658" s="17" t="n">
        <v>0</v>
      </c>
      <c r="AM658" s="18" t="n">
        <v>0</v>
      </c>
      <c r="AN658" s="16" t="n">
        <v>0</v>
      </c>
      <c r="AO658" s="17" t="n">
        <v>0</v>
      </c>
      <c r="AP658" s="17" t="n">
        <v>0</v>
      </c>
      <c r="AQ658" s="17" t="n">
        <v>112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8" t="n">
        <v>0</v>
      </c>
      <c r="AY658" s="16" t="n">
        <v>0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7" t="n">
        <v>0</v>
      </c>
      <c r="BI658" s="18" t="n">
        <v>0</v>
      </c>
      <c r="BJ658" s="16" t="n">
        <v>0</v>
      </c>
      <c r="BK658" s="17" t="n">
        <v>0</v>
      </c>
      <c r="BL658" s="17" t="n">
        <v>0</v>
      </c>
      <c r="BM658" s="17" t="n">
        <v>112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7" t="n">
        <v>0</v>
      </c>
      <c r="BT658" s="18" t="n">
        <v>0</v>
      </c>
      <c r="BU658" s="17" t="inlineStr">
        <is>
          <t>Unclassified</t>
        </is>
      </c>
    </row>
    <row r="659" ht="20" customHeight="1">
      <c r="A659" s="15" t="inlineStr">
        <is>
          <t>56151211401</t>
        </is>
      </c>
      <c r="B659" s="15" t="inlineStr">
        <is>
          <t>PEN NEEDLES 32G X 4 MM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600</v>
      </c>
      <c r="O659" s="17" t="n">
        <v>0</v>
      </c>
      <c r="P659" s="17" t="n">
        <v>0</v>
      </c>
      <c r="Q659" s="18" t="n">
        <v>0</v>
      </c>
      <c r="R659" s="16" t="n">
        <v>6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6</v>
      </c>
      <c r="Z659" s="17" t="n">
        <v>0</v>
      </c>
      <c r="AA659" s="17" t="n">
        <v>0</v>
      </c>
      <c r="AB659" s="18" t="n">
        <v>0</v>
      </c>
      <c r="AC659" s="16" t="n">
        <v>-6</v>
      </c>
      <c r="AD659" s="17" t="n">
        <v>0</v>
      </c>
      <c r="AE659" s="17" t="n">
        <v>0</v>
      </c>
      <c r="AF659" s="17" t="n">
        <v>0</v>
      </c>
      <c r="AG659" s="17" t="n">
        <v>0</v>
      </c>
      <c r="AH659" s="17" t="n">
        <v>0</v>
      </c>
      <c r="AI659" s="17" t="n">
        <v>0</v>
      </c>
      <c r="AJ659" s="17" t="n">
        <v>-6</v>
      </c>
      <c r="AK659" s="17" t="n">
        <v>0</v>
      </c>
      <c r="AL659" s="17" t="n">
        <v>0</v>
      </c>
      <c r="AM659" s="18" t="n">
        <v>0</v>
      </c>
      <c r="AN659" s="16" t="n">
        <v>197</v>
      </c>
      <c r="AO659" s="17" t="n">
        <v>0</v>
      </c>
      <c r="AP659" s="17" t="n">
        <v>0</v>
      </c>
      <c r="AQ659" s="17" t="n">
        <v>0</v>
      </c>
      <c r="AR659" s="17" t="n">
        <v>0</v>
      </c>
      <c r="AS659" s="17" t="n">
        <v>0</v>
      </c>
      <c r="AT659" s="17" t="n">
        <v>0</v>
      </c>
      <c r="AU659" s="17" t="n">
        <v>197</v>
      </c>
      <c r="AV659" s="17" t="n">
        <v>0</v>
      </c>
      <c r="AW659" s="17" t="n">
        <v>0</v>
      </c>
      <c r="AX659" s="18" t="n">
        <v>0</v>
      </c>
      <c r="AY659" s="16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8" t="n">
        <v>0</v>
      </c>
      <c r="BJ659" s="16" t="n">
        <v>197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197</v>
      </c>
      <c r="BR659" s="17" t="n">
        <v>0</v>
      </c>
      <c r="BS659" s="17" t="n">
        <v>0</v>
      </c>
      <c r="BT659" s="18" t="n">
        <v>0</v>
      </c>
      <c r="BU659" s="17" t="inlineStr">
        <is>
          <t>Unclassified</t>
        </is>
      </c>
    </row>
    <row r="660" ht="20" customHeight="1">
      <c r="A660" s="15" t="inlineStr">
        <is>
          <t>08290320122</t>
        </is>
      </c>
      <c r="B660" s="15" t="inlineStr">
        <is>
          <t>PEN NEEDLES ALL</t>
        </is>
      </c>
      <c r="C660" s="16" t="n">
        <v>100</v>
      </c>
      <c r="D660" s="16" t="n">
        <v>0</v>
      </c>
      <c r="E660" s="16" t="n">
        <v>0</v>
      </c>
      <c r="F660" s="16" t="n">
        <v>0</v>
      </c>
      <c r="G660" s="16" t="n">
        <v>2900</v>
      </c>
      <c r="H660" s="17" t="n">
        <v>0</v>
      </c>
      <c r="I660" s="17" t="n">
        <v>0</v>
      </c>
      <c r="J660" s="17" t="n">
        <v>2800</v>
      </c>
      <c r="K660" s="17" t="n">
        <v>100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0</v>
      </c>
      <c r="Q660" s="18" t="n">
        <v>0</v>
      </c>
      <c r="R660" s="16" t="n">
        <v>29</v>
      </c>
      <c r="S660" s="17" t="n">
        <v>0</v>
      </c>
      <c r="T660" s="17" t="n">
        <v>0</v>
      </c>
      <c r="U660" s="17" t="n">
        <v>28</v>
      </c>
      <c r="V660" s="17" t="n">
        <v>1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8" t="n">
        <v>0</v>
      </c>
      <c r="AC660" s="16" t="n">
        <v>-29</v>
      </c>
      <c r="AD660" s="17" t="n">
        <v>0</v>
      </c>
      <c r="AE660" s="17" t="n">
        <v>0</v>
      </c>
      <c r="AF660" s="17" t="n">
        <v>-28</v>
      </c>
      <c r="AG660" s="17" t="n">
        <v>-1</v>
      </c>
      <c r="AH660" s="17" t="n">
        <v>0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8" t="n">
        <v>0</v>
      </c>
      <c r="AN660" s="16" t="n">
        <v>1791</v>
      </c>
      <c r="AO660" s="17" t="n">
        <v>0</v>
      </c>
      <c r="AP660" s="17" t="n">
        <v>0</v>
      </c>
      <c r="AQ660" s="17" t="n">
        <v>1662</v>
      </c>
      <c r="AR660" s="17" t="n">
        <v>54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8" t="n">
        <v>0</v>
      </c>
      <c r="AY660" s="16" t="n">
        <v>0</v>
      </c>
      <c r="AZ660" s="17" t="n">
        <v>0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0</v>
      </c>
      <c r="BF660" s="17" t="n">
        <v>0</v>
      </c>
      <c r="BG660" s="17" t="n">
        <v>0</v>
      </c>
      <c r="BH660" s="17" t="n">
        <v>0</v>
      </c>
      <c r="BI660" s="18" t="n">
        <v>0</v>
      </c>
      <c r="BJ660" s="16" t="n">
        <v>1791</v>
      </c>
      <c r="BK660" s="17" t="n">
        <v>0</v>
      </c>
      <c r="BL660" s="17" t="n">
        <v>0</v>
      </c>
      <c r="BM660" s="17" t="n">
        <v>1662</v>
      </c>
      <c r="BN660" s="17" t="n">
        <v>54</v>
      </c>
      <c r="BO660" s="17" t="n">
        <v>0</v>
      </c>
      <c r="BP660" s="17" t="n">
        <v>0</v>
      </c>
      <c r="BQ660" s="17" t="n">
        <v>0</v>
      </c>
      <c r="BR660" s="17" t="n">
        <v>0</v>
      </c>
      <c r="BS660" s="17" t="n">
        <v>0</v>
      </c>
      <c r="BT660" s="18" t="n">
        <v>0</v>
      </c>
      <c r="BU660" s="17" t="inlineStr">
        <is>
          <t>Unclassified</t>
        </is>
      </c>
    </row>
    <row r="661" ht="20" customHeight="1">
      <c r="A661" s="15" t="inlineStr">
        <is>
          <t>65862017501</t>
        </is>
      </c>
      <c r="B661" s="15" t="inlineStr">
        <is>
          <t>PENICILLIN V POTASSIUM 250MG TABLET</t>
        </is>
      </c>
      <c r="C661" s="16" t="n">
        <v>100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60</v>
      </c>
      <c r="O661" s="17" t="n">
        <v>0</v>
      </c>
      <c r="P661" s="17" t="n">
        <v>0</v>
      </c>
      <c r="Q661" s="18" t="n">
        <v>0</v>
      </c>
      <c r="R661" s="16" t="n">
        <v>0.6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0.6</v>
      </c>
      <c r="Z661" s="17" t="n">
        <v>0</v>
      </c>
      <c r="AA661" s="17" t="n">
        <v>0</v>
      </c>
      <c r="AB661" s="18" t="n">
        <v>0</v>
      </c>
      <c r="AC661" s="16" t="n">
        <v>-0.6</v>
      </c>
      <c r="AD661" s="17" t="n">
        <v>0</v>
      </c>
      <c r="AE661" s="17" t="n">
        <v>0</v>
      </c>
      <c r="AF661" s="17" t="n">
        <v>0</v>
      </c>
      <c r="AG661" s="17" t="n">
        <v>0</v>
      </c>
      <c r="AH661" s="17" t="n">
        <v>0</v>
      </c>
      <c r="AI661" s="17" t="n">
        <v>0</v>
      </c>
      <c r="AJ661" s="17" t="n">
        <v>-0.6</v>
      </c>
      <c r="AK661" s="17" t="n">
        <v>0</v>
      </c>
      <c r="AL661" s="17" t="n">
        <v>0</v>
      </c>
      <c r="AM661" s="18" t="n">
        <v>0</v>
      </c>
      <c r="AN661" s="16" t="n">
        <v>14</v>
      </c>
      <c r="AO661" s="17" t="n">
        <v>0</v>
      </c>
      <c r="AP661" s="17" t="n">
        <v>0</v>
      </c>
      <c r="AQ661" s="17" t="n">
        <v>0</v>
      </c>
      <c r="AR661" s="17" t="n">
        <v>0</v>
      </c>
      <c r="AS661" s="17" t="n">
        <v>0</v>
      </c>
      <c r="AT661" s="17" t="n">
        <v>0</v>
      </c>
      <c r="AU661" s="17" t="n">
        <v>14</v>
      </c>
      <c r="AV661" s="17" t="n">
        <v>0</v>
      </c>
      <c r="AW661" s="17" t="n">
        <v>0</v>
      </c>
      <c r="AX661" s="18" t="n">
        <v>0</v>
      </c>
      <c r="AY661" s="16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8" t="n">
        <v>0</v>
      </c>
      <c r="BJ661" s="16" t="n">
        <v>14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14</v>
      </c>
      <c r="BR661" s="17" t="n">
        <v>0</v>
      </c>
      <c r="BS661" s="17" t="n">
        <v>0</v>
      </c>
      <c r="BT661" s="18" t="n">
        <v>0</v>
      </c>
      <c r="BU661" s="17" t="inlineStr">
        <is>
          <t>Unclassified</t>
        </is>
      </c>
    </row>
    <row r="662" ht="20" customHeight="1">
      <c r="A662" s="15" t="inlineStr">
        <is>
          <t>54092018981</t>
        </is>
      </c>
      <c r="B662" s="15" t="inlineStr">
        <is>
          <t>PENTASA 250 MG ORAL CAPSULE EXTENDED RELEASE</t>
        </is>
      </c>
      <c r="C662" s="16" t="n">
        <v>240</v>
      </c>
      <c r="D662" s="16" t="n">
        <v>0</v>
      </c>
      <c r="E662" s="16" t="n">
        <v>0</v>
      </c>
      <c r="F662" s="16" t="n">
        <v>0</v>
      </c>
      <c r="G662" s="16" t="n">
        <v>30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0</v>
      </c>
      <c r="N662" s="17" t="n">
        <v>30</v>
      </c>
      <c r="O662" s="17" t="n">
        <v>0</v>
      </c>
      <c r="P662" s="17" t="n">
        <v>0</v>
      </c>
      <c r="Q662" s="18" t="n">
        <v>0</v>
      </c>
      <c r="R662" s="16" t="n">
        <v>0.125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0.125</v>
      </c>
      <c r="Z662" s="17" t="n">
        <v>0</v>
      </c>
      <c r="AA662" s="17" t="n">
        <v>0</v>
      </c>
      <c r="AB662" s="18" t="n">
        <v>0</v>
      </c>
      <c r="AC662" s="16" t="n">
        <v>-0.125</v>
      </c>
      <c r="AD662" s="17" t="n">
        <v>0</v>
      </c>
      <c r="AE662" s="17" t="n">
        <v>0</v>
      </c>
      <c r="AF662" s="17" t="n">
        <v>0</v>
      </c>
      <c r="AG662" s="17" t="n">
        <v>0</v>
      </c>
      <c r="AH662" s="17" t="n">
        <v>0</v>
      </c>
      <c r="AI662" s="17" t="n">
        <v>0</v>
      </c>
      <c r="AJ662" s="17" t="n">
        <v>-0.125</v>
      </c>
      <c r="AK662" s="17" t="n">
        <v>0</v>
      </c>
      <c r="AL662" s="17" t="n">
        <v>0</v>
      </c>
      <c r="AM662" s="18" t="n">
        <v>0</v>
      </c>
      <c r="AN662" s="16" t="n">
        <v>97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7" t="n">
        <v>0</v>
      </c>
      <c r="AT662" s="17" t="n">
        <v>0</v>
      </c>
      <c r="AU662" s="17" t="n">
        <v>97</v>
      </c>
      <c r="AV662" s="17" t="n">
        <v>0</v>
      </c>
      <c r="AW662" s="17" t="n">
        <v>0</v>
      </c>
      <c r="AX662" s="18" t="n">
        <v>0</v>
      </c>
      <c r="AY662" s="16" t="n">
        <v>0</v>
      </c>
      <c r="AZ662" s="17" t="n">
        <v>0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7" t="n">
        <v>0</v>
      </c>
      <c r="BG662" s="17" t="n">
        <v>0</v>
      </c>
      <c r="BH662" s="17" t="n">
        <v>0</v>
      </c>
      <c r="BI662" s="18" t="n">
        <v>0</v>
      </c>
      <c r="BJ662" s="16" t="n">
        <v>97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97</v>
      </c>
      <c r="BR662" s="17" t="n">
        <v>0</v>
      </c>
      <c r="BS662" s="17" t="n">
        <v>0</v>
      </c>
      <c r="BT662" s="18" t="n">
        <v>0</v>
      </c>
      <c r="BU662" s="17" t="inlineStr">
        <is>
          <t>Unclassified</t>
        </is>
      </c>
    </row>
    <row r="663" ht="20" customHeight="1">
      <c r="A663" s="15" t="inlineStr">
        <is>
          <t>21922002107</t>
        </is>
      </c>
      <c r="B663" s="15" t="inlineStr">
        <is>
          <t>PERMETHRIN 5 % EXTERNAL CREAM</t>
        </is>
      </c>
      <c r="C663" s="16" t="n">
        <v>60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0</v>
      </c>
      <c r="J663" s="17" t="n">
        <v>60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8" t="n">
        <v>0</v>
      </c>
      <c r="R663" s="16" t="n">
        <v>1</v>
      </c>
      <c r="S663" s="17" t="n">
        <v>0</v>
      </c>
      <c r="T663" s="17" t="n">
        <v>0</v>
      </c>
      <c r="U663" s="17" t="n">
        <v>1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8" t="n">
        <v>0</v>
      </c>
      <c r="AC663" s="16" t="n">
        <v>-1</v>
      </c>
      <c r="AD663" s="17" t="n">
        <v>0</v>
      </c>
      <c r="AE663" s="17" t="n">
        <v>0</v>
      </c>
      <c r="AF663" s="17" t="n">
        <v>-1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8" t="n">
        <v>0</v>
      </c>
      <c r="AN663" s="16" t="n">
        <v>14</v>
      </c>
      <c r="AO663" s="17" t="n">
        <v>0</v>
      </c>
      <c r="AP663" s="17" t="n">
        <v>0</v>
      </c>
      <c r="AQ663" s="17" t="n">
        <v>11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8" t="n">
        <v>0</v>
      </c>
      <c r="AY663" s="16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8" t="n">
        <v>0</v>
      </c>
      <c r="BJ663" s="16" t="n">
        <v>14</v>
      </c>
      <c r="BK663" s="17" t="n">
        <v>0</v>
      </c>
      <c r="BL663" s="17" t="n">
        <v>0</v>
      </c>
      <c r="BM663" s="17" t="n">
        <v>11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8" t="n">
        <v>0</v>
      </c>
      <c r="BU663" s="17" t="inlineStr">
        <is>
          <t>Unclassified</t>
        </is>
      </c>
    </row>
    <row r="664" ht="20" customHeight="1">
      <c r="A664" s="15" t="inlineStr">
        <is>
          <t>69367061101</t>
        </is>
      </c>
      <c r="B664" s="15" t="inlineStr">
        <is>
          <t>PHENAZOPYRIDINE HCL 100MG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15</v>
      </c>
      <c r="H664" s="17" t="n">
        <v>0</v>
      </c>
      <c r="I664" s="17" t="n">
        <v>0</v>
      </c>
      <c r="J664" s="17" t="n">
        <v>0</v>
      </c>
      <c r="K664" s="17" t="n">
        <v>0</v>
      </c>
      <c r="L664" s="17" t="n">
        <v>0</v>
      </c>
      <c r="M664" s="17" t="n">
        <v>0</v>
      </c>
      <c r="N664" s="17" t="n">
        <v>15</v>
      </c>
      <c r="O664" s="17" t="n">
        <v>0</v>
      </c>
      <c r="P664" s="17" t="n">
        <v>0</v>
      </c>
      <c r="Q664" s="18" t="n">
        <v>0</v>
      </c>
      <c r="R664" s="16" t="n">
        <v>0.15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0.15</v>
      </c>
      <c r="Z664" s="17" t="n">
        <v>0</v>
      </c>
      <c r="AA664" s="17" t="n">
        <v>0</v>
      </c>
      <c r="AB664" s="18" t="n">
        <v>0</v>
      </c>
      <c r="AC664" s="16" t="n">
        <v>-0.15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-0.15</v>
      </c>
      <c r="AK664" s="17" t="n">
        <v>0</v>
      </c>
      <c r="AL664" s="17" t="n">
        <v>0</v>
      </c>
      <c r="AM664" s="18" t="n">
        <v>0</v>
      </c>
      <c r="AN664" s="16" t="n">
        <v>12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7" t="n">
        <v>0</v>
      </c>
      <c r="AT664" s="17" t="n">
        <v>0</v>
      </c>
      <c r="AU664" s="17" t="n">
        <v>12</v>
      </c>
      <c r="AV664" s="17" t="n">
        <v>0</v>
      </c>
      <c r="AW664" s="17" t="n">
        <v>0</v>
      </c>
      <c r="AX664" s="18" t="n">
        <v>0</v>
      </c>
      <c r="AY664" s="16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7" t="n">
        <v>0</v>
      </c>
      <c r="BI664" s="18" t="n">
        <v>0</v>
      </c>
      <c r="BJ664" s="16" t="n">
        <v>12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12</v>
      </c>
      <c r="BR664" s="17" t="n">
        <v>0</v>
      </c>
      <c r="BS664" s="17" t="n">
        <v>0</v>
      </c>
      <c r="BT664" s="18" t="n">
        <v>0</v>
      </c>
      <c r="BU664" s="17" t="inlineStr">
        <is>
          <t>Unclassified</t>
        </is>
      </c>
    </row>
    <row r="665" ht="20" customHeight="1">
      <c r="A665" s="15" t="inlineStr">
        <is>
          <t>00603516632</t>
        </is>
      </c>
      <c r="B665" s="15" t="inlineStr">
        <is>
          <t>PHENOBARBITAL 32.4 MG TABLET</t>
        </is>
      </c>
      <c r="C665" s="16" t="n">
        <v>1000</v>
      </c>
      <c r="D665" s="16" t="n">
        <v>0</v>
      </c>
      <c r="E665" s="16" t="n">
        <v>0</v>
      </c>
      <c r="F665" s="16" t="n">
        <v>0</v>
      </c>
      <c r="G665" s="16" t="n">
        <v>60</v>
      </c>
      <c r="H665" s="17" t="n">
        <v>0</v>
      </c>
      <c r="I665" s="17" t="n">
        <v>0</v>
      </c>
      <c r="J665" s="17" t="n">
        <v>60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8" t="n">
        <v>0</v>
      </c>
      <c r="R665" s="16" t="n">
        <v>0.06</v>
      </c>
      <c r="S665" s="17" t="n">
        <v>0</v>
      </c>
      <c r="T665" s="17" t="n">
        <v>0</v>
      </c>
      <c r="U665" s="17" t="n">
        <v>0.06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8" t="n">
        <v>0</v>
      </c>
      <c r="AC665" s="16" t="n">
        <v>-0.06</v>
      </c>
      <c r="AD665" s="17" t="n">
        <v>0</v>
      </c>
      <c r="AE665" s="17" t="n">
        <v>0</v>
      </c>
      <c r="AF665" s="17" t="n">
        <v>-0.06</v>
      </c>
      <c r="AG665" s="17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8" t="n">
        <v>0</v>
      </c>
      <c r="AN665" s="16" t="n">
        <v>17</v>
      </c>
      <c r="AO665" s="17" t="n">
        <v>0</v>
      </c>
      <c r="AP665" s="17" t="n">
        <v>0</v>
      </c>
      <c r="AQ665" s="17" t="n">
        <v>17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8" t="n">
        <v>0</v>
      </c>
      <c r="AY665" s="16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8" t="n">
        <v>0</v>
      </c>
      <c r="BJ665" s="16" t="n">
        <v>17</v>
      </c>
      <c r="BK665" s="17" t="n">
        <v>0</v>
      </c>
      <c r="BL665" s="17" t="n">
        <v>0</v>
      </c>
      <c r="BM665" s="17" t="n">
        <v>17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8" t="n">
        <v>0</v>
      </c>
      <c r="BU665" s="17" t="inlineStr">
        <is>
          <t>Unclassified</t>
        </is>
      </c>
    </row>
    <row r="666" ht="20" customHeight="1">
      <c r="A666" s="15" t="inlineStr">
        <is>
          <t>10702002501</t>
        </is>
      </c>
      <c r="B666" s="15" t="inlineStr">
        <is>
          <t>PHENTERMINE 37.5MG TABLET</t>
        </is>
      </c>
      <c r="C666" s="16" t="n">
        <v>100</v>
      </c>
      <c r="D666" s="16" t="n">
        <v>0</v>
      </c>
      <c r="E666" s="16" t="n">
        <v>0</v>
      </c>
      <c r="F666" s="16" t="n">
        <v>0</v>
      </c>
      <c r="G666" s="16" t="n">
        <v>30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30</v>
      </c>
      <c r="N666" s="17" t="n">
        <v>0</v>
      </c>
      <c r="O666" s="17" t="n">
        <v>0</v>
      </c>
      <c r="P666" s="17" t="n">
        <v>0</v>
      </c>
      <c r="Q666" s="18" t="n">
        <v>0</v>
      </c>
      <c r="R666" s="16" t="n">
        <v>0.3</v>
      </c>
      <c r="S666" s="17" t="n">
        <v>0</v>
      </c>
      <c r="T666" s="17" t="n">
        <v>0</v>
      </c>
      <c r="U666" s="17" t="n">
        <v>0</v>
      </c>
      <c r="V666" s="17" t="n">
        <v>0</v>
      </c>
      <c r="W666" s="17" t="n">
        <v>0</v>
      </c>
      <c r="X666" s="17" t="n">
        <v>0.3</v>
      </c>
      <c r="Y666" s="17" t="n">
        <v>0</v>
      </c>
      <c r="Z666" s="17" t="n">
        <v>0</v>
      </c>
      <c r="AA666" s="17" t="n">
        <v>0</v>
      </c>
      <c r="AB666" s="18" t="n">
        <v>0</v>
      </c>
      <c r="AC666" s="16" t="n">
        <v>-0.3</v>
      </c>
      <c r="AD666" s="17" t="n">
        <v>0</v>
      </c>
      <c r="AE666" s="17" t="n">
        <v>0</v>
      </c>
      <c r="AF666" s="17" t="n">
        <v>0</v>
      </c>
      <c r="AG666" s="17" t="n">
        <v>0</v>
      </c>
      <c r="AH666" s="17" t="n">
        <v>0</v>
      </c>
      <c r="AI666" s="17" t="n">
        <v>-0.3</v>
      </c>
      <c r="AJ666" s="17" t="n">
        <v>0</v>
      </c>
      <c r="AK666" s="17" t="n">
        <v>0</v>
      </c>
      <c r="AL666" s="17" t="n">
        <v>0</v>
      </c>
      <c r="AM666" s="18" t="n">
        <v>0</v>
      </c>
      <c r="AN666" s="16" t="n">
        <v>7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  <c r="AW666" s="17" t="n">
        <v>0</v>
      </c>
      <c r="AX666" s="18" t="n">
        <v>0</v>
      </c>
      <c r="AY666" s="16" t="n">
        <v>0</v>
      </c>
      <c r="AZ666" s="17" t="n">
        <v>0</v>
      </c>
      <c r="BA666" s="17" t="n">
        <v>0</v>
      </c>
      <c r="BB666" s="17" t="n">
        <v>0</v>
      </c>
      <c r="BC666" s="17" t="n">
        <v>0</v>
      </c>
      <c r="BD666" s="17" t="n">
        <v>0</v>
      </c>
      <c r="BE666" s="17" t="n">
        <v>0</v>
      </c>
      <c r="BF666" s="17" t="n">
        <v>0</v>
      </c>
      <c r="BG666" s="17" t="n">
        <v>0</v>
      </c>
      <c r="BH666" s="17" t="n">
        <v>0</v>
      </c>
      <c r="BI666" s="18" t="n">
        <v>0</v>
      </c>
      <c r="BJ666" s="16" t="n">
        <v>7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7" t="n">
        <v>0</v>
      </c>
      <c r="BT666" s="18" t="n">
        <v>0</v>
      </c>
      <c r="BU666" s="17" t="inlineStr">
        <is>
          <t>Unclassified</t>
        </is>
      </c>
    </row>
    <row r="667" ht="20" customHeight="1">
      <c r="A667" s="15" t="inlineStr">
        <is>
          <t>57237021905</t>
        </is>
      </c>
      <c r="B667" s="15" t="inlineStr">
        <is>
          <t>PIOGLITAZONE 15MG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240</v>
      </c>
      <c r="H667" s="17" t="n">
        <v>0</v>
      </c>
      <c r="I667" s="17" t="n">
        <v>0</v>
      </c>
      <c r="J667" s="17" t="n">
        <v>240</v>
      </c>
      <c r="K667" s="17" t="n">
        <v>0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0</v>
      </c>
      <c r="Q667" s="18" t="n">
        <v>0</v>
      </c>
      <c r="R667" s="16" t="n">
        <v>0.48</v>
      </c>
      <c r="S667" s="17" t="n">
        <v>0</v>
      </c>
      <c r="T667" s="17" t="n">
        <v>0</v>
      </c>
      <c r="U667" s="17" t="n">
        <v>0.48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8" t="n">
        <v>0</v>
      </c>
      <c r="AC667" s="16" t="n">
        <v>-0.48</v>
      </c>
      <c r="AD667" s="17" t="n">
        <v>0</v>
      </c>
      <c r="AE667" s="17" t="n">
        <v>0</v>
      </c>
      <c r="AF667" s="17" t="n">
        <v>-0.48</v>
      </c>
      <c r="AG667" s="17" t="n">
        <v>0</v>
      </c>
      <c r="AH667" s="17" t="n">
        <v>0</v>
      </c>
      <c r="AI667" s="17" t="n">
        <v>0</v>
      </c>
      <c r="AJ667" s="17" t="n">
        <v>0</v>
      </c>
      <c r="AK667" s="17" t="n">
        <v>0</v>
      </c>
      <c r="AL667" s="17" t="n">
        <v>0</v>
      </c>
      <c r="AM667" s="18" t="n">
        <v>0</v>
      </c>
      <c r="AN667" s="16" t="n">
        <v>18</v>
      </c>
      <c r="AO667" s="17" t="n">
        <v>0</v>
      </c>
      <c r="AP667" s="17" t="n">
        <v>0</v>
      </c>
      <c r="AQ667" s="17" t="n">
        <v>18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8" t="n">
        <v>0</v>
      </c>
      <c r="AY667" s="16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8" t="n">
        <v>0</v>
      </c>
      <c r="BJ667" s="16" t="n">
        <v>18</v>
      </c>
      <c r="BK667" s="17" t="n">
        <v>0</v>
      </c>
      <c r="BL667" s="17" t="n">
        <v>0</v>
      </c>
      <c r="BM667" s="17" t="n">
        <v>18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8" t="n">
        <v>0</v>
      </c>
      <c r="BU667" s="17" t="inlineStr">
        <is>
          <t>Unclassified</t>
        </is>
      </c>
    </row>
    <row r="668" ht="20" customHeight="1">
      <c r="A668" s="15" t="inlineStr">
        <is>
          <t>57237022005</t>
        </is>
      </c>
      <c r="B668" s="15" t="inlineStr">
        <is>
          <t>PIOGLITAZONE 30MG TABLET</t>
        </is>
      </c>
      <c r="C668" s="16" t="n">
        <v>500</v>
      </c>
      <c r="D668" s="16" t="n">
        <v>1</v>
      </c>
      <c r="E668" s="16" t="n">
        <v>1</v>
      </c>
      <c r="F668" s="16" t="n">
        <v>41</v>
      </c>
      <c r="G668" s="16" t="n">
        <v>390</v>
      </c>
      <c r="H668" s="17" t="n">
        <v>0</v>
      </c>
      <c r="I668" s="17" t="n">
        <v>0</v>
      </c>
      <c r="J668" s="17" t="n">
        <v>180</v>
      </c>
      <c r="K668" s="17" t="n">
        <v>90</v>
      </c>
      <c r="L668" s="17" t="n">
        <v>0</v>
      </c>
      <c r="M668" s="17" t="n">
        <v>0</v>
      </c>
      <c r="N668" s="17" t="n">
        <v>90</v>
      </c>
      <c r="O668" s="17" t="n">
        <v>30</v>
      </c>
      <c r="P668" s="17" t="n">
        <v>0</v>
      </c>
      <c r="Q668" s="18" t="n">
        <v>0</v>
      </c>
      <c r="R668" s="16" t="n">
        <v>0.78</v>
      </c>
      <c r="S668" s="17" t="n">
        <v>0</v>
      </c>
      <c r="T668" s="17" t="n">
        <v>0</v>
      </c>
      <c r="U668" s="17" t="n">
        <v>0.36</v>
      </c>
      <c r="V668" s="17" t="n">
        <v>0.18</v>
      </c>
      <c r="W668" s="17" t="n">
        <v>0</v>
      </c>
      <c r="X668" s="17" t="n">
        <v>0</v>
      </c>
      <c r="Y668" s="17" t="n">
        <v>0.18</v>
      </c>
      <c r="Z668" s="17" t="n">
        <v>0.06</v>
      </c>
      <c r="AA668" s="17" t="n">
        <v>0</v>
      </c>
      <c r="AB668" s="18" t="n">
        <v>0</v>
      </c>
      <c r="AC668" s="16" t="n">
        <v>0.22</v>
      </c>
      <c r="AD668" s="17" t="n">
        <v>1</v>
      </c>
      <c r="AE668" s="17" t="n">
        <v>1</v>
      </c>
      <c r="AF668" s="17" t="n">
        <v>0.64</v>
      </c>
      <c r="AG668" s="17" t="n">
        <v>0.82</v>
      </c>
      <c r="AH668" s="17" t="n">
        <v>1</v>
      </c>
      <c r="AI668" s="17" t="n">
        <v>1</v>
      </c>
      <c r="AJ668" s="17" t="n">
        <v>0.82</v>
      </c>
      <c r="AK668" s="17" t="n">
        <v>0.9399999999999999</v>
      </c>
      <c r="AL668" s="17" t="n">
        <v>1</v>
      </c>
      <c r="AM668" s="18" t="n">
        <v>1</v>
      </c>
      <c r="AN668" s="16" t="n">
        <v>40</v>
      </c>
      <c r="AO668" s="17" t="n">
        <v>0</v>
      </c>
      <c r="AP668" s="17" t="n">
        <v>0</v>
      </c>
      <c r="AQ668" s="17" t="n">
        <v>9</v>
      </c>
      <c r="AR668" s="17" t="n">
        <v>9</v>
      </c>
      <c r="AS668" s="17" t="n">
        <v>0</v>
      </c>
      <c r="AT668" s="17" t="n">
        <v>0</v>
      </c>
      <c r="AU668" s="17" t="n">
        <v>19</v>
      </c>
      <c r="AV668" s="17" t="n">
        <v>4</v>
      </c>
      <c r="AW668" s="17" t="n">
        <v>0</v>
      </c>
      <c r="AX668" s="18" t="n">
        <v>0</v>
      </c>
      <c r="AY668" s="16" t="n">
        <v>32</v>
      </c>
      <c r="AZ668" s="17" t="n">
        <v>0</v>
      </c>
      <c r="BA668" s="17" t="n">
        <v>0</v>
      </c>
      <c r="BB668" s="17" t="n">
        <v>15</v>
      </c>
      <c r="BC668" s="17" t="n">
        <v>7</v>
      </c>
      <c r="BD668" s="17" t="n">
        <v>0</v>
      </c>
      <c r="BE668" s="17" t="n">
        <v>0</v>
      </c>
      <c r="BF668" s="17" t="n">
        <v>7</v>
      </c>
      <c r="BG668" s="17" t="n">
        <v>2</v>
      </c>
      <c r="BH668" s="17" t="n">
        <v>0</v>
      </c>
      <c r="BI668" s="18" t="n">
        <v>0</v>
      </c>
      <c r="BJ668" s="16" t="n">
        <v>8</v>
      </c>
      <c r="BK668" s="17" t="n">
        <v>0</v>
      </c>
      <c r="BL668" s="17" t="n">
        <v>0</v>
      </c>
      <c r="BM668" s="17" t="n">
        <v>-6</v>
      </c>
      <c r="BN668" s="17" t="n">
        <v>2</v>
      </c>
      <c r="BO668" s="17" t="n">
        <v>0</v>
      </c>
      <c r="BP668" s="17" t="n">
        <v>0</v>
      </c>
      <c r="BQ668" s="17" t="n">
        <v>11</v>
      </c>
      <c r="BR668" s="17" t="n">
        <v>1</v>
      </c>
      <c r="BS668" s="17" t="n">
        <v>0</v>
      </c>
      <c r="BT668" s="18" t="n">
        <v>0</v>
      </c>
      <c r="BU668" s="17" t="inlineStr">
        <is>
          <t>Generic Drug</t>
        </is>
      </c>
    </row>
    <row r="669" ht="20" customHeight="1">
      <c r="A669" s="15" t="inlineStr">
        <is>
          <t>57237022105</t>
        </is>
      </c>
      <c r="B669" s="15" t="inlineStr">
        <is>
          <t>PIOGLITAZONE 45MG TABLET</t>
        </is>
      </c>
      <c r="C669" s="16" t="n">
        <v>500</v>
      </c>
      <c r="D669" s="16" t="n">
        <v>0</v>
      </c>
      <c r="E669" s="16" t="n">
        <v>0</v>
      </c>
      <c r="F669" s="16" t="n">
        <v>0</v>
      </c>
      <c r="G669" s="16" t="n">
        <v>180</v>
      </c>
      <c r="H669" s="17" t="n">
        <v>0</v>
      </c>
      <c r="I669" s="17" t="n">
        <v>0</v>
      </c>
      <c r="J669" s="17" t="n">
        <v>90</v>
      </c>
      <c r="K669" s="17" t="n">
        <v>0</v>
      </c>
      <c r="L669" s="17" t="n">
        <v>0</v>
      </c>
      <c r="M669" s="17" t="n">
        <v>90</v>
      </c>
      <c r="N669" s="17" t="n">
        <v>0</v>
      </c>
      <c r="O669" s="17" t="n">
        <v>0</v>
      </c>
      <c r="P669" s="17" t="n">
        <v>0</v>
      </c>
      <c r="Q669" s="18" t="n">
        <v>0</v>
      </c>
      <c r="R669" s="16" t="n">
        <v>0.36</v>
      </c>
      <c r="S669" s="17" t="n">
        <v>0</v>
      </c>
      <c r="T669" s="17" t="n">
        <v>0</v>
      </c>
      <c r="U669" s="17" t="n">
        <v>0.18</v>
      </c>
      <c r="V669" s="17" t="n">
        <v>0</v>
      </c>
      <c r="W669" s="17" t="n">
        <v>0</v>
      </c>
      <c r="X669" s="17" t="n">
        <v>0.18</v>
      </c>
      <c r="Y669" s="17" t="n">
        <v>0</v>
      </c>
      <c r="Z669" s="17" t="n">
        <v>0</v>
      </c>
      <c r="AA669" s="17" t="n">
        <v>0</v>
      </c>
      <c r="AB669" s="18" t="n">
        <v>0</v>
      </c>
      <c r="AC669" s="16" t="n">
        <v>-0.36</v>
      </c>
      <c r="AD669" s="17" t="n">
        <v>0</v>
      </c>
      <c r="AE669" s="17" t="n">
        <v>0</v>
      </c>
      <c r="AF669" s="17" t="n">
        <v>-0.18</v>
      </c>
      <c r="AG669" s="17" t="n">
        <v>0</v>
      </c>
      <c r="AH669" s="17" t="n">
        <v>0</v>
      </c>
      <c r="AI669" s="17" t="n">
        <v>-0.18</v>
      </c>
      <c r="AJ669" s="17" t="n">
        <v>0</v>
      </c>
      <c r="AK669" s="17" t="n">
        <v>0</v>
      </c>
      <c r="AL669" s="17" t="n">
        <v>0</v>
      </c>
      <c r="AM669" s="18" t="n">
        <v>0</v>
      </c>
      <c r="AN669" s="16" t="n">
        <v>30</v>
      </c>
      <c r="AO669" s="17" t="n">
        <v>0</v>
      </c>
      <c r="AP669" s="17" t="n">
        <v>0</v>
      </c>
      <c r="AQ669" s="17" t="n">
        <v>12</v>
      </c>
      <c r="AR669" s="17" t="n">
        <v>0</v>
      </c>
      <c r="AS669" s="17" t="n">
        <v>0</v>
      </c>
      <c r="AT669" s="17" t="n">
        <v>18</v>
      </c>
      <c r="AU669" s="17" t="n">
        <v>0</v>
      </c>
      <c r="AV669" s="17" t="n">
        <v>0</v>
      </c>
      <c r="AW669" s="17" t="n">
        <v>0</v>
      </c>
      <c r="AX669" s="18" t="n">
        <v>0</v>
      </c>
      <c r="AY669" s="16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8" t="n">
        <v>0</v>
      </c>
      <c r="BJ669" s="16" t="n">
        <v>30</v>
      </c>
      <c r="BK669" s="17" t="n">
        <v>0</v>
      </c>
      <c r="BL669" s="17" t="n">
        <v>0</v>
      </c>
      <c r="BM669" s="17" t="n">
        <v>12</v>
      </c>
      <c r="BN669" s="17" t="n">
        <v>0</v>
      </c>
      <c r="BO669" s="17" t="n">
        <v>0</v>
      </c>
      <c r="BP669" s="17" t="n">
        <v>18</v>
      </c>
      <c r="BQ669" s="17" t="n">
        <v>0</v>
      </c>
      <c r="BR669" s="17" t="n">
        <v>0</v>
      </c>
      <c r="BS669" s="17" t="n">
        <v>0</v>
      </c>
      <c r="BT669" s="18" t="n">
        <v>0</v>
      </c>
      <c r="BU669" s="17" t="inlineStr">
        <is>
          <t>Unclassified</t>
        </is>
      </c>
    </row>
    <row r="670" ht="20" customHeight="1">
      <c r="A670" s="15" t="inlineStr">
        <is>
          <t>00087040203</t>
        </is>
      </c>
      <c r="B670" s="15" t="inlineStr">
        <is>
          <t>POLY-VI-SOL ORAL SOLUTION</t>
        </is>
      </c>
      <c r="C670" s="16" t="n">
        <v>50</v>
      </c>
      <c r="D670" s="16" t="n">
        <v>0</v>
      </c>
      <c r="E670" s="16" t="n">
        <v>0</v>
      </c>
      <c r="F670" s="16" t="n">
        <v>0</v>
      </c>
      <c r="G670" s="16" t="n">
        <v>0</v>
      </c>
      <c r="H670" s="17" t="n">
        <v>0</v>
      </c>
      <c r="I670" s="17" t="n">
        <v>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250</v>
      </c>
      <c r="O670" s="17" t="n">
        <v>0</v>
      </c>
      <c r="P670" s="17" t="n">
        <v>0</v>
      </c>
      <c r="Q670" s="18" t="n">
        <v>0</v>
      </c>
      <c r="R670" s="16" t="n">
        <v>0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7" t="n">
        <v>0</v>
      </c>
      <c r="Y670" s="17" t="n">
        <v>5</v>
      </c>
      <c r="Z670" s="17" t="n">
        <v>0</v>
      </c>
      <c r="AA670" s="17" t="n">
        <v>0</v>
      </c>
      <c r="AB670" s="18" t="n">
        <v>0</v>
      </c>
      <c r="AC670" s="16" t="n">
        <v>0</v>
      </c>
      <c r="AD670" s="17" t="n">
        <v>0</v>
      </c>
      <c r="AE670" s="17" t="n">
        <v>0</v>
      </c>
      <c r="AF670" s="17" t="n">
        <v>0</v>
      </c>
      <c r="AG670" s="17" t="n">
        <v>0</v>
      </c>
      <c r="AH670" s="17" t="n">
        <v>0</v>
      </c>
      <c r="AI670" s="17" t="n">
        <v>0</v>
      </c>
      <c r="AJ670" s="17" t="n">
        <v>-5</v>
      </c>
      <c r="AK670" s="17" t="n">
        <v>0</v>
      </c>
      <c r="AL670" s="17" t="n">
        <v>0</v>
      </c>
      <c r="AM670" s="18" t="n">
        <v>0</v>
      </c>
      <c r="AN670" s="16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91</v>
      </c>
      <c r="AV670" s="17" t="n">
        <v>0</v>
      </c>
      <c r="AW670" s="17" t="n">
        <v>0</v>
      </c>
      <c r="AX670" s="18" t="n">
        <v>0</v>
      </c>
      <c r="AY670" s="16" t="n">
        <v>0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7" t="n">
        <v>0</v>
      </c>
      <c r="BI670" s="18" t="n">
        <v>0</v>
      </c>
      <c r="BJ670" s="16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91</v>
      </c>
      <c r="BR670" s="17" t="n">
        <v>0</v>
      </c>
      <c r="BS670" s="17" t="n">
        <v>0</v>
      </c>
      <c r="BT670" s="18" t="n">
        <v>0</v>
      </c>
      <c r="BU670" s="17" t="inlineStr">
        <is>
          <t>Unclassified</t>
        </is>
      </c>
    </row>
    <row r="671" ht="20" customHeight="1">
      <c r="A671" s="15" t="inlineStr">
        <is>
          <t>00536105227</t>
        </is>
      </c>
      <c r="B671" s="15" t="inlineStr">
        <is>
          <t>POLYETHYLENE GLYCOL 3350 17GM/SCOOP POWDER</t>
        </is>
      </c>
      <c r="C671" s="16" t="n">
        <v>510</v>
      </c>
      <c r="D671" s="16" t="n">
        <v>20</v>
      </c>
      <c r="E671" s="16" t="n">
        <v>20</v>
      </c>
      <c r="F671" s="16" t="n">
        <v>10</v>
      </c>
      <c r="G671" s="16" t="n">
        <v>0</v>
      </c>
      <c r="H671" s="17" t="n">
        <v>0</v>
      </c>
      <c r="I671" s="17" t="n">
        <v>0</v>
      </c>
      <c r="J671" s="17" t="n">
        <v>1020</v>
      </c>
      <c r="K671" s="17" t="n">
        <v>0</v>
      </c>
      <c r="L671" s="17" t="n">
        <v>0</v>
      </c>
      <c r="M671" s="17" t="n">
        <v>0</v>
      </c>
      <c r="N671" s="17" t="n">
        <v>14280</v>
      </c>
      <c r="O671" s="17" t="n">
        <v>0</v>
      </c>
      <c r="P671" s="17" t="n">
        <v>0</v>
      </c>
      <c r="Q671" s="18" t="n">
        <v>0</v>
      </c>
      <c r="R671" s="16" t="n">
        <v>0</v>
      </c>
      <c r="S671" s="17" t="n">
        <v>0</v>
      </c>
      <c r="T671" s="17" t="n">
        <v>0</v>
      </c>
      <c r="U671" s="17" t="n">
        <v>2</v>
      </c>
      <c r="V671" s="17" t="n">
        <v>0</v>
      </c>
      <c r="W671" s="17" t="n">
        <v>0</v>
      </c>
      <c r="X671" s="17" t="n">
        <v>0</v>
      </c>
      <c r="Y671" s="17" t="n">
        <v>28</v>
      </c>
      <c r="Z671" s="17" t="n">
        <v>0</v>
      </c>
      <c r="AA671" s="17" t="n">
        <v>0</v>
      </c>
      <c r="AB671" s="18" t="n">
        <v>0</v>
      </c>
      <c r="AC671" s="16" t="n">
        <v>20</v>
      </c>
      <c r="AD671" s="17" t="n">
        <v>20</v>
      </c>
      <c r="AE671" s="17" t="n">
        <v>20</v>
      </c>
      <c r="AF671" s="17" t="n">
        <v>18</v>
      </c>
      <c r="AG671" s="17" t="n">
        <v>20</v>
      </c>
      <c r="AH671" s="17" t="n">
        <v>20</v>
      </c>
      <c r="AI671" s="17" t="n">
        <v>20</v>
      </c>
      <c r="AJ671" s="17" t="n">
        <v>-8</v>
      </c>
      <c r="AK671" s="17" t="n">
        <v>20</v>
      </c>
      <c r="AL671" s="17" t="n">
        <v>20</v>
      </c>
      <c r="AM671" s="18" t="n">
        <v>20</v>
      </c>
      <c r="AN671" s="16" t="n">
        <v>0</v>
      </c>
      <c r="AO671" s="17" t="n">
        <v>0</v>
      </c>
      <c r="AP671" s="17" t="n">
        <v>0</v>
      </c>
      <c r="AQ671" s="17" t="n">
        <v>9</v>
      </c>
      <c r="AR671" s="17" t="n">
        <v>0</v>
      </c>
      <c r="AS671" s="17" t="n">
        <v>0</v>
      </c>
      <c r="AT671" s="17" t="n">
        <v>0</v>
      </c>
      <c r="AU671" s="17" t="n">
        <v>548</v>
      </c>
      <c r="AV671" s="17" t="n">
        <v>0</v>
      </c>
      <c r="AW671" s="17" t="n">
        <v>0</v>
      </c>
      <c r="AX671" s="18" t="n">
        <v>0</v>
      </c>
      <c r="AY671" s="16" t="n">
        <v>0</v>
      </c>
      <c r="AZ671" s="17" t="n">
        <v>0</v>
      </c>
      <c r="BA671" s="17" t="n">
        <v>0</v>
      </c>
      <c r="BB671" s="17" t="n">
        <v>20</v>
      </c>
      <c r="BC671" s="17" t="n">
        <v>0</v>
      </c>
      <c r="BD671" s="17" t="n">
        <v>0</v>
      </c>
      <c r="BE671" s="17" t="n">
        <v>0</v>
      </c>
      <c r="BF671" s="17" t="n">
        <v>280</v>
      </c>
      <c r="BG671" s="17" t="n">
        <v>0</v>
      </c>
      <c r="BH671" s="17" t="n">
        <v>0</v>
      </c>
      <c r="BI671" s="18" t="n">
        <v>0</v>
      </c>
      <c r="BJ671" s="16" t="n">
        <v>0</v>
      </c>
      <c r="BK671" s="17" t="n">
        <v>0</v>
      </c>
      <c r="BL671" s="17" t="n">
        <v>0</v>
      </c>
      <c r="BM671" s="17" t="n">
        <v>-11</v>
      </c>
      <c r="BN671" s="17" t="n">
        <v>0</v>
      </c>
      <c r="BO671" s="17" t="n">
        <v>0</v>
      </c>
      <c r="BP671" s="17" t="n">
        <v>0</v>
      </c>
      <c r="BQ671" s="17" t="n">
        <v>268</v>
      </c>
      <c r="BR671" s="17" t="n">
        <v>0</v>
      </c>
      <c r="BS671" s="17" t="n">
        <v>0</v>
      </c>
      <c r="BT671" s="18" t="n">
        <v>0</v>
      </c>
      <c r="BU671" s="17" t="inlineStr">
        <is>
          <t>OTC Drug</t>
        </is>
      </c>
    </row>
    <row r="672" ht="20" customHeight="1">
      <c r="A672" s="15" t="inlineStr">
        <is>
          <t>00832532411</t>
        </is>
      </c>
      <c r="B672" s="15" t="inlineStr">
        <is>
          <t>POTASSIUM CHLORIDE 10MEQ TABLET ER</t>
        </is>
      </c>
      <c r="C672" s="16" t="n">
        <v>100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30</v>
      </c>
      <c r="K672" s="17" t="n">
        <v>0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0</v>
      </c>
      <c r="Q672" s="18" t="n">
        <v>0</v>
      </c>
      <c r="R672" s="16" t="n">
        <v>0.3</v>
      </c>
      <c r="S672" s="17" t="n">
        <v>0</v>
      </c>
      <c r="T672" s="17" t="n">
        <v>0</v>
      </c>
      <c r="U672" s="17" t="n">
        <v>0.3</v>
      </c>
      <c r="V672" s="17" t="n">
        <v>0</v>
      </c>
      <c r="W672" s="17" t="n">
        <v>0</v>
      </c>
      <c r="X672" s="17" t="n">
        <v>0</v>
      </c>
      <c r="Y672" s="17" t="n">
        <v>0</v>
      </c>
      <c r="Z672" s="17" t="n">
        <v>0</v>
      </c>
      <c r="AA672" s="17" t="n">
        <v>0</v>
      </c>
      <c r="AB672" s="18" t="n">
        <v>0</v>
      </c>
      <c r="AC672" s="16" t="n">
        <v>-0.3</v>
      </c>
      <c r="AD672" s="17" t="n">
        <v>0</v>
      </c>
      <c r="AE672" s="17" t="n">
        <v>0</v>
      </c>
      <c r="AF672" s="17" t="n">
        <v>-0.3</v>
      </c>
      <c r="AG672" s="17" t="n">
        <v>0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8" t="n">
        <v>0</v>
      </c>
      <c r="AN672" s="16" t="n">
        <v>2</v>
      </c>
      <c r="AO672" s="17" t="n">
        <v>0</v>
      </c>
      <c r="AP672" s="17" t="n">
        <v>0</v>
      </c>
      <c r="AQ672" s="17" t="n">
        <v>1</v>
      </c>
      <c r="AR672" s="17" t="n">
        <v>0</v>
      </c>
      <c r="AS672" s="17" t="n">
        <v>0</v>
      </c>
      <c r="AT672" s="17" t="n">
        <v>0</v>
      </c>
      <c r="AU672" s="17" t="n">
        <v>0</v>
      </c>
      <c r="AV672" s="17" t="n">
        <v>0</v>
      </c>
      <c r="AW672" s="17" t="n">
        <v>0</v>
      </c>
      <c r="AX672" s="18" t="n">
        <v>0</v>
      </c>
      <c r="AY672" s="16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7" t="n">
        <v>0</v>
      </c>
      <c r="BG672" s="17" t="n">
        <v>0</v>
      </c>
      <c r="BH672" s="17" t="n">
        <v>0</v>
      </c>
      <c r="BI672" s="18" t="n">
        <v>0</v>
      </c>
      <c r="BJ672" s="16" t="n">
        <v>2</v>
      </c>
      <c r="BK672" s="17" t="n">
        <v>0</v>
      </c>
      <c r="BL672" s="17" t="n">
        <v>0</v>
      </c>
      <c r="BM672" s="17" t="n">
        <v>1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7" t="n">
        <v>0</v>
      </c>
      <c r="BT672" s="18" t="n">
        <v>0</v>
      </c>
      <c r="BU672" s="17" t="inlineStr">
        <is>
          <t>Unclassified</t>
        </is>
      </c>
    </row>
    <row r="673" ht="20" customHeight="1">
      <c r="A673" s="15" t="inlineStr">
        <is>
          <t>71930005012</t>
        </is>
      </c>
      <c r="B673" s="15" t="inlineStr">
        <is>
          <t>POTASSIUM CITRATE 15MEQ TABLET EXTENDED RELEASE</t>
        </is>
      </c>
      <c r="C673" s="16" t="n">
        <v>100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60</v>
      </c>
      <c r="O673" s="17" t="n">
        <v>0</v>
      </c>
      <c r="P673" s="17" t="n">
        <v>0</v>
      </c>
      <c r="Q673" s="18" t="n">
        <v>0</v>
      </c>
      <c r="R673" s="16" t="n">
        <v>1.8</v>
      </c>
      <c r="S673" s="17" t="n">
        <v>0</v>
      </c>
      <c r="T673" s="17" t="n">
        <v>0</v>
      </c>
      <c r="U673" s="17" t="n">
        <v>1.2</v>
      </c>
      <c r="V673" s="17" t="n">
        <v>0</v>
      </c>
      <c r="W673" s="17" t="n">
        <v>0</v>
      </c>
      <c r="X673" s="17" t="n">
        <v>0</v>
      </c>
      <c r="Y673" s="17" t="n">
        <v>0.6</v>
      </c>
      <c r="Z673" s="17" t="n">
        <v>0</v>
      </c>
      <c r="AA673" s="17" t="n">
        <v>0</v>
      </c>
      <c r="AB673" s="18" t="n">
        <v>0</v>
      </c>
      <c r="AC673" s="16" t="n">
        <v>-1.8</v>
      </c>
      <c r="AD673" s="17" t="n">
        <v>0</v>
      </c>
      <c r="AE673" s="17" t="n">
        <v>0</v>
      </c>
      <c r="AF673" s="17" t="n">
        <v>-1.2</v>
      </c>
      <c r="AG673" s="17" t="n">
        <v>0</v>
      </c>
      <c r="AH673" s="17" t="n">
        <v>0</v>
      </c>
      <c r="AI673" s="17" t="n">
        <v>0</v>
      </c>
      <c r="AJ673" s="17" t="n">
        <v>-0.6</v>
      </c>
      <c r="AK673" s="17" t="n">
        <v>0</v>
      </c>
      <c r="AL673" s="17" t="n">
        <v>0</v>
      </c>
      <c r="AM673" s="18" t="n">
        <v>0</v>
      </c>
      <c r="AN673" s="16" t="n">
        <v>46</v>
      </c>
      <c r="AO673" s="17" t="n">
        <v>0</v>
      </c>
      <c r="AP673" s="17" t="n">
        <v>0</v>
      </c>
      <c r="AQ673" s="17" t="n">
        <v>22</v>
      </c>
      <c r="AR673" s="17" t="n">
        <v>0</v>
      </c>
      <c r="AS673" s="17" t="n">
        <v>0</v>
      </c>
      <c r="AT673" s="17" t="n">
        <v>0</v>
      </c>
      <c r="AU673" s="17" t="n">
        <v>22</v>
      </c>
      <c r="AV673" s="17" t="n">
        <v>0</v>
      </c>
      <c r="AW673" s="17" t="n">
        <v>0</v>
      </c>
      <c r="AX673" s="18" t="n">
        <v>0</v>
      </c>
      <c r="AY673" s="16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8" t="n">
        <v>0</v>
      </c>
      <c r="BJ673" s="16" t="n">
        <v>46</v>
      </c>
      <c r="BK673" s="17" t="n">
        <v>0</v>
      </c>
      <c r="BL673" s="17" t="n">
        <v>0</v>
      </c>
      <c r="BM673" s="17" t="n">
        <v>22</v>
      </c>
      <c r="BN673" s="17" t="n">
        <v>0</v>
      </c>
      <c r="BO673" s="17" t="n">
        <v>0</v>
      </c>
      <c r="BP673" s="17" t="n">
        <v>0</v>
      </c>
      <c r="BQ673" s="17" t="n">
        <v>22</v>
      </c>
      <c r="BR673" s="17" t="n">
        <v>0</v>
      </c>
      <c r="BS673" s="17" t="n">
        <v>0</v>
      </c>
      <c r="BT673" s="18" t="n">
        <v>0</v>
      </c>
      <c r="BU673" s="17" t="inlineStr">
        <is>
          <t>Unclassified</t>
        </is>
      </c>
    </row>
    <row r="674" ht="20" customHeight="1">
      <c r="A674" s="15" t="inlineStr">
        <is>
          <t>00832532510</t>
        </is>
      </c>
      <c r="B674" s="15" t="inlineStr">
        <is>
          <t>POTASSIUM ER 20MEQ TABLET</t>
        </is>
      </c>
      <c r="C674" s="16" t="n">
        <v>1000</v>
      </c>
      <c r="D674" s="16" t="n">
        <v>1</v>
      </c>
      <c r="E674" s="16" t="n">
        <v>1</v>
      </c>
      <c r="F674" s="16" t="n">
        <v>136</v>
      </c>
      <c r="G674" s="16" t="n">
        <v>90</v>
      </c>
      <c r="H674" s="17" t="n">
        <v>0</v>
      </c>
      <c r="I674" s="17" t="n">
        <v>0</v>
      </c>
      <c r="J674" s="17" t="n">
        <v>60</v>
      </c>
      <c r="K674" s="17" t="n">
        <v>0</v>
      </c>
      <c r="L674" s="17" t="n">
        <v>0</v>
      </c>
      <c r="M674" s="17" t="n">
        <v>0</v>
      </c>
      <c r="N674" s="17" t="n">
        <v>30</v>
      </c>
      <c r="O674" s="17" t="n">
        <v>0</v>
      </c>
      <c r="P674" s="17" t="n">
        <v>0</v>
      </c>
      <c r="Q674" s="18" t="n">
        <v>0</v>
      </c>
      <c r="R674" s="16" t="n">
        <v>0.09</v>
      </c>
      <c r="S674" s="17" t="n">
        <v>0</v>
      </c>
      <c r="T674" s="17" t="n">
        <v>0</v>
      </c>
      <c r="U674" s="17" t="n">
        <v>0.06</v>
      </c>
      <c r="V674" s="17" t="n">
        <v>0</v>
      </c>
      <c r="W674" s="17" t="n">
        <v>0</v>
      </c>
      <c r="X674" s="17" t="n">
        <v>0</v>
      </c>
      <c r="Y674" s="17" t="n">
        <v>0.03</v>
      </c>
      <c r="Z674" s="17" t="n">
        <v>0</v>
      </c>
      <c r="AA674" s="17" t="n">
        <v>0</v>
      </c>
      <c r="AB674" s="18" t="n">
        <v>0</v>
      </c>
      <c r="AC674" s="16" t="n">
        <v>0.91</v>
      </c>
      <c r="AD674" s="17" t="n">
        <v>1</v>
      </c>
      <c r="AE674" s="17" t="n">
        <v>1</v>
      </c>
      <c r="AF674" s="17" t="n">
        <v>0.9399999999999999</v>
      </c>
      <c r="AG674" s="17" t="n">
        <v>1</v>
      </c>
      <c r="AH674" s="17" t="n">
        <v>1</v>
      </c>
      <c r="AI674" s="17" t="n">
        <v>1</v>
      </c>
      <c r="AJ674" s="17" t="n">
        <v>0.97</v>
      </c>
      <c r="AK674" s="17" t="n">
        <v>1</v>
      </c>
      <c r="AL674" s="17" t="n">
        <v>1</v>
      </c>
      <c r="AM674" s="18" t="n">
        <v>1</v>
      </c>
      <c r="AN674" s="16" t="n">
        <v>19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7" t="n">
        <v>0</v>
      </c>
      <c r="AT674" s="17" t="n">
        <v>0</v>
      </c>
      <c r="AU674" s="17" t="n">
        <v>14</v>
      </c>
      <c r="AV674" s="17" t="n">
        <v>0</v>
      </c>
      <c r="AW674" s="17" t="n">
        <v>0</v>
      </c>
      <c r="AX674" s="18" t="n">
        <v>0</v>
      </c>
      <c r="AY674" s="16" t="n">
        <v>12</v>
      </c>
      <c r="AZ674" s="17" t="n">
        <v>0</v>
      </c>
      <c r="BA674" s="17" t="n">
        <v>0</v>
      </c>
      <c r="BB674" s="17" t="n">
        <v>8</v>
      </c>
      <c r="BC674" s="17" t="n">
        <v>0</v>
      </c>
      <c r="BD674" s="17" t="n">
        <v>0</v>
      </c>
      <c r="BE674" s="17" t="n">
        <v>0</v>
      </c>
      <c r="BF674" s="17" t="n">
        <v>4</v>
      </c>
      <c r="BG674" s="17" t="n">
        <v>0</v>
      </c>
      <c r="BH674" s="17" t="n">
        <v>0</v>
      </c>
      <c r="BI674" s="18" t="n">
        <v>0</v>
      </c>
      <c r="BJ674" s="16" t="n">
        <v>7</v>
      </c>
      <c r="BK674" s="17" t="n">
        <v>0</v>
      </c>
      <c r="BL674" s="17" t="n">
        <v>0</v>
      </c>
      <c r="BM674" s="17" t="n">
        <v>-8</v>
      </c>
      <c r="BN674" s="17" t="n">
        <v>0</v>
      </c>
      <c r="BO674" s="17" t="n">
        <v>0</v>
      </c>
      <c r="BP674" s="17" t="n">
        <v>0</v>
      </c>
      <c r="BQ674" s="17" t="n">
        <v>10</v>
      </c>
      <c r="BR674" s="17" t="n">
        <v>0</v>
      </c>
      <c r="BS674" s="17" t="n">
        <v>0</v>
      </c>
      <c r="BT674" s="18" t="n">
        <v>0</v>
      </c>
      <c r="BU674" s="17" t="inlineStr">
        <is>
          <t>Generic Drug</t>
        </is>
      </c>
    </row>
    <row r="675" ht="20" customHeight="1">
      <c r="A675" s="15" t="inlineStr">
        <is>
          <t>00093720110</t>
        </is>
      </c>
      <c r="B675" s="15" t="inlineStr">
        <is>
          <t>PRAVASTATIN 20MG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180</v>
      </c>
      <c r="H675" s="17" t="n">
        <v>0</v>
      </c>
      <c r="I675" s="17" t="n">
        <v>0</v>
      </c>
      <c r="J675" s="17" t="n">
        <v>90</v>
      </c>
      <c r="K675" s="17" t="n">
        <v>0</v>
      </c>
      <c r="L675" s="17" t="n">
        <v>0</v>
      </c>
      <c r="M675" s="17" t="n">
        <v>0</v>
      </c>
      <c r="N675" s="17" t="n">
        <v>90</v>
      </c>
      <c r="O675" s="17" t="n">
        <v>0</v>
      </c>
      <c r="P675" s="17" t="n">
        <v>0</v>
      </c>
      <c r="Q675" s="18" t="n">
        <v>0</v>
      </c>
      <c r="R675" s="16" t="n">
        <v>0.18</v>
      </c>
      <c r="S675" s="17" t="n">
        <v>0</v>
      </c>
      <c r="T675" s="17" t="n">
        <v>0</v>
      </c>
      <c r="U675" s="17" t="n">
        <v>0.09</v>
      </c>
      <c r="V675" s="17" t="n">
        <v>0</v>
      </c>
      <c r="W675" s="17" t="n">
        <v>0</v>
      </c>
      <c r="X675" s="17" t="n">
        <v>0</v>
      </c>
      <c r="Y675" s="17" t="n">
        <v>0.09</v>
      </c>
      <c r="Z675" s="17" t="n">
        <v>0</v>
      </c>
      <c r="AA675" s="17" t="n">
        <v>0</v>
      </c>
      <c r="AB675" s="18" t="n">
        <v>0</v>
      </c>
      <c r="AC675" s="16" t="n">
        <v>-0.18</v>
      </c>
      <c r="AD675" s="17" t="n">
        <v>0</v>
      </c>
      <c r="AE675" s="17" t="n">
        <v>0</v>
      </c>
      <c r="AF675" s="17" t="n">
        <v>-0.09</v>
      </c>
      <c r="AG675" s="17" t="n">
        <v>0</v>
      </c>
      <c r="AH675" s="17" t="n">
        <v>0</v>
      </c>
      <c r="AI675" s="17" t="n">
        <v>0</v>
      </c>
      <c r="AJ675" s="17" t="n">
        <v>-0.09</v>
      </c>
      <c r="AK675" s="17" t="n">
        <v>0</v>
      </c>
      <c r="AL675" s="17" t="n">
        <v>0</v>
      </c>
      <c r="AM675" s="18" t="n">
        <v>0</v>
      </c>
      <c r="AN675" s="16" t="n">
        <v>22</v>
      </c>
      <c r="AO675" s="17" t="n">
        <v>0</v>
      </c>
      <c r="AP675" s="17" t="n">
        <v>0</v>
      </c>
      <c r="AQ675" s="17" t="n">
        <v>6</v>
      </c>
      <c r="AR675" s="17" t="n">
        <v>0</v>
      </c>
      <c r="AS675" s="17" t="n">
        <v>0</v>
      </c>
      <c r="AT675" s="17" t="n">
        <v>0</v>
      </c>
      <c r="AU675" s="17" t="n">
        <v>16</v>
      </c>
      <c r="AV675" s="17" t="n">
        <v>0</v>
      </c>
      <c r="AW675" s="17" t="n">
        <v>0</v>
      </c>
      <c r="AX675" s="18" t="n">
        <v>0</v>
      </c>
      <c r="AY675" s="16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8" t="n">
        <v>0</v>
      </c>
      <c r="BJ675" s="16" t="n">
        <v>22</v>
      </c>
      <c r="BK675" s="17" t="n">
        <v>0</v>
      </c>
      <c r="BL675" s="17" t="n">
        <v>0</v>
      </c>
      <c r="BM675" s="17" t="n">
        <v>6</v>
      </c>
      <c r="BN675" s="17" t="n">
        <v>0</v>
      </c>
      <c r="BO675" s="17" t="n">
        <v>0</v>
      </c>
      <c r="BP675" s="17" t="n">
        <v>0</v>
      </c>
      <c r="BQ675" s="17" t="n">
        <v>16</v>
      </c>
      <c r="BR675" s="17" t="n">
        <v>0</v>
      </c>
      <c r="BS675" s="17" t="n">
        <v>0</v>
      </c>
      <c r="BT675" s="18" t="n">
        <v>0</v>
      </c>
      <c r="BU675" s="17" t="inlineStr">
        <is>
          <t>Unclassified</t>
        </is>
      </c>
    </row>
    <row r="676" ht="20" customHeight="1">
      <c r="A676" s="15" t="inlineStr">
        <is>
          <t>00093720210</t>
        </is>
      </c>
      <c r="B676" s="15" t="inlineStr">
        <is>
          <t>PRAVASTATIN 40MG TABLET</t>
        </is>
      </c>
      <c r="C676" s="16" t="n">
        <v>1000</v>
      </c>
      <c r="D676" s="16" t="n">
        <v>0</v>
      </c>
      <c r="E676" s="16" t="n">
        <v>0</v>
      </c>
      <c r="F676" s="16" t="n">
        <v>0</v>
      </c>
      <c r="G676" s="16" t="n">
        <v>180</v>
      </c>
      <c r="H676" s="17" t="n">
        <v>0</v>
      </c>
      <c r="I676" s="17" t="n">
        <v>0</v>
      </c>
      <c r="J676" s="17" t="n">
        <v>180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8" t="n">
        <v>0</v>
      </c>
      <c r="R676" s="16" t="n">
        <v>0.18</v>
      </c>
      <c r="S676" s="17" t="n">
        <v>0</v>
      </c>
      <c r="T676" s="17" t="n">
        <v>0</v>
      </c>
      <c r="U676" s="17" t="n">
        <v>0.18</v>
      </c>
      <c r="V676" s="17" t="n">
        <v>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8" t="n">
        <v>0</v>
      </c>
      <c r="AC676" s="16" t="n">
        <v>-0.18</v>
      </c>
      <c r="AD676" s="17" t="n">
        <v>0</v>
      </c>
      <c r="AE676" s="17" t="n">
        <v>0</v>
      </c>
      <c r="AF676" s="17" t="n">
        <v>-0.18</v>
      </c>
      <c r="AG676" s="17" t="n">
        <v>0</v>
      </c>
      <c r="AH676" s="17" t="n">
        <v>0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8" t="n">
        <v>0</v>
      </c>
      <c r="AN676" s="16" t="n">
        <v>17</v>
      </c>
      <c r="AO676" s="17" t="n">
        <v>0</v>
      </c>
      <c r="AP676" s="17" t="n">
        <v>0</v>
      </c>
      <c r="AQ676" s="17" t="n">
        <v>17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8" t="n">
        <v>0</v>
      </c>
      <c r="AY676" s="16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7" t="n">
        <v>0</v>
      </c>
      <c r="BG676" s="17" t="n">
        <v>0</v>
      </c>
      <c r="BH676" s="17" t="n">
        <v>0</v>
      </c>
      <c r="BI676" s="18" t="n">
        <v>0</v>
      </c>
      <c r="BJ676" s="16" t="n">
        <v>17</v>
      </c>
      <c r="BK676" s="17" t="n">
        <v>0</v>
      </c>
      <c r="BL676" s="17" t="n">
        <v>0</v>
      </c>
      <c r="BM676" s="17" t="n">
        <v>17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7" t="n">
        <v>0</v>
      </c>
      <c r="BT676" s="18" t="n">
        <v>0</v>
      </c>
      <c r="BU676" s="17" t="inlineStr">
        <is>
          <t>Unclassified</t>
        </is>
      </c>
    </row>
    <row r="677" ht="20" customHeight="1">
      <c r="A677" s="15" t="inlineStr">
        <is>
          <t>70377004812</t>
        </is>
      </c>
      <c r="B677" s="15" t="inlineStr">
        <is>
          <t>PRAVASTATIN 80MG TABLET</t>
        </is>
      </c>
      <c r="C677" s="16" t="n">
        <v>90</v>
      </c>
      <c r="D677" s="16" t="n">
        <v>0</v>
      </c>
      <c r="E677" s="16" t="n">
        <v>0</v>
      </c>
      <c r="F677" s="16" t="n">
        <v>0</v>
      </c>
      <c r="G677" s="16" t="n">
        <v>60</v>
      </c>
      <c r="H677" s="17" t="n">
        <v>0</v>
      </c>
      <c r="I677" s="17" t="n">
        <v>0</v>
      </c>
      <c r="J677" s="17" t="n">
        <v>30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30</v>
      </c>
      <c r="P677" s="17" t="n">
        <v>0</v>
      </c>
      <c r="Q677" s="18" t="n">
        <v>0</v>
      </c>
      <c r="R677" s="16" t="n">
        <v>0.667</v>
      </c>
      <c r="S677" s="17" t="n">
        <v>0</v>
      </c>
      <c r="T677" s="17" t="n">
        <v>0</v>
      </c>
      <c r="U677" s="17" t="n">
        <v>0.333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0.333</v>
      </c>
      <c r="AA677" s="17" t="n">
        <v>0</v>
      </c>
      <c r="AB677" s="18" t="n">
        <v>0</v>
      </c>
      <c r="AC677" s="16" t="n">
        <v>-0.667</v>
      </c>
      <c r="AD677" s="17" t="n">
        <v>0</v>
      </c>
      <c r="AE677" s="17" t="n">
        <v>0</v>
      </c>
      <c r="AF677" s="17" t="n">
        <v>-0.333</v>
      </c>
      <c r="AG677" s="17" t="n">
        <v>0</v>
      </c>
      <c r="AH677" s="17" t="n">
        <v>0</v>
      </c>
      <c r="AI677" s="17" t="n">
        <v>0</v>
      </c>
      <c r="AJ677" s="17" t="n">
        <v>0</v>
      </c>
      <c r="AK677" s="17" t="n">
        <v>-0.333</v>
      </c>
      <c r="AL677" s="17" t="n">
        <v>0</v>
      </c>
      <c r="AM677" s="18" t="n">
        <v>0</v>
      </c>
      <c r="AN677" s="16" t="n">
        <v>34</v>
      </c>
      <c r="AO677" s="17" t="n">
        <v>0</v>
      </c>
      <c r="AP677" s="17" t="n">
        <v>0</v>
      </c>
      <c r="AQ677" s="17" t="n">
        <v>9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8" t="n">
        <v>0</v>
      </c>
      <c r="AY677" s="16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8" t="n">
        <v>0</v>
      </c>
      <c r="BJ677" s="16" t="n">
        <v>34</v>
      </c>
      <c r="BK677" s="17" t="n">
        <v>0</v>
      </c>
      <c r="BL677" s="17" t="n">
        <v>0</v>
      </c>
      <c r="BM677" s="17" t="n">
        <v>9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8" t="n">
        <v>0</v>
      </c>
      <c r="BU677" s="17" t="inlineStr">
        <is>
          <t>Unclassified</t>
        </is>
      </c>
    </row>
    <row r="678" ht="20" customHeight="1">
      <c r="A678" s="15" t="inlineStr">
        <is>
          <t>70377006611</t>
        </is>
      </c>
      <c r="B678" s="15" t="inlineStr">
        <is>
          <t>PRAZOSIN HCL 1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90</v>
      </c>
      <c r="H678" s="17" t="n">
        <v>0</v>
      </c>
      <c r="I678" s="17" t="n">
        <v>0</v>
      </c>
      <c r="J678" s="17" t="n">
        <v>0</v>
      </c>
      <c r="K678" s="17" t="n">
        <v>0</v>
      </c>
      <c r="L678" s="17" t="n">
        <v>0</v>
      </c>
      <c r="M678" s="17" t="n">
        <v>0</v>
      </c>
      <c r="N678" s="17" t="n">
        <v>90</v>
      </c>
      <c r="O678" s="17" t="n">
        <v>0</v>
      </c>
      <c r="P678" s="17" t="n">
        <v>0</v>
      </c>
      <c r="Q678" s="18" t="n">
        <v>0</v>
      </c>
      <c r="R678" s="16" t="n">
        <v>0.9</v>
      </c>
      <c r="S678" s="17" t="n">
        <v>0</v>
      </c>
      <c r="T678" s="17" t="n">
        <v>0</v>
      </c>
      <c r="U678" s="17" t="n">
        <v>0</v>
      </c>
      <c r="V678" s="17" t="n">
        <v>0</v>
      </c>
      <c r="W678" s="17" t="n">
        <v>0</v>
      </c>
      <c r="X678" s="17" t="n">
        <v>0</v>
      </c>
      <c r="Y678" s="17" t="n">
        <v>0.9</v>
      </c>
      <c r="Z678" s="17" t="n">
        <v>0</v>
      </c>
      <c r="AA678" s="17" t="n">
        <v>0</v>
      </c>
      <c r="AB678" s="18" t="n">
        <v>0</v>
      </c>
      <c r="AC678" s="16" t="n">
        <v>-0.9</v>
      </c>
      <c r="AD678" s="17" t="n">
        <v>0</v>
      </c>
      <c r="AE678" s="17" t="n">
        <v>0</v>
      </c>
      <c r="AF678" s="17" t="n">
        <v>0</v>
      </c>
      <c r="AG678" s="17" t="n">
        <v>0</v>
      </c>
      <c r="AH678" s="17" t="n">
        <v>0</v>
      </c>
      <c r="AI678" s="17" t="n">
        <v>0</v>
      </c>
      <c r="AJ678" s="17" t="n">
        <v>-0.9</v>
      </c>
      <c r="AK678" s="17" t="n">
        <v>0</v>
      </c>
      <c r="AL678" s="17" t="n">
        <v>0</v>
      </c>
      <c r="AM678" s="18" t="n">
        <v>0</v>
      </c>
      <c r="AN678" s="16" t="n">
        <v>17</v>
      </c>
      <c r="AO678" s="17" t="n">
        <v>0</v>
      </c>
      <c r="AP678" s="17" t="n">
        <v>0</v>
      </c>
      <c r="AQ678" s="17" t="n">
        <v>0</v>
      </c>
      <c r="AR678" s="17" t="n">
        <v>0</v>
      </c>
      <c r="AS678" s="17" t="n">
        <v>0</v>
      </c>
      <c r="AT678" s="17" t="n">
        <v>0</v>
      </c>
      <c r="AU678" s="17" t="n">
        <v>17</v>
      </c>
      <c r="AV678" s="17" t="n">
        <v>0</v>
      </c>
      <c r="AW678" s="17" t="n">
        <v>0</v>
      </c>
      <c r="AX678" s="18" t="n">
        <v>0</v>
      </c>
      <c r="AY678" s="16" t="n">
        <v>0</v>
      </c>
      <c r="AZ678" s="17" t="n">
        <v>0</v>
      </c>
      <c r="BA678" s="17" t="n">
        <v>0</v>
      </c>
      <c r="BB678" s="17" t="n">
        <v>0</v>
      </c>
      <c r="BC678" s="17" t="n">
        <v>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7" t="n">
        <v>0</v>
      </c>
      <c r="BI678" s="18" t="n">
        <v>0</v>
      </c>
      <c r="BJ678" s="16" t="n">
        <v>17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17</v>
      </c>
      <c r="BR678" s="17" t="n">
        <v>0</v>
      </c>
      <c r="BS678" s="17" t="n">
        <v>0</v>
      </c>
      <c r="BT678" s="18" t="n">
        <v>0</v>
      </c>
      <c r="BU678" s="17" t="inlineStr">
        <is>
          <t>Unclassified</t>
        </is>
      </c>
    </row>
    <row r="679" ht="20" customHeight="1">
      <c r="A679" s="15" t="inlineStr">
        <is>
          <t>70377006711</t>
        </is>
      </c>
      <c r="B679" s="15" t="inlineStr">
        <is>
          <t>PRAZOSIN HCL 2 MG ORAL CAPSULE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90</v>
      </c>
      <c r="H679" s="17" t="n">
        <v>0</v>
      </c>
      <c r="I679" s="17" t="n">
        <v>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90</v>
      </c>
      <c r="O679" s="17" t="n">
        <v>0</v>
      </c>
      <c r="P679" s="17" t="n">
        <v>0</v>
      </c>
      <c r="Q679" s="18" t="n">
        <v>0</v>
      </c>
      <c r="R679" s="16" t="n">
        <v>0.9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0.9</v>
      </c>
      <c r="Z679" s="17" t="n">
        <v>0</v>
      </c>
      <c r="AA679" s="17" t="n">
        <v>0</v>
      </c>
      <c r="AB679" s="18" t="n">
        <v>0</v>
      </c>
      <c r="AC679" s="16" t="n">
        <v>-0.9</v>
      </c>
      <c r="AD679" s="17" t="n">
        <v>0</v>
      </c>
      <c r="AE679" s="17" t="n">
        <v>0</v>
      </c>
      <c r="AF679" s="17" t="n">
        <v>0</v>
      </c>
      <c r="AG679" s="17" t="n">
        <v>0</v>
      </c>
      <c r="AH679" s="17" t="n">
        <v>0</v>
      </c>
      <c r="AI679" s="17" t="n">
        <v>0</v>
      </c>
      <c r="AJ679" s="17" t="n">
        <v>-0.9</v>
      </c>
      <c r="AK679" s="17" t="n">
        <v>0</v>
      </c>
      <c r="AL679" s="17" t="n">
        <v>0</v>
      </c>
      <c r="AM679" s="18" t="n">
        <v>0</v>
      </c>
      <c r="AN679" s="16" t="n">
        <v>15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7" t="n">
        <v>0</v>
      </c>
      <c r="AT679" s="17" t="n">
        <v>0</v>
      </c>
      <c r="AU679" s="17" t="n">
        <v>15</v>
      </c>
      <c r="AV679" s="17" t="n">
        <v>0</v>
      </c>
      <c r="AW679" s="17" t="n">
        <v>0</v>
      </c>
      <c r="AX679" s="18" t="n">
        <v>0</v>
      </c>
      <c r="AY679" s="16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8" t="n">
        <v>0</v>
      </c>
      <c r="BJ679" s="16" t="n">
        <v>15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15</v>
      </c>
      <c r="BR679" s="17" t="n">
        <v>0</v>
      </c>
      <c r="BS679" s="17" t="n">
        <v>0</v>
      </c>
      <c r="BT679" s="18" t="n">
        <v>0</v>
      </c>
      <c r="BU679" s="17" t="inlineStr">
        <is>
          <t>Unclassified</t>
        </is>
      </c>
    </row>
    <row r="680" ht="20" customHeight="1">
      <c r="A680" s="15" t="inlineStr">
        <is>
          <t>70756044011</t>
        </is>
      </c>
      <c r="B680" s="15" t="inlineStr">
        <is>
          <t>PRAZOSIN HCL 5 MG ORAL CAPSULE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30</v>
      </c>
      <c r="H680" s="17" t="n">
        <v>0</v>
      </c>
      <c r="I680" s="17" t="n">
        <v>0</v>
      </c>
      <c r="J680" s="17" t="n">
        <v>0</v>
      </c>
      <c r="K680" s="17" t="n">
        <v>30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0</v>
      </c>
      <c r="Q680" s="18" t="n">
        <v>0</v>
      </c>
      <c r="R680" s="16" t="n">
        <v>0.3</v>
      </c>
      <c r="S680" s="17" t="n">
        <v>0</v>
      </c>
      <c r="T680" s="17" t="n">
        <v>0</v>
      </c>
      <c r="U680" s="17" t="n">
        <v>0</v>
      </c>
      <c r="V680" s="17" t="n">
        <v>0.3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8" t="n">
        <v>0</v>
      </c>
      <c r="AC680" s="16" t="n">
        <v>-0.3</v>
      </c>
      <c r="AD680" s="17" t="n">
        <v>0</v>
      </c>
      <c r="AE680" s="17" t="n">
        <v>0</v>
      </c>
      <c r="AF680" s="17" t="n">
        <v>0</v>
      </c>
      <c r="AG680" s="17" t="n">
        <v>-0.3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8" t="n">
        <v>0</v>
      </c>
      <c r="AN680" s="16" t="n">
        <v>10</v>
      </c>
      <c r="AO680" s="17" t="n">
        <v>0</v>
      </c>
      <c r="AP680" s="17" t="n">
        <v>0</v>
      </c>
      <c r="AQ680" s="17" t="n">
        <v>0</v>
      </c>
      <c r="AR680" s="17" t="n">
        <v>10</v>
      </c>
      <c r="AS680" s="17" t="n">
        <v>0</v>
      </c>
      <c r="AT680" s="17" t="n">
        <v>0</v>
      </c>
      <c r="AU680" s="17" t="n">
        <v>0</v>
      </c>
      <c r="AV680" s="17" t="n">
        <v>0</v>
      </c>
      <c r="AW680" s="17" t="n">
        <v>0</v>
      </c>
      <c r="AX680" s="18" t="n">
        <v>0</v>
      </c>
      <c r="AY680" s="16" t="n">
        <v>0</v>
      </c>
      <c r="AZ680" s="17" t="n">
        <v>0</v>
      </c>
      <c r="BA680" s="17" t="n">
        <v>0</v>
      </c>
      <c r="BB680" s="17" t="n">
        <v>0</v>
      </c>
      <c r="BC680" s="17" t="n">
        <v>0</v>
      </c>
      <c r="BD680" s="17" t="n">
        <v>0</v>
      </c>
      <c r="BE680" s="17" t="n">
        <v>0</v>
      </c>
      <c r="BF680" s="17" t="n">
        <v>0</v>
      </c>
      <c r="BG680" s="17" t="n">
        <v>0</v>
      </c>
      <c r="BH680" s="17" t="n">
        <v>0</v>
      </c>
      <c r="BI680" s="18" t="n">
        <v>0</v>
      </c>
      <c r="BJ680" s="16" t="n">
        <v>10</v>
      </c>
      <c r="BK680" s="17" t="n">
        <v>0</v>
      </c>
      <c r="BL680" s="17" t="n">
        <v>0</v>
      </c>
      <c r="BM680" s="17" t="n">
        <v>0</v>
      </c>
      <c r="BN680" s="17" t="n">
        <v>10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7" t="n">
        <v>0</v>
      </c>
      <c r="BT680" s="18" t="n">
        <v>0</v>
      </c>
      <c r="BU680" s="17" t="inlineStr">
        <is>
          <t>Unclassified</t>
        </is>
      </c>
    </row>
    <row r="681" ht="20" customHeight="1">
      <c r="A681" s="15" t="inlineStr">
        <is>
          <t>61314063710</t>
        </is>
      </c>
      <c r="B681" s="15" t="inlineStr">
        <is>
          <t>PREDNISOLONE ACETATE 1% SUSPENSION</t>
        </is>
      </c>
      <c r="C681" s="16" t="n">
        <v>10</v>
      </c>
      <c r="D681" s="16" t="n">
        <v>8</v>
      </c>
      <c r="E681" s="16" t="n">
        <v>8</v>
      </c>
      <c r="F681" s="16" t="n">
        <v>43</v>
      </c>
      <c r="G681" s="16" t="n">
        <v>80</v>
      </c>
      <c r="H681" s="17" t="n">
        <v>0</v>
      </c>
      <c r="I681" s="17" t="n">
        <v>0</v>
      </c>
      <c r="J681" s="17" t="n">
        <v>50</v>
      </c>
      <c r="K681" s="17" t="n">
        <v>20</v>
      </c>
      <c r="L681" s="17" t="n">
        <v>0</v>
      </c>
      <c r="M681" s="17" t="n">
        <v>0</v>
      </c>
      <c r="N681" s="17" t="n">
        <v>0</v>
      </c>
      <c r="O681" s="17" t="n">
        <v>10</v>
      </c>
      <c r="P681" s="17" t="n">
        <v>0</v>
      </c>
      <c r="Q681" s="18" t="n">
        <v>0</v>
      </c>
      <c r="R681" s="16" t="n">
        <v>8</v>
      </c>
      <c r="S681" s="17" t="n">
        <v>0</v>
      </c>
      <c r="T681" s="17" t="n">
        <v>0</v>
      </c>
      <c r="U681" s="17" t="n">
        <v>5</v>
      </c>
      <c r="V681" s="17" t="n">
        <v>2</v>
      </c>
      <c r="W681" s="17" t="n">
        <v>0</v>
      </c>
      <c r="X681" s="17" t="n">
        <v>0</v>
      </c>
      <c r="Y681" s="17" t="n">
        <v>0</v>
      </c>
      <c r="Z681" s="17" t="n">
        <v>1</v>
      </c>
      <c r="AA681" s="17" t="n">
        <v>0</v>
      </c>
      <c r="AB681" s="18" t="n">
        <v>0</v>
      </c>
      <c r="AC681" s="16" t="n">
        <v>0</v>
      </c>
      <c r="AD681" s="17" t="n">
        <v>8</v>
      </c>
      <c r="AE681" s="17" t="n">
        <v>8</v>
      </c>
      <c r="AF681" s="17" t="n">
        <v>3</v>
      </c>
      <c r="AG681" s="17" t="n">
        <v>6</v>
      </c>
      <c r="AH681" s="17" t="n">
        <v>8</v>
      </c>
      <c r="AI681" s="17" t="n">
        <v>8</v>
      </c>
      <c r="AJ681" s="17" t="n">
        <v>8</v>
      </c>
      <c r="AK681" s="17" t="n">
        <v>7</v>
      </c>
      <c r="AL681" s="17" t="n">
        <v>8</v>
      </c>
      <c r="AM681" s="18" t="n">
        <v>8</v>
      </c>
      <c r="AN681" s="16" t="n">
        <v>373</v>
      </c>
      <c r="AO681" s="17" t="n">
        <v>0</v>
      </c>
      <c r="AP681" s="17" t="n">
        <v>0</v>
      </c>
      <c r="AQ681" s="17" t="n">
        <v>195</v>
      </c>
      <c r="AR681" s="17" t="n">
        <v>88</v>
      </c>
      <c r="AS681" s="17" t="n">
        <v>0</v>
      </c>
      <c r="AT681" s="17" t="n">
        <v>0</v>
      </c>
      <c r="AU681" s="17" t="n">
        <v>0</v>
      </c>
      <c r="AV681" s="17" t="n">
        <v>68</v>
      </c>
      <c r="AW681" s="17" t="n">
        <v>0</v>
      </c>
      <c r="AX681" s="18" t="n">
        <v>0</v>
      </c>
      <c r="AY681" s="16" t="n">
        <v>344</v>
      </c>
      <c r="AZ681" s="17" t="n">
        <v>0</v>
      </c>
      <c r="BA681" s="17" t="n">
        <v>0</v>
      </c>
      <c r="BB681" s="17" t="n">
        <v>215</v>
      </c>
      <c r="BC681" s="17" t="n">
        <v>86</v>
      </c>
      <c r="BD681" s="17" t="n">
        <v>0</v>
      </c>
      <c r="BE681" s="17" t="n">
        <v>0</v>
      </c>
      <c r="BF681" s="17" t="n">
        <v>0</v>
      </c>
      <c r="BG681" s="17" t="n">
        <v>43</v>
      </c>
      <c r="BH681" s="17" t="n">
        <v>0</v>
      </c>
      <c r="BI681" s="18" t="n">
        <v>0</v>
      </c>
      <c r="BJ681" s="16" t="n">
        <v>29</v>
      </c>
      <c r="BK681" s="17" t="n">
        <v>0</v>
      </c>
      <c r="BL681" s="17" t="n">
        <v>0</v>
      </c>
      <c r="BM681" s="17" t="n">
        <v>-20</v>
      </c>
      <c r="BN681" s="17" t="n">
        <v>2</v>
      </c>
      <c r="BO681" s="17" t="n">
        <v>0</v>
      </c>
      <c r="BP681" s="17" t="n">
        <v>0</v>
      </c>
      <c r="BQ681" s="17" t="n">
        <v>0</v>
      </c>
      <c r="BR681" s="17" t="n">
        <v>25</v>
      </c>
      <c r="BS681" s="17" t="n">
        <v>0</v>
      </c>
      <c r="BT681" s="18" t="n">
        <v>0</v>
      </c>
      <c r="BU681" s="17" t="inlineStr">
        <is>
          <t>Generic Drug</t>
        </is>
      </c>
    </row>
    <row r="682" ht="20" customHeight="1">
      <c r="A682" s="15" t="inlineStr">
        <is>
          <t>61314063705</t>
        </is>
      </c>
      <c r="B682" s="15" t="inlineStr">
        <is>
          <t>PREDNISOLONE ACETATE 1% SUSPENSION</t>
        </is>
      </c>
      <c r="C682" s="16" t="n">
        <v>5</v>
      </c>
      <c r="D682" s="16" t="n">
        <v>0</v>
      </c>
      <c r="E682" s="16" t="n">
        <v>0</v>
      </c>
      <c r="F682" s="16" t="n">
        <v>0</v>
      </c>
      <c r="G682" s="16" t="n">
        <v>50</v>
      </c>
      <c r="H682" s="17" t="n">
        <v>0</v>
      </c>
      <c r="I682" s="17" t="n">
        <v>0</v>
      </c>
      <c r="J682" s="17" t="n">
        <v>20</v>
      </c>
      <c r="K682" s="17" t="n">
        <v>10</v>
      </c>
      <c r="L682" s="17" t="n">
        <v>0</v>
      </c>
      <c r="M682" s="17" t="n">
        <v>5</v>
      </c>
      <c r="N682" s="17" t="n">
        <v>15</v>
      </c>
      <c r="O682" s="17" t="n">
        <v>0</v>
      </c>
      <c r="P682" s="17" t="n">
        <v>0</v>
      </c>
      <c r="Q682" s="18" t="n">
        <v>0</v>
      </c>
      <c r="R682" s="16" t="n">
        <v>10</v>
      </c>
      <c r="S682" s="17" t="n">
        <v>0</v>
      </c>
      <c r="T682" s="17" t="n">
        <v>0</v>
      </c>
      <c r="U682" s="17" t="n">
        <v>4</v>
      </c>
      <c r="V682" s="17" t="n">
        <v>2</v>
      </c>
      <c r="W682" s="17" t="n">
        <v>0</v>
      </c>
      <c r="X682" s="17" t="n">
        <v>1</v>
      </c>
      <c r="Y682" s="17" t="n">
        <v>3</v>
      </c>
      <c r="Z682" s="17" t="n">
        <v>0</v>
      </c>
      <c r="AA682" s="17" t="n">
        <v>0</v>
      </c>
      <c r="AB682" s="18" t="n">
        <v>0</v>
      </c>
      <c r="AC682" s="16" t="n">
        <v>-10</v>
      </c>
      <c r="AD682" s="17" t="n">
        <v>0</v>
      </c>
      <c r="AE682" s="17" t="n">
        <v>0</v>
      </c>
      <c r="AF682" s="17" t="n">
        <v>-4</v>
      </c>
      <c r="AG682" s="17" t="n">
        <v>-2</v>
      </c>
      <c r="AH682" s="17" t="n">
        <v>0</v>
      </c>
      <c r="AI682" s="17" t="n">
        <v>-1</v>
      </c>
      <c r="AJ682" s="17" t="n">
        <v>-3</v>
      </c>
      <c r="AK682" s="17" t="n">
        <v>0</v>
      </c>
      <c r="AL682" s="17" t="n">
        <v>0</v>
      </c>
      <c r="AM682" s="18" t="n">
        <v>0</v>
      </c>
      <c r="AN682" s="16" t="n">
        <v>257</v>
      </c>
      <c r="AO682" s="17" t="n">
        <v>0</v>
      </c>
      <c r="AP682" s="17" t="n">
        <v>0</v>
      </c>
      <c r="AQ682" s="17" t="n">
        <v>87</v>
      </c>
      <c r="AR682" s="17" t="n">
        <v>26</v>
      </c>
      <c r="AS682" s="17" t="n">
        <v>0</v>
      </c>
      <c r="AT682" s="17" t="n">
        <v>18</v>
      </c>
      <c r="AU682" s="17" t="n">
        <v>84</v>
      </c>
      <c r="AV682" s="17" t="n">
        <v>0</v>
      </c>
      <c r="AW682" s="17" t="n">
        <v>0</v>
      </c>
      <c r="AX682" s="18" t="n">
        <v>0</v>
      </c>
      <c r="AY682" s="16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7" t="n">
        <v>0</v>
      </c>
      <c r="BI682" s="18" t="n">
        <v>0</v>
      </c>
      <c r="BJ682" s="16" t="n">
        <v>257</v>
      </c>
      <c r="BK682" s="17" t="n">
        <v>0</v>
      </c>
      <c r="BL682" s="17" t="n">
        <v>0</v>
      </c>
      <c r="BM682" s="17" t="n">
        <v>87</v>
      </c>
      <c r="BN682" s="17" t="n">
        <v>26</v>
      </c>
      <c r="BO682" s="17" t="n">
        <v>0</v>
      </c>
      <c r="BP682" s="17" t="n">
        <v>18</v>
      </c>
      <c r="BQ682" s="17" t="n">
        <v>84</v>
      </c>
      <c r="BR682" s="17" t="n">
        <v>0</v>
      </c>
      <c r="BS682" s="17" t="n">
        <v>0</v>
      </c>
      <c r="BT682" s="18" t="n">
        <v>0</v>
      </c>
      <c r="BU682" s="17" t="inlineStr">
        <is>
          <t>Unclassified</t>
        </is>
      </c>
    </row>
    <row r="683" ht="20" customHeight="1">
      <c r="A683" s="15" t="inlineStr">
        <is>
          <t>61314063715</t>
        </is>
      </c>
      <c r="B683" s="15" t="inlineStr">
        <is>
          <t>PREDNISOLONE ACETATE 1% SUSPENSION</t>
        </is>
      </c>
      <c r="C683" s="16" t="n">
        <v>15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30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0</v>
      </c>
      <c r="P683" s="17" t="n">
        <v>0</v>
      </c>
      <c r="Q683" s="18" t="n">
        <v>0</v>
      </c>
      <c r="R683" s="16" t="n">
        <v>2</v>
      </c>
      <c r="S683" s="17" t="n">
        <v>0</v>
      </c>
      <c r="T683" s="17" t="n">
        <v>0</v>
      </c>
      <c r="U683" s="17" t="n">
        <v>2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8" t="n">
        <v>0</v>
      </c>
      <c r="AC683" s="16" t="n">
        <v>-2</v>
      </c>
      <c r="AD683" s="17" t="n">
        <v>0</v>
      </c>
      <c r="AE683" s="17" t="n">
        <v>0</v>
      </c>
      <c r="AF683" s="17" t="n">
        <v>-2</v>
      </c>
      <c r="AG683" s="17" t="n">
        <v>0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8" t="n">
        <v>0</v>
      </c>
      <c r="AN683" s="16" t="n">
        <v>143</v>
      </c>
      <c r="AO683" s="17" t="n">
        <v>0</v>
      </c>
      <c r="AP683" s="17" t="n">
        <v>0</v>
      </c>
      <c r="AQ683" s="17" t="n">
        <v>140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8" t="n">
        <v>0</v>
      </c>
      <c r="AY683" s="16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8" t="n">
        <v>0</v>
      </c>
      <c r="BJ683" s="16" t="n">
        <v>143</v>
      </c>
      <c r="BK683" s="17" t="n">
        <v>0</v>
      </c>
      <c r="BL683" s="17" t="n">
        <v>0</v>
      </c>
      <c r="BM683" s="17" t="n">
        <v>140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8" t="n">
        <v>0</v>
      </c>
      <c r="BU683" s="17" t="inlineStr">
        <is>
          <t>Unclassified</t>
        </is>
      </c>
    </row>
    <row r="684" ht="20" customHeight="1">
      <c r="A684" s="15" t="inlineStr">
        <is>
          <t>59746017306</t>
        </is>
      </c>
      <c r="B684" s="15" t="inlineStr">
        <is>
          <t>PREDNISONE 10MG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41</v>
      </c>
      <c r="H684" s="17" t="n">
        <v>0</v>
      </c>
      <c r="I684" s="17" t="n">
        <v>0</v>
      </c>
      <c r="J684" s="17" t="n">
        <v>10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31</v>
      </c>
      <c r="P684" s="17" t="n">
        <v>0</v>
      </c>
      <c r="Q684" s="18" t="n">
        <v>0</v>
      </c>
      <c r="R684" s="16" t="n">
        <v>0.41</v>
      </c>
      <c r="S684" s="17" t="n">
        <v>0</v>
      </c>
      <c r="T684" s="17" t="n">
        <v>0</v>
      </c>
      <c r="U684" s="17" t="n">
        <v>0.1</v>
      </c>
      <c r="V684" s="17" t="n">
        <v>0</v>
      </c>
      <c r="W684" s="17" t="n">
        <v>0</v>
      </c>
      <c r="X684" s="17" t="n">
        <v>0</v>
      </c>
      <c r="Y684" s="17" t="n">
        <v>0</v>
      </c>
      <c r="Z684" s="17" t="n">
        <v>0.31</v>
      </c>
      <c r="AA684" s="17" t="n">
        <v>0</v>
      </c>
      <c r="AB684" s="18" t="n">
        <v>0</v>
      </c>
      <c r="AC684" s="16" t="n">
        <v>-0.41</v>
      </c>
      <c r="AD684" s="17" t="n">
        <v>0</v>
      </c>
      <c r="AE684" s="17" t="n">
        <v>0</v>
      </c>
      <c r="AF684" s="17" t="n">
        <v>-0.1</v>
      </c>
      <c r="AG684" s="17" t="n">
        <v>0</v>
      </c>
      <c r="AH684" s="17" t="n">
        <v>0</v>
      </c>
      <c r="AI684" s="17" t="n">
        <v>0</v>
      </c>
      <c r="AJ684" s="17" t="n">
        <v>0</v>
      </c>
      <c r="AK684" s="17" t="n">
        <v>-0.31</v>
      </c>
      <c r="AL684" s="17" t="n">
        <v>0</v>
      </c>
      <c r="AM684" s="18" t="n">
        <v>0</v>
      </c>
      <c r="AN684" s="16" t="n">
        <v>6</v>
      </c>
      <c r="AO684" s="17" t="n">
        <v>0</v>
      </c>
      <c r="AP684" s="17" t="n">
        <v>0</v>
      </c>
      <c r="AQ684" s="17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8" t="n">
        <v>0</v>
      </c>
      <c r="AY684" s="16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7" t="n">
        <v>0</v>
      </c>
      <c r="BI684" s="18" t="n">
        <v>0</v>
      </c>
      <c r="BJ684" s="16" t="n">
        <v>6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7" t="n">
        <v>0</v>
      </c>
      <c r="BT684" s="18" t="n">
        <v>0</v>
      </c>
      <c r="BU684" s="17" t="inlineStr">
        <is>
          <t>Unclassified</t>
        </is>
      </c>
    </row>
    <row r="685" ht="20" customHeight="1">
      <c r="A685" s="15" t="inlineStr">
        <is>
          <t>64380078508</t>
        </is>
      </c>
      <c r="B685" s="15" t="inlineStr">
        <is>
          <t>PREDNISONE 20MG TABLET</t>
        </is>
      </c>
      <c r="C685" s="16" t="n">
        <v>1000</v>
      </c>
      <c r="D685" s="16" t="n">
        <v>0</v>
      </c>
      <c r="E685" s="16" t="n">
        <v>0</v>
      </c>
      <c r="F685" s="16" t="n">
        <v>0</v>
      </c>
      <c r="G685" s="16" t="n">
        <v>54</v>
      </c>
      <c r="H685" s="17" t="n">
        <v>0</v>
      </c>
      <c r="I685" s="17" t="n">
        <v>0</v>
      </c>
      <c r="J685" s="17" t="n">
        <v>28</v>
      </c>
      <c r="K685" s="17" t="n">
        <v>5</v>
      </c>
      <c r="L685" s="17" t="n">
        <v>0</v>
      </c>
      <c r="M685" s="17" t="n">
        <v>0</v>
      </c>
      <c r="N685" s="17" t="n">
        <v>21</v>
      </c>
      <c r="O685" s="17" t="n">
        <v>0</v>
      </c>
      <c r="P685" s="17" t="n">
        <v>0</v>
      </c>
      <c r="Q685" s="18" t="n">
        <v>0</v>
      </c>
      <c r="R685" s="16" t="n">
        <v>0.054</v>
      </c>
      <c r="S685" s="17" t="n">
        <v>0</v>
      </c>
      <c r="T685" s="17" t="n">
        <v>0</v>
      </c>
      <c r="U685" s="17" t="n">
        <v>0.028</v>
      </c>
      <c r="V685" s="17" t="n">
        <v>0.005</v>
      </c>
      <c r="W685" s="17" t="n">
        <v>0</v>
      </c>
      <c r="X685" s="17" t="n">
        <v>0</v>
      </c>
      <c r="Y685" s="17" t="n">
        <v>0.021</v>
      </c>
      <c r="Z685" s="17" t="n">
        <v>0</v>
      </c>
      <c r="AA685" s="17" t="n">
        <v>0</v>
      </c>
      <c r="AB685" s="18" t="n">
        <v>0</v>
      </c>
      <c r="AC685" s="16" t="n">
        <v>-0.054</v>
      </c>
      <c r="AD685" s="17" t="n">
        <v>0</v>
      </c>
      <c r="AE685" s="17" t="n">
        <v>0</v>
      </c>
      <c r="AF685" s="17" t="n">
        <v>-0.028</v>
      </c>
      <c r="AG685" s="17" t="n">
        <v>-0.005</v>
      </c>
      <c r="AH685" s="17" t="n">
        <v>0</v>
      </c>
      <c r="AI685" s="17" t="n">
        <v>0</v>
      </c>
      <c r="AJ685" s="17" t="n">
        <v>-0.021</v>
      </c>
      <c r="AK685" s="17" t="n">
        <v>0</v>
      </c>
      <c r="AL685" s="17" t="n">
        <v>0</v>
      </c>
      <c r="AM685" s="18" t="n">
        <v>0</v>
      </c>
      <c r="AN685" s="16" t="n">
        <v>35</v>
      </c>
      <c r="AO685" s="17" t="n">
        <v>0</v>
      </c>
      <c r="AP685" s="17" t="n">
        <v>0</v>
      </c>
      <c r="AQ685" s="17" t="n">
        <v>0</v>
      </c>
      <c r="AR685" s="17" t="n">
        <v>0</v>
      </c>
      <c r="AS685" s="17" t="n">
        <v>0</v>
      </c>
      <c r="AT685" s="17" t="n">
        <v>0</v>
      </c>
      <c r="AU685" s="17" t="n">
        <v>31</v>
      </c>
      <c r="AV685" s="17" t="n">
        <v>0</v>
      </c>
      <c r="AW685" s="17" t="n">
        <v>0</v>
      </c>
      <c r="AX685" s="18" t="n">
        <v>0</v>
      </c>
      <c r="AY685" s="16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8" t="n">
        <v>0</v>
      </c>
      <c r="BJ685" s="16" t="n">
        <v>35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31</v>
      </c>
      <c r="BR685" s="17" t="n">
        <v>0</v>
      </c>
      <c r="BS685" s="17" t="n">
        <v>0</v>
      </c>
      <c r="BT685" s="18" t="n">
        <v>0</v>
      </c>
      <c r="BU685" s="17" t="inlineStr">
        <is>
          <t>Unclassified</t>
        </is>
      </c>
    </row>
    <row r="686" ht="20" customHeight="1">
      <c r="A686" s="15" t="inlineStr">
        <is>
          <t>64380094906</t>
        </is>
      </c>
      <c r="B686" s="15" t="inlineStr">
        <is>
          <t>PREDNISONE 50MG TABLET</t>
        </is>
      </c>
      <c r="C686" s="16" t="n">
        <v>100</v>
      </c>
      <c r="D686" s="16" t="n">
        <v>0</v>
      </c>
      <c r="E686" s="16" t="n">
        <v>0</v>
      </c>
      <c r="F686" s="16" t="n">
        <v>0</v>
      </c>
      <c r="G686" s="16" t="n">
        <v>5</v>
      </c>
      <c r="H686" s="17" t="n">
        <v>0</v>
      </c>
      <c r="I686" s="17" t="n">
        <v>0</v>
      </c>
      <c r="J686" s="17" t="n">
        <v>5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8" t="n">
        <v>0</v>
      </c>
      <c r="R686" s="16" t="n">
        <v>0.05</v>
      </c>
      <c r="S686" s="17" t="n">
        <v>0</v>
      </c>
      <c r="T686" s="17" t="n">
        <v>0</v>
      </c>
      <c r="U686" s="17" t="n">
        <v>0.05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8" t="n">
        <v>0</v>
      </c>
      <c r="AC686" s="16" t="n">
        <v>-0.05</v>
      </c>
      <c r="AD686" s="17" t="n">
        <v>0</v>
      </c>
      <c r="AE686" s="17" t="n">
        <v>0</v>
      </c>
      <c r="AF686" s="17" t="n">
        <v>-0.05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8" t="n">
        <v>0</v>
      </c>
      <c r="AN686" s="16" t="n">
        <v>0</v>
      </c>
      <c r="AO686" s="17" t="n">
        <v>0</v>
      </c>
      <c r="AP686" s="17" t="n">
        <v>0</v>
      </c>
      <c r="AQ686" s="17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8" t="n">
        <v>0</v>
      </c>
      <c r="AY686" s="16" t="n">
        <v>0</v>
      </c>
      <c r="AZ686" s="17" t="n">
        <v>0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7" t="n">
        <v>0</v>
      </c>
      <c r="BI686" s="18" t="n">
        <v>0</v>
      </c>
      <c r="BJ686" s="16" t="n">
        <v>0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0</v>
      </c>
      <c r="BQ686" s="17" t="n">
        <v>0</v>
      </c>
      <c r="BR686" s="17" t="n">
        <v>0</v>
      </c>
      <c r="BS686" s="17" t="n">
        <v>0</v>
      </c>
      <c r="BT686" s="18" t="n">
        <v>0</v>
      </c>
      <c r="BU686" s="17" t="inlineStr">
        <is>
          <t>Unclassified</t>
        </is>
      </c>
    </row>
    <row r="687" ht="20" customHeight="1">
      <c r="A687" s="15" t="inlineStr">
        <is>
          <t>64380078306</t>
        </is>
      </c>
      <c r="B687" s="15" t="inlineStr">
        <is>
          <t>PREDNISONE 5MG TABLET</t>
        </is>
      </c>
      <c r="C687" s="16" t="n">
        <v>100</v>
      </c>
      <c r="D687" s="16" t="n">
        <v>0</v>
      </c>
      <c r="E687" s="16" t="n">
        <v>0</v>
      </c>
      <c r="F687" s="16" t="n">
        <v>0</v>
      </c>
      <c r="G687" s="16" t="n">
        <v>30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30</v>
      </c>
      <c r="O687" s="17" t="n">
        <v>0</v>
      </c>
      <c r="P687" s="17" t="n">
        <v>0</v>
      </c>
      <c r="Q687" s="18" t="n">
        <v>0</v>
      </c>
      <c r="R687" s="16" t="n">
        <v>0.3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0.3</v>
      </c>
      <c r="Z687" s="17" t="n">
        <v>0</v>
      </c>
      <c r="AA687" s="17" t="n">
        <v>0</v>
      </c>
      <c r="AB687" s="18" t="n">
        <v>0</v>
      </c>
      <c r="AC687" s="16" t="n">
        <v>-0.3</v>
      </c>
      <c r="AD687" s="17" t="n">
        <v>0</v>
      </c>
      <c r="AE687" s="17" t="n">
        <v>0</v>
      </c>
      <c r="AF687" s="17" t="n">
        <v>0</v>
      </c>
      <c r="AG687" s="17" t="n">
        <v>0</v>
      </c>
      <c r="AH687" s="17" t="n">
        <v>0</v>
      </c>
      <c r="AI687" s="17" t="n">
        <v>0</v>
      </c>
      <c r="AJ687" s="17" t="n">
        <v>-0.3</v>
      </c>
      <c r="AK687" s="17" t="n">
        <v>0</v>
      </c>
      <c r="AL687" s="17" t="n">
        <v>0</v>
      </c>
      <c r="AM687" s="18" t="n">
        <v>0</v>
      </c>
      <c r="AN687" s="16" t="n">
        <v>11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7" t="n">
        <v>0</v>
      </c>
      <c r="AT687" s="17" t="n">
        <v>0</v>
      </c>
      <c r="AU687" s="17" t="n">
        <v>11</v>
      </c>
      <c r="AV687" s="17" t="n">
        <v>0</v>
      </c>
      <c r="AW687" s="17" t="n">
        <v>0</v>
      </c>
      <c r="AX687" s="18" t="n">
        <v>0</v>
      </c>
      <c r="AY687" s="16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8" t="n">
        <v>0</v>
      </c>
      <c r="BJ687" s="16" t="n">
        <v>11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11</v>
      </c>
      <c r="BR687" s="17" t="n">
        <v>0</v>
      </c>
      <c r="BS687" s="17" t="n">
        <v>0</v>
      </c>
      <c r="BT687" s="18" t="n">
        <v>0</v>
      </c>
      <c r="BU687" s="17" t="inlineStr">
        <is>
          <t>Unclassified</t>
        </is>
      </c>
    </row>
    <row r="688" ht="20" customHeight="1">
      <c r="A688" s="15" t="inlineStr">
        <is>
          <t>82619012601</t>
        </is>
      </c>
      <c r="B688" s="15" t="inlineStr">
        <is>
          <t>PREGABALIN 150 MG ORAL CAPSULE</t>
        </is>
      </c>
      <c r="C688" s="16" t="n">
        <v>90</v>
      </c>
      <c r="D688" s="16" t="n">
        <v>0</v>
      </c>
      <c r="E688" s="16" t="n">
        <v>0</v>
      </c>
      <c r="F688" s="16" t="n">
        <v>0</v>
      </c>
      <c r="G688" s="16" t="n">
        <v>60</v>
      </c>
      <c r="H688" s="17" t="n">
        <v>0</v>
      </c>
      <c r="I688" s="17" t="n">
        <v>0</v>
      </c>
      <c r="J688" s="17" t="n">
        <v>60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8" t="n">
        <v>0</v>
      </c>
      <c r="R688" s="16" t="n">
        <v>0.667</v>
      </c>
      <c r="S688" s="17" t="n">
        <v>0</v>
      </c>
      <c r="T688" s="17" t="n">
        <v>0</v>
      </c>
      <c r="U688" s="17" t="n">
        <v>0.667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8" t="n">
        <v>0</v>
      </c>
      <c r="AC688" s="16" t="n">
        <v>-0.667</v>
      </c>
      <c r="AD688" s="17" t="n">
        <v>0</v>
      </c>
      <c r="AE688" s="17" t="n">
        <v>0</v>
      </c>
      <c r="AF688" s="17" t="n">
        <v>-0.667</v>
      </c>
      <c r="AG688" s="17" t="n">
        <v>0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8" t="n">
        <v>0</v>
      </c>
      <c r="AN688" s="16" t="n">
        <v>2</v>
      </c>
      <c r="AO688" s="17" t="n">
        <v>0</v>
      </c>
      <c r="AP688" s="17" t="n">
        <v>0</v>
      </c>
      <c r="AQ688" s="17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8" t="n">
        <v>0</v>
      </c>
      <c r="AY688" s="16" t="n">
        <v>0</v>
      </c>
      <c r="AZ688" s="17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0</v>
      </c>
      <c r="BF688" s="17" t="n">
        <v>0</v>
      </c>
      <c r="BG688" s="17" t="n">
        <v>0</v>
      </c>
      <c r="BH688" s="17" t="n">
        <v>0</v>
      </c>
      <c r="BI688" s="18" t="n">
        <v>0</v>
      </c>
      <c r="BJ688" s="16" t="n">
        <v>2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7" t="n">
        <v>0</v>
      </c>
      <c r="BT688" s="18" t="n">
        <v>0</v>
      </c>
      <c r="BU688" s="17" t="inlineStr">
        <is>
          <t>Unclassified</t>
        </is>
      </c>
    </row>
    <row r="689" ht="20" customHeight="1">
      <c r="A689" s="15" t="inlineStr">
        <is>
          <t>00046087221</t>
        </is>
      </c>
      <c r="B689" s="15" t="inlineStr">
        <is>
          <t>PREMARIN 0.625 MG/GM VAGINAL CREAM</t>
        </is>
      </c>
      <c r="C689" s="16" t="n">
        <v>30</v>
      </c>
      <c r="D689" s="16" t="n">
        <v>1</v>
      </c>
      <c r="E689" s="16" t="n">
        <v>1</v>
      </c>
      <c r="F689" s="16" t="n">
        <v>460</v>
      </c>
      <c r="G689" s="16" t="n">
        <v>30</v>
      </c>
      <c r="H689" s="17" t="n">
        <v>0</v>
      </c>
      <c r="I689" s="17" t="n">
        <v>0</v>
      </c>
      <c r="J689" s="17" t="n">
        <v>0</v>
      </c>
      <c r="K689" s="17" t="n">
        <v>30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8" t="n">
        <v>0</v>
      </c>
      <c r="R689" s="16" t="n">
        <v>1</v>
      </c>
      <c r="S689" s="17" t="n">
        <v>0</v>
      </c>
      <c r="T689" s="17" t="n">
        <v>0</v>
      </c>
      <c r="U689" s="17" t="n">
        <v>0</v>
      </c>
      <c r="V689" s="17" t="n">
        <v>1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8" t="n">
        <v>0</v>
      </c>
      <c r="AC689" s="16" t="n">
        <v>0</v>
      </c>
      <c r="AD689" s="17" t="n">
        <v>1</v>
      </c>
      <c r="AE689" s="17" t="n">
        <v>1</v>
      </c>
      <c r="AF689" s="17" t="n">
        <v>1</v>
      </c>
      <c r="AG689" s="17" t="n">
        <v>0</v>
      </c>
      <c r="AH689" s="17" t="n">
        <v>1</v>
      </c>
      <c r="AI689" s="17" t="n">
        <v>1</v>
      </c>
      <c r="AJ689" s="17" t="n">
        <v>1</v>
      </c>
      <c r="AK689" s="17" t="n">
        <v>1</v>
      </c>
      <c r="AL689" s="17" t="n">
        <v>1</v>
      </c>
      <c r="AM689" s="18" t="n">
        <v>1</v>
      </c>
      <c r="AN689" s="16" t="n">
        <v>419</v>
      </c>
      <c r="AO689" s="17" t="n">
        <v>0</v>
      </c>
      <c r="AP689" s="17" t="n">
        <v>0</v>
      </c>
      <c r="AQ689" s="17" t="n">
        <v>0</v>
      </c>
      <c r="AR689" s="17" t="n">
        <v>419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8" t="n">
        <v>0</v>
      </c>
      <c r="AY689" s="16" t="n">
        <v>460</v>
      </c>
      <c r="AZ689" s="17" t="n">
        <v>0</v>
      </c>
      <c r="BA689" s="17" t="n">
        <v>0</v>
      </c>
      <c r="BB689" s="17" t="n">
        <v>0</v>
      </c>
      <c r="BC689" s="17" t="n">
        <v>460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8" t="n">
        <v>0</v>
      </c>
      <c r="BJ689" s="16" t="n">
        <v>-41</v>
      </c>
      <c r="BK689" s="17" t="n">
        <v>0</v>
      </c>
      <c r="BL689" s="17" t="n">
        <v>0</v>
      </c>
      <c r="BM689" s="17" t="n">
        <v>0</v>
      </c>
      <c r="BN689" s="17" t="n">
        <v>-41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8" t="n">
        <v>0</v>
      </c>
      <c r="BU689" s="17" t="inlineStr">
        <is>
          <t>Branded Drug</t>
        </is>
      </c>
    </row>
    <row r="690" ht="20" customHeight="1">
      <c r="A690" s="15" t="inlineStr">
        <is>
          <t>00536408501</t>
        </is>
      </c>
      <c r="B690" s="15" t="inlineStr">
        <is>
          <t>PRENATAL VITAMINS 28-0.8 MG TABLET</t>
        </is>
      </c>
      <c r="C690" s="16" t="n">
        <v>100</v>
      </c>
      <c r="D690" s="16" t="n">
        <v>0</v>
      </c>
      <c r="E690" s="16" t="n">
        <v>0</v>
      </c>
      <c r="F690" s="16" t="n">
        <v>0</v>
      </c>
      <c r="G690" s="16" t="n">
        <v>0</v>
      </c>
      <c r="H690" s="17" t="n">
        <v>0</v>
      </c>
      <c r="I690" s="17" t="n">
        <v>0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150</v>
      </c>
      <c r="O690" s="17" t="n">
        <v>0</v>
      </c>
      <c r="P690" s="17" t="n">
        <v>0</v>
      </c>
      <c r="Q690" s="18" t="n">
        <v>0</v>
      </c>
      <c r="R690" s="16" t="n">
        <v>0</v>
      </c>
      <c r="S690" s="17" t="n">
        <v>0</v>
      </c>
      <c r="T690" s="17" t="n">
        <v>0</v>
      </c>
      <c r="U690" s="17" t="n">
        <v>0</v>
      </c>
      <c r="V690" s="17" t="n">
        <v>0</v>
      </c>
      <c r="W690" s="17" t="n">
        <v>0</v>
      </c>
      <c r="X690" s="17" t="n">
        <v>0</v>
      </c>
      <c r="Y690" s="17" t="n">
        <v>1.5</v>
      </c>
      <c r="Z690" s="17" t="n">
        <v>0</v>
      </c>
      <c r="AA690" s="17" t="n">
        <v>0</v>
      </c>
      <c r="AB690" s="18" t="n">
        <v>0</v>
      </c>
      <c r="AC690" s="16" t="n">
        <v>0</v>
      </c>
      <c r="AD690" s="17" t="n">
        <v>0</v>
      </c>
      <c r="AE690" s="17" t="n">
        <v>0</v>
      </c>
      <c r="AF690" s="17" t="n">
        <v>0</v>
      </c>
      <c r="AG690" s="17" t="n">
        <v>0</v>
      </c>
      <c r="AH690" s="17" t="n">
        <v>0</v>
      </c>
      <c r="AI690" s="17" t="n">
        <v>0</v>
      </c>
      <c r="AJ690" s="17" t="n">
        <v>-1.5</v>
      </c>
      <c r="AK690" s="17" t="n">
        <v>0</v>
      </c>
      <c r="AL690" s="17" t="n">
        <v>0</v>
      </c>
      <c r="AM690" s="18" t="n">
        <v>0</v>
      </c>
      <c r="AN690" s="16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5</v>
      </c>
      <c r="AV690" s="17" t="n">
        <v>0</v>
      </c>
      <c r="AW690" s="17" t="n">
        <v>0</v>
      </c>
      <c r="AX690" s="18" t="n">
        <v>0</v>
      </c>
      <c r="AY690" s="16" t="n">
        <v>0</v>
      </c>
      <c r="AZ690" s="17" t="n">
        <v>0</v>
      </c>
      <c r="BA690" s="17" t="n">
        <v>0</v>
      </c>
      <c r="BB690" s="17" t="n">
        <v>0</v>
      </c>
      <c r="BC690" s="17" t="n">
        <v>0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7" t="n">
        <v>0</v>
      </c>
      <c r="BI690" s="18" t="n">
        <v>0</v>
      </c>
      <c r="BJ690" s="16" t="n">
        <v>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0</v>
      </c>
      <c r="BP690" s="17" t="n">
        <v>0</v>
      </c>
      <c r="BQ690" s="17" t="n">
        <v>5</v>
      </c>
      <c r="BR690" s="17" t="n">
        <v>0</v>
      </c>
      <c r="BS690" s="17" t="n">
        <v>0</v>
      </c>
      <c r="BT690" s="18" t="n">
        <v>0</v>
      </c>
      <c r="BU690" s="17" t="inlineStr">
        <is>
          <t>Unclassified</t>
        </is>
      </c>
    </row>
    <row r="691" ht="20" customHeight="1">
      <c r="A691" s="15" t="inlineStr">
        <is>
          <t>00005200002</t>
        </is>
      </c>
      <c r="B691" s="15" t="inlineStr">
        <is>
          <t>PREVNAR 20 0.5 ML INTRAMUSCULAR SUSPENSION PREFILLED SYRINGE</t>
        </is>
      </c>
      <c r="C691" s="16" t="n">
        <v>0.5</v>
      </c>
      <c r="D691" s="16" t="n">
        <v>0</v>
      </c>
      <c r="E691" s="16" t="n">
        <v>0</v>
      </c>
      <c r="F691" s="16" t="n">
        <v>0</v>
      </c>
      <c r="G691" s="16" t="n">
        <v>0.5</v>
      </c>
      <c r="H691" s="17" t="n">
        <v>0</v>
      </c>
      <c r="I691" s="17" t="n">
        <v>0</v>
      </c>
      <c r="J691" s="17" t="n">
        <v>0.5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8" t="n">
        <v>0</v>
      </c>
      <c r="R691" s="16" t="n">
        <v>1</v>
      </c>
      <c r="S691" s="17" t="n">
        <v>0</v>
      </c>
      <c r="T691" s="17" t="n">
        <v>0</v>
      </c>
      <c r="U691" s="17" t="n">
        <v>1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</v>
      </c>
      <c r="AA691" s="17" t="n">
        <v>0</v>
      </c>
      <c r="AB691" s="18" t="n">
        <v>0</v>
      </c>
      <c r="AC691" s="16" t="n">
        <v>-1</v>
      </c>
      <c r="AD691" s="17" t="n">
        <v>0</v>
      </c>
      <c r="AE691" s="17" t="n">
        <v>0</v>
      </c>
      <c r="AF691" s="17" t="n">
        <v>-1</v>
      </c>
      <c r="AG691" s="17" t="n">
        <v>0</v>
      </c>
      <c r="AH691" s="17" t="n">
        <v>0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8" t="n">
        <v>0</v>
      </c>
      <c r="AN691" s="16" t="n">
        <v>313</v>
      </c>
      <c r="AO691" s="17" t="n">
        <v>0</v>
      </c>
      <c r="AP691" s="17" t="n">
        <v>0</v>
      </c>
      <c r="AQ691" s="17" t="n">
        <v>313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0</v>
      </c>
      <c r="AW691" s="17" t="n">
        <v>0</v>
      </c>
      <c r="AX691" s="18" t="n">
        <v>0</v>
      </c>
      <c r="AY691" s="16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8" t="n">
        <v>0</v>
      </c>
      <c r="BJ691" s="16" t="n">
        <v>313</v>
      </c>
      <c r="BK691" s="17" t="n">
        <v>0</v>
      </c>
      <c r="BL691" s="17" t="n">
        <v>0</v>
      </c>
      <c r="BM691" s="17" t="n">
        <v>313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8" t="n">
        <v>0</v>
      </c>
      <c r="BU691" s="17" t="inlineStr">
        <is>
          <t>Unclassified</t>
        </is>
      </c>
    </row>
    <row r="692" ht="20" customHeight="1">
      <c r="A692" s="15" t="inlineStr">
        <is>
          <t>00005200010</t>
        </is>
      </c>
      <c r="B692" s="15" t="inlineStr">
        <is>
          <t>PREVNAR 20 0.5 ML PREFILLED SYRINGE</t>
        </is>
      </c>
      <c r="C692" s="16" t="n">
        <v>5</v>
      </c>
      <c r="D692" s="16" t="n">
        <v>0</v>
      </c>
      <c r="E692" s="16" t="n">
        <v>0</v>
      </c>
      <c r="F692" s="16" t="n">
        <v>0</v>
      </c>
      <c r="G692" s="16" t="n">
        <v>1</v>
      </c>
      <c r="H692" s="17" t="n">
        <v>0</v>
      </c>
      <c r="I692" s="17" t="n">
        <v>0</v>
      </c>
      <c r="J692" s="17" t="n">
        <v>0.5</v>
      </c>
      <c r="K692" s="17" t="n">
        <v>0.5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8" t="n">
        <v>0</v>
      </c>
      <c r="R692" s="16" t="n">
        <v>0.2</v>
      </c>
      <c r="S692" s="17" t="n">
        <v>0</v>
      </c>
      <c r="T692" s="17" t="n">
        <v>0</v>
      </c>
      <c r="U692" s="17" t="n">
        <v>0.1</v>
      </c>
      <c r="V692" s="17" t="n">
        <v>0.1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8" t="n">
        <v>0</v>
      </c>
      <c r="AC692" s="16" t="n">
        <v>-0.2</v>
      </c>
      <c r="AD692" s="17" t="n">
        <v>0</v>
      </c>
      <c r="AE692" s="17" t="n">
        <v>0</v>
      </c>
      <c r="AF692" s="17" t="n">
        <v>-0.1</v>
      </c>
      <c r="AG692" s="17" t="n">
        <v>-0.1</v>
      </c>
      <c r="AH692" s="17" t="n">
        <v>0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8" t="n">
        <v>0</v>
      </c>
      <c r="AN692" s="16" t="n">
        <v>589</v>
      </c>
      <c r="AO692" s="17" t="n">
        <v>0</v>
      </c>
      <c r="AP692" s="17" t="n">
        <v>0</v>
      </c>
      <c r="AQ692" s="17" t="n">
        <v>304</v>
      </c>
      <c r="AR692" s="17" t="n">
        <v>285</v>
      </c>
      <c r="AS692" s="17" t="n">
        <v>0</v>
      </c>
      <c r="AT692" s="17" t="n">
        <v>0</v>
      </c>
      <c r="AU692" s="17" t="n">
        <v>0</v>
      </c>
      <c r="AV692" s="17" t="n">
        <v>0</v>
      </c>
      <c r="AW692" s="17" t="n">
        <v>0</v>
      </c>
      <c r="AX692" s="18" t="n">
        <v>0</v>
      </c>
      <c r="AY692" s="16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7" t="n">
        <v>0</v>
      </c>
      <c r="BG692" s="17" t="n">
        <v>0</v>
      </c>
      <c r="BH692" s="17" t="n">
        <v>0</v>
      </c>
      <c r="BI692" s="18" t="n">
        <v>0</v>
      </c>
      <c r="BJ692" s="16" t="n">
        <v>589</v>
      </c>
      <c r="BK692" s="17" t="n">
        <v>0</v>
      </c>
      <c r="BL692" s="17" t="n">
        <v>0</v>
      </c>
      <c r="BM692" s="17" t="n">
        <v>304</v>
      </c>
      <c r="BN692" s="17" t="n">
        <v>285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7" t="n">
        <v>0</v>
      </c>
      <c r="BT692" s="18" t="n">
        <v>0</v>
      </c>
      <c r="BU692" s="17" t="inlineStr">
        <is>
          <t>Unclassified</t>
        </is>
      </c>
    </row>
    <row r="693" ht="20" customHeight="1">
      <c r="A693" s="15" t="inlineStr">
        <is>
          <t>53746054501</t>
        </is>
      </c>
      <c r="B693" s="15" t="inlineStr">
        <is>
          <t>PRIMIDONE 250 MG ORAL TABLET</t>
        </is>
      </c>
      <c r="C693" s="16" t="n">
        <v>100</v>
      </c>
      <c r="D693" s="16" t="n">
        <v>2</v>
      </c>
      <c r="E693" s="16" t="n">
        <v>2</v>
      </c>
      <c r="F693" s="16" t="n">
        <v>14</v>
      </c>
      <c r="G693" s="16" t="n">
        <v>180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180</v>
      </c>
      <c r="O693" s="17" t="n">
        <v>0</v>
      </c>
      <c r="P693" s="17" t="n">
        <v>0</v>
      </c>
      <c r="Q693" s="18" t="n">
        <v>0</v>
      </c>
      <c r="R693" s="16" t="n">
        <v>1.8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1.8</v>
      </c>
      <c r="Z693" s="17" t="n">
        <v>0</v>
      </c>
      <c r="AA693" s="17" t="n">
        <v>0</v>
      </c>
      <c r="AB693" s="18" t="n">
        <v>0</v>
      </c>
      <c r="AC693" s="16" t="n">
        <v>0.2</v>
      </c>
      <c r="AD693" s="17" t="n">
        <v>2</v>
      </c>
      <c r="AE693" s="17" t="n">
        <v>2</v>
      </c>
      <c r="AF693" s="17" t="n">
        <v>2</v>
      </c>
      <c r="AG693" s="17" t="n">
        <v>2</v>
      </c>
      <c r="AH693" s="17" t="n">
        <v>2</v>
      </c>
      <c r="AI693" s="17" t="n">
        <v>2</v>
      </c>
      <c r="AJ693" s="17" t="n">
        <v>0.2</v>
      </c>
      <c r="AK693" s="17" t="n">
        <v>2</v>
      </c>
      <c r="AL693" s="17" t="n">
        <v>2</v>
      </c>
      <c r="AM693" s="18" t="n">
        <v>2</v>
      </c>
      <c r="AN693" s="16" t="n">
        <v>53</v>
      </c>
      <c r="AO693" s="17" t="n">
        <v>0</v>
      </c>
      <c r="AP693" s="17" t="n">
        <v>0</v>
      </c>
      <c r="AQ693" s="17" t="n">
        <v>0</v>
      </c>
      <c r="AR693" s="17" t="n">
        <v>0</v>
      </c>
      <c r="AS693" s="17" t="n">
        <v>0</v>
      </c>
      <c r="AT693" s="17" t="n">
        <v>0</v>
      </c>
      <c r="AU693" s="17" t="n">
        <v>53</v>
      </c>
      <c r="AV693" s="17" t="n">
        <v>0</v>
      </c>
      <c r="AW693" s="17" t="n">
        <v>0</v>
      </c>
      <c r="AX693" s="18" t="n">
        <v>0</v>
      </c>
      <c r="AY693" s="16" t="n">
        <v>25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25</v>
      </c>
      <c r="BG693" s="17" t="n">
        <v>0</v>
      </c>
      <c r="BH693" s="17" t="n">
        <v>0</v>
      </c>
      <c r="BI693" s="18" t="n">
        <v>0</v>
      </c>
      <c r="BJ693" s="16" t="n">
        <v>28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28</v>
      </c>
      <c r="BR693" s="17" t="n">
        <v>0</v>
      </c>
      <c r="BS693" s="17" t="n">
        <v>0</v>
      </c>
      <c r="BT693" s="18" t="n">
        <v>0</v>
      </c>
      <c r="BU693" s="17" t="inlineStr">
        <is>
          <t>Generic Drug</t>
        </is>
      </c>
    </row>
    <row r="694" ht="20" customHeight="1">
      <c r="A694" s="15" t="inlineStr">
        <is>
          <t>69315031228</t>
        </is>
      </c>
      <c r="B694" s="15" t="inlineStr">
        <is>
          <t>PROCTO-MED HC 2.5 % EXTERNAL CREAM</t>
        </is>
      </c>
      <c r="C694" s="16" t="n">
        <v>28</v>
      </c>
      <c r="D694" s="16" t="n">
        <v>5</v>
      </c>
      <c r="E694" s="16" t="n">
        <v>5</v>
      </c>
      <c r="F694" s="16" t="n">
        <v>5</v>
      </c>
      <c r="G694" s="16" t="n">
        <v>84</v>
      </c>
      <c r="H694" s="17" t="n">
        <v>0</v>
      </c>
      <c r="I694" s="17" t="n">
        <v>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84</v>
      </c>
      <c r="O694" s="17" t="n">
        <v>0</v>
      </c>
      <c r="P694" s="17" t="n">
        <v>0</v>
      </c>
      <c r="Q694" s="18" t="n">
        <v>0</v>
      </c>
      <c r="R694" s="16" t="n">
        <v>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3</v>
      </c>
      <c r="Z694" s="17" t="n">
        <v>0</v>
      </c>
      <c r="AA694" s="17" t="n">
        <v>0</v>
      </c>
      <c r="AB694" s="18" t="n">
        <v>0</v>
      </c>
      <c r="AC694" s="16" t="n">
        <v>2</v>
      </c>
      <c r="AD694" s="17" t="n">
        <v>5</v>
      </c>
      <c r="AE694" s="17" t="n">
        <v>5</v>
      </c>
      <c r="AF694" s="17" t="n">
        <v>5</v>
      </c>
      <c r="AG694" s="17" t="n">
        <v>5</v>
      </c>
      <c r="AH694" s="17" t="n">
        <v>5</v>
      </c>
      <c r="AI694" s="17" t="n">
        <v>5</v>
      </c>
      <c r="AJ694" s="17" t="n">
        <v>2</v>
      </c>
      <c r="AK694" s="17" t="n">
        <v>5</v>
      </c>
      <c r="AL694" s="17" t="n">
        <v>5</v>
      </c>
      <c r="AM694" s="18" t="n">
        <v>5</v>
      </c>
      <c r="AN694" s="16" t="n">
        <v>27</v>
      </c>
      <c r="AO694" s="17" t="n">
        <v>0</v>
      </c>
      <c r="AP694" s="17" t="n">
        <v>0</v>
      </c>
      <c r="AQ694" s="17" t="n">
        <v>0</v>
      </c>
      <c r="AR694" s="17" t="n">
        <v>0</v>
      </c>
      <c r="AS694" s="17" t="n">
        <v>0</v>
      </c>
      <c r="AT694" s="17" t="n">
        <v>0</v>
      </c>
      <c r="AU694" s="17" t="n">
        <v>27</v>
      </c>
      <c r="AV694" s="17" t="n">
        <v>0</v>
      </c>
      <c r="AW694" s="17" t="n">
        <v>0</v>
      </c>
      <c r="AX694" s="18" t="n">
        <v>0</v>
      </c>
      <c r="AY694" s="16" t="n">
        <v>15</v>
      </c>
      <c r="AZ694" s="17" t="n">
        <v>0</v>
      </c>
      <c r="BA694" s="17" t="n">
        <v>0</v>
      </c>
      <c r="BB694" s="17" t="n">
        <v>0</v>
      </c>
      <c r="BC694" s="17" t="n">
        <v>0</v>
      </c>
      <c r="BD694" s="17" t="n">
        <v>0</v>
      </c>
      <c r="BE694" s="17" t="n">
        <v>0</v>
      </c>
      <c r="BF694" s="17" t="n">
        <v>15</v>
      </c>
      <c r="BG694" s="17" t="n">
        <v>0</v>
      </c>
      <c r="BH694" s="17" t="n">
        <v>0</v>
      </c>
      <c r="BI694" s="18" t="n">
        <v>0</v>
      </c>
      <c r="BJ694" s="16" t="n">
        <v>12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12</v>
      </c>
      <c r="BR694" s="17" t="n">
        <v>0</v>
      </c>
      <c r="BS694" s="17" t="n">
        <v>0</v>
      </c>
      <c r="BT694" s="18" t="n">
        <v>0</v>
      </c>
      <c r="BU694" s="17" t="inlineStr">
        <is>
          <t>Generic Drug</t>
        </is>
      </c>
    </row>
    <row r="695" ht="20" customHeight="1">
      <c r="A695" s="15" t="inlineStr">
        <is>
          <t>64980032430</t>
        </is>
      </c>
      <c r="B695" s="15" t="inlineStr">
        <is>
          <t>PROCTOZONE-HC 2.5% CREAM</t>
        </is>
      </c>
      <c r="C695" s="16" t="n">
        <v>30</v>
      </c>
      <c r="D695" s="16" t="n">
        <v>0</v>
      </c>
      <c r="E695" s="16" t="n">
        <v>0</v>
      </c>
      <c r="F695" s="16" t="n">
        <v>0</v>
      </c>
      <c r="G695" s="16" t="n">
        <v>60</v>
      </c>
      <c r="H695" s="17" t="n">
        <v>0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60</v>
      </c>
      <c r="O695" s="17" t="n">
        <v>0</v>
      </c>
      <c r="P695" s="17" t="n">
        <v>0</v>
      </c>
      <c r="Q695" s="18" t="n">
        <v>0</v>
      </c>
      <c r="R695" s="16" t="n">
        <v>2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2</v>
      </c>
      <c r="Z695" s="17" t="n">
        <v>0</v>
      </c>
      <c r="AA695" s="17" t="n">
        <v>0</v>
      </c>
      <c r="AB695" s="18" t="n">
        <v>0</v>
      </c>
      <c r="AC695" s="16" t="n">
        <v>-2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-2</v>
      </c>
      <c r="AK695" s="17" t="n">
        <v>0</v>
      </c>
      <c r="AL695" s="17" t="n">
        <v>0</v>
      </c>
      <c r="AM695" s="18" t="n">
        <v>0</v>
      </c>
      <c r="AN695" s="16" t="n">
        <v>22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7" t="n">
        <v>0</v>
      </c>
      <c r="AT695" s="17" t="n">
        <v>0</v>
      </c>
      <c r="AU695" s="17" t="n">
        <v>22</v>
      </c>
      <c r="AV695" s="17" t="n">
        <v>0</v>
      </c>
      <c r="AW695" s="17" t="n">
        <v>0</v>
      </c>
      <c r="AX695" s="18" t="n">
        <v>0</v>
      </c>
      <c r="AY695" s="16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8" t="n">
        <v>0</v>
      </c>
      <c r="BJ695" s="16" t="n">
        <v>22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22</v>
      </c>
      <c r="BR695" s="17" t="n">
        <v>0</v>
      </c>
      <c r="BS695" s="17" t="n">
        <v>0</v>
      </c>
      <c r="BT695" s="18" t="n">
        <v>0</v>
      </c>
      <c r="BU695" s="17" t="inlineStr">
        <is>
          <t>Unclassified</t>
        </is>
      </c>
    </row>
    <row r="696" ht="20" customHeight="1">
      <c r="A696" s="15" t="inlineStr">
        <is>
          <t>59651015201</t>
        </is>
      </c>
      <c r="B696" s="15" t="inlineStr">
        <is>
          <t>PROGESTERONE 100 MG CAPSULE</t>
        </is>
      </c>
      <c r="C696" s="16" t="n">
        <v>100</v>
      </c>
      <c r="D696" s="16" t="n">
        <v>0</v>
      </c>
      <c r="E696" s="16" t="n">
        <v>0</v>
      </c>
      <c r="F696" s="16" t="n">
        <v>0</v>
      </c>
      <c r="G696" s="16" t="n">
        <v>30</v>
      </c>
      <c r="H696" s="17" t="n">
        <v>0</v>
      </c>
      <c r="I696" s="17" t="n">
        <v>0</v>
      </c>
      <c r="J696" s="17" t="n">
        <v>30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8" t="n">
        <v>0</v>
      </c>
      <c r="R696" s="16" t="n">
        <v>0.3</v>
      </c>
      <c r="S696" s="17" t="n">
        <v>0</v>
      </c>
      <c r="T696" s="17" t="n">
        <v>0</v>
      </c>
      <c r="U696" s="17" t="n">
        <v>0.3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8" t="n">
        <v>0</v>
      </c>
      <c r="AC696" s="16" t="n">
        <v>-0.3</v>
      </c>
      <c r="AD696" s="17" t="n">
        <v>0</v>
      </c>
      <c r="AE696" s="17" t="n">
        <v>0</v>
      </c>
      <c r="AF696" s="17" t="n">
        <v>-0.3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8" t="n">
        <v>0</v>
      </c>
      <c r="AN696" s="16" t="n">
        <v>7</v>
      </c>
      <c r="AO696" s="17" t="n">
        <v>0</v>
      </c>
      <c r="AP696" s="17" t="n">
        <v>0</v>
      </c>
      <c r="AQ696" s="17" t="n">
        <v>6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8" t="n">
        <v>0</v>
      </c>
      <c r="AY696" s="16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7" t="n">
        <v>0</v>
      </c>
      <c r="BI696" s="18" t="n">
        <v>0</v>
      </c>
      <c r="BJ696" s="16" t="n">
        <v>7</v>
      </c>
      <c r="BK696" s="17" t="n">
        <v>0</v>
      </c>
      <c r="BL696" s="17" t="n">
        <v>0</v>
      </c>
      <c r="BM696" s="17" t="n">
        <v>6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7" t="n">
        <v>0</v>
      </c>
      <c r="BT696" s="18" t="n">
        <v>0</v>
      </c>
      <c r="BU696" s="17" t="inlineStr">
        <is>
          <t>Unclassified</t>
        </is>
      </c>
    </row>
    <row r="697" ht="20" customHeight="1">
      <c r="A697" s="15" t="inlineStr">
        <is>
          <t>59651015301</t>
        </is>
      </c>
      <c r="B697" s="15" t="inlineStr">
        <is>
          <t>PROGESTERONE 200 MG ORAL CAPSULE</t>
        </is>
      </c>
      <c r="C697" s="16" t="n">
        <v>100</v>
      </c>
      <c r="D697" s="16" t="n">
        <v>0</v>
      </c>
      <c r="E697" s="16" t="n">
        <v>0</v>
      </c>
      <c r="F697" s="16" t="n">
        <v>0</v>
      </c>
      <c r="G697" s="16" t="n">
        <v>12</v>
      </c>
      <c r="H697" s="17" t="n">
        <v>0</v>
      </c>
      <c r="I697" s="17" t="n">
        <v>0</v>
      </c>
      <c r="J697" s="17" t="n">
        <v>0</v>
      </c>
      <c r="K697" s="17" t="n">
        <v>12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8" t="n">
        <v>0</v>
      </c>
      <c r="R697" s="16" t="n">
        <v>0.12</v>
      </c>
      <c r="S697" s="17" t="n">
        <v>0</v>
      </c>
      <c r="T697" s="17" t="n">
        <v>0</v>
      </c>
      <c r="U697" s="17" t="n">
        <v>0</v>
      </c>
      <c r="V697" s="17" t="n">
        <v>0.12</v>
      </c>
      <c r="W697" s="17" t="n">
        <v>0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8" t="n">
        <v>0</v>
      </c>
      <c r="AC697" s="16" t="n">
        <v>-0.12</v>
      </c>
      <c r="AD697" s="17" t="n">
        <v>0</v>
      </c>
      <c r="AE697" s="17" t="n">
        <v>0</v>
      </c>
      <c r="AF697" s="17" t="n">
        <v>0</v>
      </c>
      <c r="AG697" s="17" t="n">
        <v>-0.12</v>
      </c>
      <c r="AH697" s="17" t="n">
        <v>0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8" t="n">
        <v>0</v>
      </c>
      <c r="AN697" s="16" t="n">
        <v>5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8" t="n">
        <v>0</v>
      </c>
      <c r="AY697" s="16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8" t="n">
        <v>0</v>
      </c>
      <c r="BJ697" s="16" t="n">
        <v>5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8" t="n">
        <v>0</v>
      </c>
      <c r="BU697" s="17" t="inlineStr">
        <is>
          <t>Unclassified</t>
        </is>
      </c>
    </row>
    <row r="698" ht="20" customHeight="1">
      <c r="A698" s="15" t="inlineStr">
        <is>
          <t>70752013812</t>
        </is>
      </c>
      <c r="B698" s="15" t="inlineStr">
        <is>
          <t>PROMETHAZINE HCL 6.25 MG/5ML ORAL SOLUTION</t>
        </is>
      </c>
      <c r="C698" s="16" t="n">
        <v>473</v>
      </c>
      <c r="D698" s="16" t="n">
        <v>0</v>
      </c>
      <c r="E698" s="16" t="n">
        <v>0</v>
      </c>
      <c r="F698" s="16" t="n">
        <v>0</v>
      </c>
      <c r="G698" s="16" t="n">
        <v>740</v>
      </c>
      <c r="H698" s="17" t="n">
        <v>0</v>
      </c>
      <c r="I698" s="17" t="n">
        <v>0</v>
      </c>
      <c r="J698" s="17" t="n">
        <v>560</v>
      </c>
      <c r="K698" s="17" t="n">
        <v>180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8" t="n">
        <v>0</v>
      </c>
      <c r="R698" s="16" t="n">
        <v>1.564</v>
      </c>
      <c r="S698" s="17" t="n">
        <v>0</v>
      </c>
      <c r="T698" s="17" t="n">
        <v>0</v>
      </c>
      <c r="U698" s="17" t="n">
        <v>1.184</v>
      </c>
      <c r="V698" s="17" t="n">
        <v>0.381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8" t="n">
        <v>0</v>
      </c>
      <c r="AC698" s="16" t="n">
        <v>-1.564</v>
      </c>
      <c r="AD698" s="17" t="n">
        <v>0</v>
      </c>
      <c r="AE698" s="17" t="n">
        <v>0</v>
      </c>
      <c r="AF698" s="17" t="n">
        <v>-1.184</v>
      </c>
      <c r="AG698" s="17" t="n">
        <v>-0.381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8" t="n">
        <v>0</v>
      </c>
      <c r="AN698" s="16" t="n">
        <v>19</v>
      </c>
      <c r="AO698" s="17" t="n">
        <v>0</v>
      </c>
      <c r="AP698" s="17" t="n">
        <v>0</v>
      </c>
      <c r="AQ698" s="17" t="n">
        <v>13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8" t="n">
        <v>0</v>
      </c>
      <c r="AY698" s="16" t="n">
        <v>0</v>
      </c>
      <c r="AZ698" s="17" t="n">
        <v>0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0</v>
      </c>
      <c r="BF698" s="17" t="n">
        <v>0</v>
      </c>
      <c r="BG698" s="17" t="n">
        <v>0</v>
      </c>
      <c r="BH698" s="17" t="n">
        <v>0</v>
      </c>
      <c r="BI698" s="18" t="n">
        <v>0</v>
      </c>
      <c r="BJ698" s="16" t="n">
        <v>19</v>
      </c>
      <c r="BK698" s="17" t="n">
        <v>0</v>
      </c>
      <c r="BL698" s="17" t="n">
        <v>0</v>
      </c>
      <c r="BM698" s="17" t="n">
        <v>13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7" t="n">
        <v>0</v>
      </c>
      <c r="BT698" s="18" t="n">
        <v>0</v>
      </c>
      <c r="BU698" s="17" t="inlineStr">
        <is>
          <t>Unclassified</t>
        </is>
      </c>
    </row>
    <row r="699" ht="20" customHeight="1">
      <c r="A699" s="15" t="inlineStr">
        <is>
          <t>70436015542</t>
        </is>
      </c>
      <c r="B699" s="15" t="inlineStr">
        <is>
          <t>PROMETHAZINE-DM 6.25-15 MG/5ML ORAL SYRUP</t>
        </is>
      </c>
      <c r="C699" s="16" t="n">
        <v>473</v>
      </c>
      <c r="D699" s="16" t="n">
        <v>0</v>
      </c>
      <c r="E699" s="16" t="n">
        <v>0</v>
      </c>
      <c r="F699" s="16" t="n">
        <v>0</v>
      </c>
      <c r="G699" s="16" t="n">
        <v>100</v>
      </c>
      <c r="H699" s="17" t="n">
        <v>0</v>
      </c>
      <c r="I699" s="17" t="n">
        <v>0</v>
      </c>
      <c r="J699" s="17" t="n">
        <v>100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8" t="n">
        <v>0</v>
      </c>
      <c r="R699" s="16" t="n">
        <v>0.211</v>
      </c>
      <c r="S699" s="17" t="n">
        <v>0</v>
      </c>
      <c r="T699" s="17" t="n">
        <v>0</v>
      </c>
      <c r="U699" s="17" t="n">
        <v>0.211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8" t="n">
        <v>0</v>
      </c>
      <c r="AC699" s="16" t="n">
        <v>-0.211</v>
      </c>
      <c r="AD699" s="17" t="n">
        <v>0</v>
      </c>
      <c r="AE699" s="17" t="n">
        <v>0</v>
      </c>
      <c r="AF699" s="17" t="n">
        <v>-0.211</v>
      </c>
      <c r="AG699" s="17" t="n">
        <v>0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0</v>
      </c>
      <c r="AM699" s="18" t="n">
        <v>0</v>
      </c>
      <c r="AN699" s="16" t="n">
        <v>3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8" t="n">
        <v>0</v>
      </c>
      <c r="AY699" s="16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8" t="n">
        <v>0</v>
      </c>
      <c r="BJ699" s="16" t="n">
        <v>3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8" t="n">
        <v>0</v>
      </c>
      <c r="BU699" s="17" t="inlineStr">
        <is>
          <t>Unclassified</t>
        </is>
      </c>
    </row>
    <row r="700" ht="20" customHeight="1">
      <c r="A700" s="15" t="inlineStr">
        <is>
          <t>69238207701</t>
        </is>
      </c>
      <c r="B700" s="15" t="inlineStr">
        <is>
          <t xml:space="preserve">PROPRANOLOL 10MG TABLET </t>
        </is>
      </c>
      <c r="C700" s="16" t="n">
        <v>100</v>
      </c>
      <c r="D700" s="16" t="n">
        <v>0</v>
      </c>
      <c r="E700" s="16" t="n">
        <v>0</v>
      </c>
      <c r="F700" s="16" t="n">
        <v>0</v>
      </c>
      <c r="G700" s="16" t="n">
        <v>240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240</v>
      </c>
      <c r="O700" s="17" t="n">
        <v>0</v>
      </c>
      <c r="P700" s="17" t="n">
        <v>0</v>
      </c>
      <c r="Q700" s="18" t="n">
        <v>0</v>
      </c>
      <c r="R700" s="16" t="n">
        <v>2.4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2.4</v>
      </c>
      <c r="Z700" s="17" t="n">
        <v>0</v>
      </c>
      <c r="AA700" s="17" t="n">
        <v>0</v>
      </c>
      <c r="AB700" s="18" t="n">
        <v>0</v>
      </c>
      <c r="AC700" s="16" t="n">
        <v>-2.4</v>
      </c>
      <c r="AD700" s="17" t="n">
        <v>0</v>
      </c>
      <c r="AE700" s="17" t="n">
        <v>0</v>
      </c>
      <c r="AF700" s="17" t="n">
        <v>0</v>
      </c>
      <c r="AG700" s="17" t="n">
        <v>0</v>
      </c>
      <c r="AH700" s="17" t="n">
        <v>0</v>
      </c>
      <c r="AI700" s="17" t="n">
        <v>0</v>
      </c>
      <c r="AJ700" s="17" t="n">
        <v>-2.4</v>
      </c>
      <c r="AK700" s="17" t="n">
        <v>0</v>
      </c>
      <c r="AL700" s="17" t="n">
        <v>0</v>
      </c>
      <c r="AM700" s="18" t="n">
        <v>0</v>
      </c>
      <c r="AN700" s="16" t="n">
        <v>32</v>
      </c>
      <c r="AO700" s="17" t="n">
        <v>0</v>
      </c>
      <c r="AP700" s="17" t="n">
        <v>0</v>
      </c>
      <c r="AQ700" s="17" t="n">
        <v>0</v>
      </c>
      <c r="AR700" s="17" t="n">
        <v>0</v>
      </c>
      <c r="AS700" s="17" t="n">
        <v>0</v>
      </c>
      <c r="AT700" s="17" t="n">
        <v>0</v>
      </c>
      <c r="AU700" s="17" t="n">
        <v>32</v>
      </c>
      <c r="AV700" s="17" t="n">
        <v>0</v>
      </c>
      <c r="AW700" s="17" t="n">
        <v>0</v>
      </c>
      <c r="AX700" s="18" t="n">
        <v>0</v>
      </c>
      <c r="AY700" s="16" t="n">
        <v>0</v>
      </c>
      <c r="AZ700" s="17" t="n">
        <v>0</v>
      </c>
      <c r="BA700" s="17" t="n">
        <v>0</v>
      </c>
      <c r="BB700" s="17" t="n">
        <v>0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7" t="n">
        <v>0</v>
      </c>
      <c r="BI700" s="18" t="n">
        <v>0</v>
      </c>
      <c r="BJ700" s="16" t="n">
        <v>32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32</v>
      </c>
      <c r="BR700" s="17" t="n">
        <v>0</v>
      </c>
      <c r="BS700" s="17" t="n">
        <v>0</v>
      </c>
      <c r="BT700" s="18" t="n">
        <v>0</v>
      </c>
      <c r="BU700" s="17" t="inlineStr">
        <is>
          <t>Unclassified</t>
        </is>
      </c>
    </row>
    <row r="701" ht="20" customHeight="1">
      <c r="A701" s="15" t="inlineStr">
        <is>
          <t>69238207807</t>
        </is>
      </c>
      <c r="B701" s="15" t="inlineStr">
        <is>
          <t>PROPRANOLOL HCL 20 MG ORAL TABLET</t>
        </is>
      </c>
      <c r="C701" s="16" t="n">
        <v>1000</v>
      </c>
      <c r="D701" s="16" t="n">
        <v>0</v>
      </c>
      <c r="E701" s="16" t="n">
        <v>0</v>
      </c>
      <c r="F701" s="16" t="n">
        <v>0</v>
      </c>
      <c r="G701" s="16" t="n">
        <v>540</v>
      </c>
      <c r="H701" s="17" t="n">
        <v>0</v>
      </c>
      <c r="I701" s="17" t="n">
        <v>0</v>
      </c>
      <c r="J701" s="17" t="n">
        <v>450</v>
      </c>
      <c r="K701" s="17" t="n">
        <v>0</v>
      </c>
      <c r="L701" s="17" t="n">
        <v>0</v>
      </c>
      <c r="M701" s="17" t="n">
        <v>0</v>
      </c>
      <c r="N701" s="17" t="n">
        <v>60</v>
      </c>
      <c r="O701" s="17" t="n">
        <v>30</v>
      </c>
      <c r="P701" s="17" t="n">
        <v>0</v>
      </c>
      <c r="Q701" s="18" t="n">
        <v>0</v>
      </c>
      <c r="R701" s="16" t="n">
        <v>0.54</v>
      </c>
      <c r="S701" s="17" t="n">
        <v>0</v>
      </c>
      <c r="T701" s="17" t="n">
        <v>0</v>
      </c>
      <c r="U701" s="17" t="n">
        <v>0.45</v>
      </c>
      <c r="V701" s="17" t="n">
        <v>0</v>
      </c>
      <c r="W701" s="17" t="n">
        <v>0</v>
      </c>
      <c r="X701" s="17" t="n">
        <v>0</v>
      </c>
      <c r="Y701" s="17" t="n">
        <v>0.06</v>
      </c>
      <c r="Z701" s="17" t="n">
        <v>0.03</v>
      </c>
      <c r="AA701" s="17" t="n">
        <v>0</v>
      </c>
      <c r="AB701" s="18" t="n">
        <v>0</v>
      </c>
      <c r="AC701" s="16" t="n">
        <v>-0.54</v>
      </c>
      <c r="AD701" s="17" t="n">
        <v>0</v>
      </c>
      <c r="AE701" s="17" t="n">
        <v>0</v>
      </c>
      <c r="AF701" s="17" t="n">
        <v>-0.45</v>
      </c>
      <c r="AG701" s="17" t="n">
        <v>0</v>
      </c>
      <c r="AH701" s="17" t="n">
        <v>0</v>
      </c>
      <c r="AI701" s="17" t="n">
        <v>0</v>
      </c>
      <c r="AJ701" s="17" t="n">
        <v>-0.06</v>
      </c>
      <c r="AK701" s="17" t="n">
        <v>-0.03</v>
      </c>
      <c r="AL701" s="17" t="n">
        <v>0</v>
      </c>
      <c r="AM701" s="18" t="n">
        <v>0</v>
      </c>
      <c r="AN701" s="16" t="n">
        <v>34</v>
      </c>
      <c r="AO701" s="17" t="n">
        <v>0</v>
      </c>
      <c r="AP701" s="17" t="n">
        <v>0</v>
      </c>
      <c r="AQ701" s="17" t="n">
        <v>14</v>
      </c>
      <c r="AR701" s="17" t="n">
        <v>0</v>
      </c>
      <c r="AS701" s="17" t="n">
        <v>0</v>
      </c>
      <c r="AT701" s="17" t="n">
        <v>0</v>
      </c>
      <c r="AU701" s="17" t="n">
        <v>14</v>
      </c>
      <c r="AV701" s="17" t="n">
        <v>0</v>
      </c>
      <c r="AW701" s="17" t="n">
        <v>0</v>
      </c>
      <c r="AX701" s="18" t="n">
        <v>0</v>
      </c>
      <c r="AY701" s="16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8" t="n">
        <v>0</v>
      </c>
      <c r="BJ701" s="16" t="n">
        <v>34</v>
      </c>
      <c r="BK701" s="17" t="n">
        <v>0</v>
      </c>
      <c r="BL701" s="17" t="n">
        <v>0</v>
      </c>
      <c r="BM701" s="17" t="n">
        <v>14</v>
      </c>
      <c r="BN701" s="17" t="n">
        <v>0</v>
      </c>
      <c r="BO701" s="17" t="n">
        <v>0</v>
      </c>
      <c r="BP701" s="17" t="n">
        <v>0</v>
      </c>
      <c r="BQ701" s="17" t="n">
        <v>14</v>
      </c>
      <c r="BR701" s="17" t="n">
        <v>0</v>
      </c>
      <c r="BS701" s="17" t="n">
        <v>0</v>
      </c>
      <c r="BT701" s="18" t="n">
        <v>0</v>
      </c>
      <c r="BU701" s="17" t="inlineStr">
        <is>
          <t>Unclassified</t>
        </is>
      </c>
    </row>
    <row r="702" ht="20" customHeight="1">
      <c r="A702" s="15" t="inlineStr">
        <is>
          <t>42192060716</t>
        </is>
      </c>
      <c r="B702" s="15" t="inlineStr">
        <is>
          <t>PSEUDOEPH-BROMPHEN-DM 30-2-10 MG/5ML ORAL SYRUP</t>
        </is>
      </c>
      <c r="C702" s="16" t="n">
        <v>473</v>
      </c>
      <c r="D702" s="16" t="n">
        <v>0</v>
      </c>
      <c r="E702" s="16" t="n">
        <v>0</v>
      </c>
      <c r="F702" s="16" t="n">
        <v>0</v>
      </c>
      <c r="G702" s="16" t="n">
        <v>200</v>
      </c>
      <c r="H702" s="17" t="n">
        <v>0</v>
      </c>
      <c r="I702" s="17" t="n">
        <v>0</v>
      </c>
      <c r="J702" s="17" t="n">
        <v>200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8" t="n">
        <v>0</v>
      </c>
      <c r="R702" s="16" t="n">
        <v>0.423</v>
      </c>
      <c r="S702" s="17" t="n">
        <v>0</v>
      </c>
      <c r="T702" s="17" t="n">
        <v>0</v>
      </c>
      <c r="U702" s="17" t="n">
        <v>0.423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8" t="n">
        <v>0</v>
      </c>
      <c r="AC702" s="16" t="n">
        <v>-0.423</v>
      </c>
      <c r="AD702" s="17" t="n">
        <v>0</v>
      </c>
      <c r="AE702" s="17" t="n">
        <v>0</v>
      </c>
      <c r="AF702" s="17" t="n">
        <v>-0.423</v>
      </c>
      <c r="AG702" s="17" t="n">
        <v>0</v>
      </c>
      <c r="AH702" s="17" t="n">
        <v>0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8" t="n">
        <v>0</v>
      </c>
      <c r="AN702" s="16" t="n">
        <v>9</v>
      </c>
      <c r="AO702" s="17" t="n">
        <v>0</v>
      </c>
      <c r="AP702" s="17" t="n">
        <v>0</v>
      </c>
      <c r="AQ702" s="17" t="n">
        <v>9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8" t="n">
        <v>0</v>
      </c>
      <c r="AY702" s="16" t="n">
        <v>0</v>
      </c>
      <c r="AZ702" s="17" t="n">
        <v>0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0</v>
      </c>
      <c r="BF702" s="17" t="n">
        <v>0</v>
      </c>
      <c r="BG702" s="17" t="n">
        <v>0</v>
      </c>
      <c r="BH702" s="17" t="n">
        <v>0</v>
      </c>
      <c r="BI702" s="18" t="n">
        <v>0</v>
      </c>
      <c r="BJ702" s="16" t="n">
        <v>9</v>
      </c>
      <c r="BK702" s="17" t="n">
        <v>0</v>
      </c>
      <c r="BL702" s="17" t="n">
        <v>0</v>
      </c>
      <c r="BM702" s="17" t="n">
        <v>9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7" t="n">
        <v>0</v>
      </c>
      <c r="BT702" s="18" t="n">
        <v>0</v>
      </c>
      <c r="BU702" s="17" t="inlineStr">
        <is>
          <t>Unclassified</t>
        </is>
      </c>
    </row>
    <row r="703" ht="20" customHeight="1">
      <c r="A703" s="15" t="inlineStr">
        <is>
          <t>00904505359</t>
        </is>
      </c>
      <c r="B703" s="15" t="inlineStr">
        <is>
          <t>PSEUDOEPHEDRINE(SUDOGEST) 30MG TABLET</t>
        </is>
      </c>
      <c r="C703" s="16" t="n">
        <v>100</v>
      </c>
      <c r="D703" s="16" t="n">
        <v>3</v>
      </c>
      <c r="E703" s="16" t="n">
        <v>3</v>
      </c>
      <c r="F703" s="16" t="n">
        <v>4</v>
      </c>
      <c r="G703" s="16" t="n">
        <v>0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50</v>
      </c>
      <c r="O703" s="17" t="n">
        <v>0</v>
      </c>
      <c r="P703" s="17" t="n">
        <v>0</v>
      </c>
      <c r="Q703" s="18" t="n">
        <v>0</v>
      </c>
      <c r="R703" s="16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0.5</v>
      </c>
      <c r="Z703" s="17" t="n">
        <v>0</v>
      </c>
      <c r="AA703" s="17" t="n">
        <v>0</v>
      </c>
      <c r="AB703" s="18" t="n">
        <v>0</v>
      </c>
      <c r="AC703" s="16" t="n">
        <v>3</v>
      </c>
      <c r="AD703" s="17" t="n">
        <v>3</v>
      </c>
      <c r="AE703" s="17" t="n">
        <v>3</v>
      </c>
      <c r="AF703" s="17" t="n">
        <v>3</v>
      </c>
      <c r="AG703" s="17" t="n">
        <v>3</v>
      </c>
      <c r="AH703" s="17" t="n">
        <v>3</v>
      </c>
      <c r="AI703" s="17" t="n">
        <v>3</v>
      </c>
      <c r="AJ703" s="17" t="n">
        <v>2.5</v>
      </c>
      <c r="AK703" s="17" t="n">
        <v>3</v>
      </c>
      <c r="AL703" s="17" t="n">
        <v>3</v>
      </c>
      <c r="AM703" s="18" t="n">
        <v>3</v>
      </c>
      <c r="AN703" s="16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11</v>
      </c>
      <c r="AV703" s="17" t="n">
        <v>0</v>
      </c>
      <c r="AW703" s="17" t="n">
        <v>0</v>
      </c>
      <c r="AX703" s="18" t="n">
        <v>0</v>
      </c>
      <c r="AY703" s="16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2</v>
      </c>
      <c r="BG703" s="17" t="n">
        <v>0</v>
      </c>
      <c r="BH703" s="17" t="n">
        <v>0</v>
      </c>
      <c r="BI703" s="18" t="n">
        <v>0</v>
      </c>
      <c r="BJ703" s="16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9</v>
      </c>
      <c r="BR703" s="17" t="n">
        <v>0</v>
      </c>
      <c r="BS703" s="17" t="n">
        <v>0</v>
      </c>
      <c r="BT703" s="18" t="n">
        <v>0</v>
      </c>
      <c r="BU703" s="17" t="inlineStr">
        <is>
          <t>OTC Drug</t>
        </is>
      </c>
    </row>
    <row r="704" ht="20" customHeight="1">
      <c r="A704" s="15" t="inlineStr">
        <is>
          <t>68180061307</t>
        </is>
      </c>
      <c r="B704" s="15" t="inlineStr">
        <is>
          <t>QUETIAPINE 150MG TABLET ER</t>
        </is>
      </c>
      <c r="C704" s="16" t="n">
        <v>60</v>
      </c>
      <c r="D704" s="16" t="n">
        <v>0</v>
      </c>
      <c r="E704" s="16" t="n">
        <v>0</v>
      </c>
      <c r="F704" s="16" t="n">
        <v>0</v>
      </c>
      <c r="G704" s="16" t="n">
        <v>28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0</v>
      </c>
      <c r="N704" s="17" t="n">
        <v>28</v>
      </c>
      <c r="O704" s="17" t="n">
        <v>0</v>
      </c>
      <c r="P704" s="17" t="n">
        <v>0</v>
      </c>
      <c r="Q704" s="18" t="n">
        <v>0</v>
      </c>
      <c r="R704" s="16" t="n">
        <v>0.467</v>
      </c>
      <c r="S704" s="17" t="n">
        <v>0</v>
      </c>
      <c r="T704" s="17" t="n">
        <v>0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0.467</v>
      </c>
      <c r="Z704" s="17" t="n">
        <v>0</v>
      </c>
      <c r="AA704" s="17" t="n">
        <v>0</v>
      </c>
      <c r="AB704" s="18" t="n">
        <v>0</v>
      </c>
      <c r="AC704" s="16" t="n">
        <v>-0.467</v>
      </c>
      <c r="AD704" s="17" t="n">
        <v>0</v>
      </c>
      <c r="AE704" s="17" t="n">
        <v>0</v>
      </c>
      <c r="AF704" s="17" t="n">
        <v>0</v>
      </c>
      <c r="AG704" s="17" t="n">
        <v>0</v>
      </c>
      <c r="AH704" s="17" t="n">
        <v>0</v>
      </c>
      <c r="AI704" s="17" t="n">
        <v>0</v>
      </c>
      <c r="AJ704" s="17" t="n">
        <v>-0.467</v>
      </c>
      <c r="AK704" s="17" t="n">
        <v>0</v>
      </c>
      <c r="AL704" s="17" t="n">
        <v>0</v>
      </c>
      <c r="AM704" s="18" t="n">
        <v>0</v>
      </c>
      <c r="AN704" s="16" t="n">
        <v>16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7" t="n">
        <v>0</v>
      </c>
      <c r="AT704" s="17" t="n">
        <v>0</v>
      </c>
      <c r="AU704" s="17" t="n">
        <v>16</v>
      </c>
      <c r="AV704" s="17" t="n">
        <v>0</v>
      </c>
      <c r="AW704" s="17" t="n">
        <v>0</v>
      </c>
      <c r="AX704" s="18" t="n">
        <v>0</v>
      </c>
      <c r="AY704" s="16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7" t="n">
        <v>0</v>
      </c>
      <c r="BG704" s="17" t="n">
        <v>0</v>
      </c>
      <c r="BH704" s="17" t="n">
        <v>0</v>
      </c>
      <c r="BI704" s="18" t="n">
        <v>0</v>
      </c>
      <c r="BJ704" s="16" t="n">
        <v>16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16</v>
      </c>
      <c r="BR704" s="17" t="n">
        <v>0</v>
      </c>
      <c r="BS704" s="17" t="n">
        <v>0</v>
      </c>
      <c r="BT704" s="18" t="n">
        <v>0</v>
      </c>
      <c r="BU704" s="17" t="inlineStr">
        <is>
          <t>Unclassified</t>
        </is>
      </c>
    </row>
    <row r="705" ht="20" customHeight="1">
      <c r="A705" s="15" t="inlineStr">
        <is>
          <t>67877024201</t>
        </is>
      </c>
      <c r="B705" s="15" t="inlineStr">
        <is>
          <t>QUETIAPINE 25MG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231</v>
      </c>
      <c r="H705" s="17" t="n">
        <v>0</v>
      </c>
      <c r="I705" s="17" t="n">
        <v>0</v>
      </c>
      <c r="J705" s="17" t="n">
        <v>51</v>
      </c>
      <c r="K705" s="17" t="n">
        <v>0</v>
      </c>
      <c r="L705" s="17" t="n">
        <v>0</v>
      </c>
      <c r="M705" s="17" t="n">
        <v>0</v>
      </c>
      <c r="N705" s="17" t="n">
        <v>90</v>
      </c>
      <c r="O705" s="17" t="n">
        <v>90</v>
      </c>
      <c r="P705" s="17" t="n">
        <v>0</v>
      </c>
      <c r="Q705" s="18" t="n">
        <v>0</v>
      </c>
      <c r="R705" s="16" t="n">
        <v>2.31</v>
      </c>
      <c r="S705" s="17" t="n">
        <v>0</v>
      </c>
      <c r="T705" s="17" t="n">
        <v>0</v>
      </c>
      <c r="U705" s="17" t="n">
        <v>0.51</v>
      </c>
      <c r="V705" s="17" t="n">
        <v>0</v>
      </c>
      <c r="W705" s="17" t="n">
        <v>0</v>
      </c>
      <c r="X705" s="17" t="n">
        <v>0</v>
      </c>
      <c r="Y705" s="17" t="n">
        <v>0.9</v>
      </c>
      <c r="Z705" s="17" t="n">
        <v>0.9</v>
      </c>
      <c r="AA705" s="17" t="n">
        <v>0</v>
      </c>
      <c r="AB705" s="18" t="n">
        <v>0</v>
      </c>
      <c r="AC705" s="16" t="n">
        <v>-2.31</v>
      </c>
      <c r="AD705" s="17" t="n">
        <v>0</v>
      </c>
      <c r="AE705" s="17" t="n">
        <v>0</v>
      </c>
      <c r="AF705" s="17" t="n">
        <v>-0.51</v>
      </c>
      <c r="AG705" s="17" t="n">
        <v>0</v>
      </c>
      <c r="AH705" s="17" t="n">
        <v>0</v>
      </c>
      <c r="AI705" s="17" t="n">
        <v>0</v>
      </c>
      <c r="AJ705" s="17" t="n">
        <v>-0.9</v>
      </c>
      <c r="AK705" s="17" t="n">
        <v>-0.9</v>
      </c>
      <c r="AL705" s="17" t="n">
        <v>0</v>
      </c>
      <c r="AM705" s="18" t="n">
        <v>0</v>
      </c>
      <c r="AN705" s="16" t="n">
        <v>39</v>
      </c>
      <c r="AO705" s="17" t="n">
        <v>0</v>
      </c>
      <c r="AP705" s="17" t="n">
        <v>0</v>
      </c>
      <c r="AQ705" s="17" t="n">
        <v>0</v>
      </c>
      <c r="AR705" s="17" t="n">
        <v>0</v>
      </c>
      <c r="AS705" s="17" t="n">
        <v>0</v>
      </c>
      <c r="AT705" s="17" t="n">
        <v>0</v>
      </c>
      <c r="AU705" s="17" t="n">
        <v>13</v>
      </c>
      <c r="AV705" s="17" t="n">
        <v>26</v>
      </c>
      <c r="AW705" s="17" t="n">
        <v>0</v>
      </c>
      <c r="AX705" s="18" t="n">
        <v>0</v>
      </c>
      <c r="AY705" s="16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8" t="n">
        <v>0</v>
      </c>
      <c r="BJ705" s="16" t="n">
        <v>39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13</v>
      </c>
      <c r="BR705" s="17" t="n">
        <v>26</v>
      </c>
      <c r="BS705" s="17" t="n">
        <v>0</v>
      </c>
      <c r="BT705" s="18" t="n">
        <v>0</v>
      </c>
      <c r="BU705" s="17" t="inlineStr">
        <is>
          <t>Unclassified</t>
        </is>
      </c>
    </row>
    <row r="706" ht="20" customHeight="1">
      <c r="A706" s="15" t="inlineStr">
        <is>
          <t>67877024910</t>
        </is>
      </c>
      <c r="B706" s="15" t="inlineStr">
        <is>
          <t>QUETIAPINE 50MG TABLET</t>
        </is>
      </c>
      <c r="C706" s="16" t="n">
        <v>1000</v>
      </c>
      <c r="D706" s="16" t="n">
        <v>0</v>
      </c>
      <c r="E706" s="16" t="n">
        <v>0</v>
      </c>
      <c r="F706" s="16" t="n">
        <v>0</v>
      </c>
      <c r="G706" s="16" t="n">
        <v>300</v>
      </c>
      <c r="H706" s="17" t="n">
        <v>0</v>
      </c>
      <c r="I706" s="17" t="n">
        <v>0</v>
      </c>
      <c r="J706" s="17" t="n">
        <v>90</v>
      </c>
      <c r="K706" s="17" t="n">
        <v>0</v>
      </c>
      <c r="L706" s="17" t="n">
        <v>0</v>
      </c>
      <c r="M706" s="17" t="n">
        <v>0</v>
      </c>
      <c r="N706" s="17" t="n">
        <v>210</v>
      </c>
      <c r="O706" s="17" t="n">
        <v>0</v>
      </c>
      <c r="P706" s="17" t="n">
        <v>0</v>
      </c>
      <c r="Q706" s="18" t="n">
        <v>0</v>
      </c>
      <c r="R706" s="16" t="n">
        <v>0.3</v>
      </c>
      <c r="S706" s="17" t="n">
        <v>0</v>
      </c>
      <c r="T706" s="17" t="n">
        <v>0</v>
      </c>
      <c r="U706" s="17" t="n">
        <v>0.09</v>
      </c>
      <c r="V706" s="17" t="n">
        <v>0</v>
      </c>
      <c r="W706" s="17" t="n">
        <v>0</v>
      </c>
      <c r="X706" s="17" t="n">
        <v>0</v>
      </c>
      <c r="Y706" s="17" t="n">
        <v>0.21</v>
      </c>
      <c r="Z706" s="17" t="n">
        <v>0</v>
      </c>
      <c r="AA706" s="17" t="n">
        <v>0</v>
      </c>
      <c r="AB706" s="18" t="n">
        <v>0</v>
      </c>
      <c r="AC706" s="16" t="n">
        <v>-0.3</v>
      </c>
      <c r="AD706" s="17" t="n">
        <v>0</v>
      </c>
      <c r="AE706" s="17" t="n">
        <v>0</v>
      </c>
      <c r="AF706" s="17" t="n">
        <v>-0.09</v>
      </c>
      <c r="AG706" s="17" t="n">
        <v>0</v>
      </c>
      <c r="AH706" s="17" t="n">
        <v>0</v>
      </c>
      <c r="AI706" s="17" t="n">
        <v>0</v>
      </c>
      <c r="AJ706" s="17" t="n">
        <v>-0.21</v>
      </c>
      <c r="AK706" s="17" t="n">
        <v>0</v>
      </c>
      <c r="AL706" s="17" t="n">
        <v>0</v>
      </c>
      <c r="AM706" s="18" t="n">
        <v>0</v>
      </c>
      <c r="AN706" s="16" t="n">
        <v>40</v>
      </c>
      <c r="AO706" s="17" t="n">
        <v>0</v>
      </c>
      <c r="AP706" s="17" t="n">
        <v>0</v>
      </c>
      <c r="AQ706" s="17" t="n">
        <v>2</v>
      </c>
      <c r="AR706" s="17" t="n">
        <v>0</v>
      </c>
      <c r="AS706" s="17" t="n">
        <v>0</v>
      </c>
      <c r="AT706" s="17" t="n">
        <v>0</v>
      </c>
      <c r="AU706" s="17" t="n">
        <v>38</v>
      </c>
      <c r="AV706" s="17" t="n">
        <v>0</v>
      </c>
      <c r="AW706" s="17" t="n">
        <v>0</v>
      </c>
      <c r="AX706" s="18" t="n">
        <v>0</v>
      </c>
      <c r="AY706" s="16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7" t="n">
        <v>0</v>
      </c>
      <c r="BG706" s="17" t="n">
        <v>0</v>
      </c>
      <c r="BH706" s="17" t="n">
        <v>0</v>
      </c>
      <c r="BI706" s="18" t="n">
        <v>0</v>
      </c>
      <c r="BJ706" s="16" t="n">
        <v>40</v>
      </c>
      <c r="BK706" s="17" t="n">
        <v>0</v>
      </c>
      <c r="BL706" s="17" t="n">
        <v>0</v>
      </c>
      <c r="BM706" s="17" t="n">
        <v>2</v>
      </c>
      <c r="BN706" s="17" t="n">
        <v>0</v>
      </c>
      <c r="BO706" s="17" t="n">
        <v>0</v>
      </c>
      <c r="BP706" s="17" t="n">
        <v>0</v>
      </c>
      <c r="BQ706" s="17" t="n">
        <v>38</v>
      </c>
      <c r="BR706" s="17" t="n">
        <v>0</v>
      </c>
      <c r="BS706" s="17" t="n">
        <v>0</v>
      </c>
      <c r="BT706" s="18" t="n">
        <v>0</v>
      </c>
      <c r="BU706" s="17" t="inlineStr">
        <is>
          <t>Unclassified</t>
        </is>
      </c>
    </row>
    <row r="707" ht="20" customHeight="1">
      <c r="A707" s="15" t="inlineStr">
        <is>
          <t>67877025001</t>
        </is>
      </c>
      <c r="B707" s="15" t="inlineStr">
        <is>
          <t>QUETIAPINE FUMARATE 100MG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285</v>
      </c>
      <c r="H707" s="17" t="n">
        <v>0</v>
      </c>
      <c r="I707" s="17" t="n">
        <v>0</v>
      </c>
      <c r="J707" s="17" t="n">
        <v>180</v>
      </c>
      <c r="K707" s="17" t="n">
        <v>0</v>
      </c>
      <c r="L707" s="17" t="n">
        <v>0</v>
      </c>
      <c r="M707" s="17" t="n">
        <v>0</v>
      </c>
      <c r="N707" s="17" t="n">
        <v>105</v>
      </c>
      <c r="O707" s="17" t="n">
        <v>0</v>
      </c>
      <c r="P707" s="17" t="n">
        <v>0</v>
      </c>
      <c r="Q707" s="18" t="n">
        <v>0</v>
      </c>
      <c r="R707" s="16" t="n">
        <v>2.85</v>
      </c>
      <c r="S707" s="17" t="n">
        <v>0</v>
      </c>
      <c r="T707" s="17" t="n">
        <v>0</v>
      </c>
      <c r="U707" s="17" t="n">
        <v>1.8</v>
      </c>
      <c r="V707" s="17" t="n">
        <v>0</v>
      </c>
      <c r="W707" s="17" t="n">
        <v>0</v>
      </c>
      <c r="X707" s="17" t="n">
        <v>0</v>
      </c>
      <c r="Y707" s="17" t="n">
        <v>1.05</v>
      </c>
      <c r="Z707" s="17" t="n">
        <v>0</v>
      </c>
      <c r="AA707" s="17" t="n">
        <v>0</v>
      </c>
      <c r="AB707" s="18" t="n">
        <v>0</v>
      </c>
      <c r="AC707" s="16" t="n">
        <v>-2.85</v>
      </c>
      <c r="AD707" s="17" t="n">
        <v>0</v>
      </c>
      <c r="AE707" s="17" t="n">
        <v>0</v>
      </c>
      <c r="AF707" s="17" t="n">
        <v>-1.8</v>
      </c>
      <c r="AG707" s="17" t="n">
        <v>0</v>
      </c>
      <c r="AH707" s="17" t="n">
        <v>0</v>
      </c>
      <c r="AI707" s="17" t="n">
        <v>0</v>
      </c>
      <c r="AJ707" s="17" t="n">
        <v>-1.05</v>
      </c>
      <c r="AK707" s="17" t="n">
        <v>0</v>
      </c>
      <c r="AL707" s="17" t="n">
        <v>0</v>
      </c>
      <c r="AM707" s="18" t="n">
        <v>0</v>
      </c>
      <c r="AN707" s="16" t="n">
        <v>39</v>
      </c>
      <c r="AO707" s="17" t="n">
        <v>0</v>
      </c>
      <c r="AP707" s="17" t="n">
        <v>0</v>
      </c>
      <c r="AQ707" s="17" t="n">
        <v>2</v>
      </c>
      <c r="AR707" s="17" t="n">
        <v>0</v>
      </c>
      <c r="AS707" s="17" t="n">
        <v>0</v>
      </c>
      <c r="AT707" s="17" t="n">
        <v>0</v>
      </c>
      <c r="AU707" s="17" t="n">
        <v>35</v>
      </c>
      <c r="AV707" s="17" t="n">
        <v>0</v>
      </c>
      <c r="AW707" s="17" t="n">
        <v>0</v>
      </c>
      <c r="AX707" s="18" t="n">
        <v>0</v>
      </c>
      <c r="AY707" s="16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8" t="n">
        <v>0</v>
      </c>
      <c r="BJ707" s="16" t="n">
        <v>39</v>
      </c>
      <c r="BK707" s="17" t="n">
        <v>0</v>
      </c>
      <c r="BL707" s="17" t="n">
        <v>0</v>
      </c>
      <c r="BM707" s="17" t="n">
        <v>2</v>
      </c>
      <c r="BN707" s="17" t="n">
        <v>0</v>
      </c>
      <c r="BO707" s="17" t="n">
        <v>0</v>
      </c>
      <c r="BP707" s="17" t="n">
        <v>0</v>
      </c>
      <c r="BQ707" s="17" t="n">
        <v>35</v>
      </c>
      <c r="BR707" s="17" t="n">
        <v>0</v>
      </c>
      <c r="BS707" s="17" t="n">
        <v>0</v>
      </c>
      <c r="BT707" s="18" t="n">
        <v>0</v>
      </c>
      <c r="BU707" s="17" t="inlineStr">
        <is>
          <t>Unclassified</t>
        </is>
      </c>
    </row>
    <row r="708" ht="20" customHeight="1">
      <c r="A708" s="15" t="inlineStr">
        <is>
          <t>67877024601</t>
        </is>
      </c>
      <c r="B708" s="15" t="inlineStr">
        <is>
          <t>QUETIAPINE FUMARATE 200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0</v>
      </c>
      <c r="M708" s="17" t="n">
        <v>0</v>
      </c>
      <c r="N708" s="17" t="n">
        <v>30</v>
      </c>
      <c r="O708" s="17" t="n">
        <v>0</v>
      </c>
      <c r="P708" s="17" t="n">
        <v>0</v>
      </c>
      <c r="Q708" s="18" t="n">
        <v>0</v>
      </c>
      <c r="R708" s="16" t="n">
        <v>0.3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0.3</v>
      </c>
      <c r="Z708" s="17" t="n">
        <v>0</v>
      </c>
      <c r="AA708" s="17" t="n">
        <v>0</v>
      </c>
      <c r="AB708" s="18" t="n">
        <v>0</v>
      </c>
      <c r="AC708" s="16" t="n">
        <v>-0.3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-0.3</v>
      </c>
      <c r="AK708" s="17" t="n">
        <v>0</v>
      </c>
      <c r="AL708" s="17" t="n">
        <v>0</v>
      </c>
      <c r="AM708" s="18" t="n">
        <v>0</v>
      </c>
      <c r="AN708" s="16" t="n">
        <v>13</v>
      </c>
      <c r="AO708" s="17" t="n">
        <v>0</v>
      </c>
      <c r="AP708" s="17" t="n">
        <v>0</v>
      </c>
      <c r="AQ708" s="17" t="n">
        <v>0</v>
      </c>
      <c r="AR708" s="17" t="n">
        <v>0</v>
      </c>
      <c r="AS708" s="17" t="n">
        <v>0</v>
      </c>
      <c r="AT708" s="17" t="n">
        <v>0</v>
      </c>
      <c r="AU708" s="17" t="n">
        <v>13</v>
      </c>
      <c r="AV708" s="17" t="n">
        <v>0</v>
      </c>
      <c r="AW708" s="17" t="n">
        <v>0</v>
      </c>
      <c r="AX708" s="18" t="n">
        <v>0</v>
      </c>
      <c r="AY708" s="16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7" t="n">
        <v>0</v>
      </c>
      <c r="BG708" s="17" t="n">
        <v>0</v>
      </c>
      <c r="BH708" s="17" t="n">
        <v>0</v>
      </c>
      <c r="BI708" s="18" t="n">
        <v>0</v>
      </c>
      <c r="BJ708" s="16" t="n">
        <v>13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13</v>
      </c>
      <c r="BR708" s="17" t="n">
        <v>0</v>
      </c>
      <c r="BS708" s="17" t="n">
        <v>0</v>
      </c>
      <c r="BT708" s="18" t="n">
        <v>0</v>
      </c>
      <c r="BU708" s="17" t="inlineStr">
        <is>
          <t>Unclassified</t>
        </is>
      </c>
    </row>
    <row r="709" ht="20" customHeight="1">
      <c r="A709" s="15" t="inlineStr">
        <is>
          <t>67877024210</t>
        </is>
      </c>
      <c r="B709" s="15" t="inlineStr">
        <is>
          <t>QUETIAPINE FUMARATE 25 MG ORAL TABLET</t>
        </is>
      </c>
      <c r="C709" s="16" t="n">
        <v>1000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8" t="n">
        <v>0</v>
      </c>
      <c r="R709" s="16" t="n">
        <v>0.09</v>
      </c>
      <c r="S709" s="17" t="n">
        <v>0</v>
      </c>
      <c r="T709" s="17" t="n">
        <v>0</v>
      </c>
      <c r="U709" s="17" t="n">
        <v>0.09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8" t="n">
        <v>0</v>
      </c>
      <c r="AC709" s="16" t="n">
        <v>-0.09</v>
      </c>
      <c r="AD709" s="17" t="n">
        <v>0</v>
      </c>
      <c r="AE709" s="17" t="n">
        <v>0</v>
      </c>
      <c r="AF709" s="17" t="n">
        <v>-0.09</v>
      </c>
      <c r="AG709" s="17" t="n">
        <v>0</v>
      </c>
      <c r="AH709" s="17" t="n">
        <v>0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8" t="n">
        <v>0</v>
      </c>
      <c r="AN709" s="16" t="n">
        <v>1</v>
      </c>
      <c r="AO709" s="17" t="n">
        <v>0</v>
      </c>
      <c r="AP709" s="17" t="n">
        <v>0</v>
      </c>
      <c r="AQ709" s="17" t="n">
        <v>1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8" t="n">
        <v>0</v>
      </c>
      <c r="AY709" s="16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8" t="n">
        <v>0</v>
      </c>
      <c r="BJ709" s="16" t="n">
        <v>1</v>
      </c>
      <c r="BK709" s="17" t="n">
        <v>0</v>
      </c>
      <c r="BL709" s="17" t="n">
        <v>0</v>
      </c>
      <c r="BM709" s="17" t="n">
        <v>1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8" t="n">
        <v>0</v>
      </c>
      <c r="BU709" s="17" t="inlineStr">
        <is>
          <t>Unclassified</t>
        </is>
      </c>
    </row>
    <row r="710" ht="20" customHeight="1">
      <c r="A710" s="15" t="inlineStr">
        <is>
          <t>67877024801</t>
        </is>
      </c>
      <c r="B710" s="15" t="inlineStr">
        <is>
          <t>QUETIAPINE FUMARATE 400 MG ORAL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30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30</v>
      </c>
      <c r="O710" s="17" t="n">
        <v>0</v>
      </c>
      <c r="P710" s="17" t="n">
        <v>0</v>
      </c>
      <c r="Q710" s="18" t="n">
        <v>0</v>
      </c>
      <c r="R710" s="16" t="n">
        <v>0.3</v>
      </c>
      <c r="S710" s="17" t="n">
        <v>0</v>
      </c>
      <c r="T710" s="17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0.3</v>
      </c>
      <c r="Z710" s="17" t="n">
        <v>0</v>
      </c>
      <c r="AA710" s="17" t="n">
        <v>0</v>
      </c>
      <c r="AB710" s="18" t="n">
        <v>0</v>
      </c>
      <c r="AC710" s="16" t="n">
        <v>-0.3</v>
      </c>
      <c r="AD710" s="17" t="n">
        <v>0</v>
      </c>
      <c r="AE710" s="17" t="n">
        <v>0</v>
      </c>
      <c r="AF710" s="17" t="n">
        <v>0</v>
      </c>
      <c r="AG710" s="17" t="n">
        <v>0</v>
      </c>
      <c r="AH710" s="17" t="n">
        <v>0</v>
      </c>
      <c r="AI710" s="17" t="n">
        <v>0</v>
      </c>
      <c r="AJ710" s="17" t="n">
        <v>-0.3</v>
      </c>
      <c r="AK710" s="17" t="n">
        <v>0</v>
      </c>
      <c r="AL710" s="17" t="n">
        <v>0</v>
      </c>
      <c r="AM710" s="18" t="n">
        <v>0</v>
      </c>
      <c r="AN710" s="16" t="n">
        <v>16</v>
      </c>
      <c r="AO710" s="17" t="n">
        <v>0</v>
      </c>
      <c r="AP710" s="17" t="n">
        <v>0</v>
      </c>
      <c r="AQ710" s="17" t="n">
        <v>0</v>
      </c>
      <c r="AR710" s="17" t="n">
        <v>0</v>
      </c>
      <c r="AS710" s="17" t="n">
        <v>0</v>
      </c>
      <c r="AT710" s="17" t="n">
        <v>0</v>
      </c>
      <c r="AU710" s="17" t="n">
        <v>16</v>
      </c>
      <c r="AV710" s="17" t="n">
        <v>0</v>
      </c>
      <c r="AW710" s="17" t="n">
        <v>0</v>
      </c>
      <c r="AX710" s="18" t="n">
        <v>0</v>
      </c>
      <c r="AY710" s="16" t="n">
        <v>0</v>
      </c>
      <c r="AZ710" s="17" t="n">
        <v>0</v>
      </c>
      <c r="BA710" s="17" t="n">
        <v>0</v>
      </c>
      <c r="BB710" s="17" t="n">
        <v>0</v>
      </c>
      <c r="BC710" s="17" t="n">
        <v>0</v>
      </c>
      <c r="BD710" s="17" t="n">
        <v>0</v>
      </c>
      <c r="BE710" s="17" t="n">
        <v>0</v>
      </c>
      <c r="BF710" s="17" t="n">
        <v>0</v>
      </c>
      <c r="BG710" s="17" t="n">
        <v>0</v>
      </c>
      <c r="BH710" s="17" t="n">
        <v>0</v>
      </c>
      <c r="BI710" s="18" t="n">
        <v>0</v>
      </c>
      <c r="BJ710" s="16" t="n">
        <v>16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16</v>
      </c>
      <c r="BR710" s="17" t="n">
        <v>0</v>
      </c>
      <c r="BS710" s="17" t="n">
        <v>0</v>
      </c>
      <c r="BT710" s="18" t="n">
        <v>0</v>
      </c>
      <c r="BU710" s="17" t="inlineStr">
        <is>
          <t>Unclassified</t>
        </is>
      </c>
    </row>
    <row r="711" ht="20" customHeight="1">
      <c r="A711" s="15" t="inlineStr">
        <is>
          <t>00074709630</t>
        </is>
      </c>
      <c r="B711" s="15" t="inlineStr">
        <is>
          <t>QULIPTA 30 MG ORAL TABLET</t>
        </is>
      </c>
      <c r="C711" s="16" t="n">
        <v>30</v>
      </c>
      <c r="D711" s="16" t="n">
        <v>0</v>
      </c>
      <c r="E711" s="16" t="n">
        <v>0</v>
      </c>
      <c r="F711" s="16" t="n">
        <v>0</v>
      </c>
      <c r="G711" s="16" t="n">
        <v>30</v>
      </c>
      <c r="H711" s="17" t="n">
        <v>0</v>
      </c>
      <c r="I711" s="17" t="n">
        <v>0</v>
      </c>
      <c r="J711" s="17" t="n">
        <v>30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8" t="n">
        <v>0</v>
      </c>
      <c r="R711" s="16" t="n">
        <v>1</v>
      </c>
      <c r="S711" s="17" t="n">
        <v>0</v>
      </c>
      <c r="T711" s="17" t="n">
        <v>0</v>
      </c>
      <c r="U711" s="17" t="n">
        <v>1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8" t="n">
        <v>0</v>
      </c>
      <c r="AC711" s="16" t="n">
        <v>-1</v>
      </c>
      <c r="AD711" s="17" t="n">
        <v>0</v>
      </c>
      <c r="AE711" s="17" t="n">
        <v>0</v>
      </c>
      <c r="AF711" s="17" t="n">
        <v>-1</v>
      </c>
      <c r="AG711" s="17" t="n">
        <v>0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0</v>
      </c>
      <c r="AM711" s="18" t="n">
        <v>0</v>
      </c>
      <c r="AN711" s="16" t="n">
        <v>1134</v>
      </c>
      <c r="AO711" s="17" t="n">
        <v>0</v>
      </c>
      <c r="AP711" s="17" t="n">
        <v>0</v>
      </c>
      <c r="AQ711" s="17" t="n">
        <v>1125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8" t="n">
        <v>0</v>
      </c>
      <c r="AY711" s="16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8" t="n">
        <v>0</v>
      </c>
      <c r="BJ711" s="16" t="n">
        <v>1134</v>
      </c>
      <c r="BK711" s="17" t="n">
        <v>0</v>
      </c>
      <c r="BL711" s="17" t="n">
        <v>0</v>
      </c>
      <c r="BM711" s="17" t="n">
        <v>1125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8" t="n">
        <v>0</v>
      </c>
      <c r="BU711" s="17" t="inlineStr">
        <is>
          <t>Unclassified</t>
        </is>
      </c>
    </row>
    <row r="712" ht="20" customHeight="1">
      <c r="A712" s="15" t="inlineStr">
        <is>
          <t>59310030240</t>
        </is>
      </c>
      <c r="B712" s="15" t="inlineStr">
        <is>
          <t>QVAR REDIHALER 40MCG/ACT AEROSOL</t>
        </is>
      </c>
      <c r="C712" s="16" t="n">
        <v>10.6</v>
      </c>
      <c r="D712" s="16" t="n">
        <v>0</v>
      </c>
      <c r="E712" s="16" t="n">
        <v>0</v>
      </c>
      <c r="F712" s="16" t="n">
        <v>0</v>
      </c>
      <c r="G712" s="16" t="n">
        <v>21.2</v>
      </c>
      <c r="H712" s="17" t="n">
        <v>0</v>
      </c>
      <c r="I712" s="17" t="n">
        <v>0</v>
      </c>
      <c r="J712" s="17" t="n">
        <v>0</v>
      </c>
      <c r="K712" s="17" t="n">
        <v>10.6</v>
      </c>
      <c r="L712" s="17" t="n">
        <v>0</v>
      </c>
      <c r="M712" s="17" t="n">
        <v>0</v>
      </c>
      <c r="N712" s="17" t="n">
        <v>10.6</v>
      </c>
      <c r="O712" s="17" t="n">
        <v>0</v>
      </c>
      <c r="P712" s="17" t="n">
        <v>0</v>
      </c>
      <c r="Q712" s="18" t="n">
        <v>0</v>
      </c>
      <c r="R712" s="16" t="n">
        <v>2</v>
      </c>
      <c r="S712" s="17" t="n">
        <v>0</v>
      </c>
      <c r="T712" s="17" t="n">
        <v>0</v>
      </c>
      <c r="U712" s="17" t="n">
        <v>0</v>
      </c>
      <c r="V712" s="17" t="n">
        <v>1</v>
      </c>
      <c r="W712" s="17" t="n">
        <v>0</v>
      </c>
      <c r="X712" s="17" t="n">
        <v>0</v>
      </c>
      <c r="Y712" s="17" t="n">
        <v>1</v>
      </c>
      <c r="Z712" s="17" t="n">
        <v>0</v>
      </c>
      <c r="AA712" s="17" t="n">
        <v>0</v>
      </c>
      <c r="AB712" s="18" t="n">
        <v>0</v>
      </c>
      <c r="AC712" s="16" t="n">
        <v>-2</v>
      </c>
      <c r="AD712" s="17" t="n">
        <v>0</v>
      </c>
      <c r="AE712" s="17" t="n">
        <v>0</v>
      </c>
      <c r="AF712" s="17" t="n">
        <v>0</v>
      </c>
      <c r="AG712" s="17" t="n">
        <v>-1</v>
      </c>
      <c r="AH712" s="17" t="n">
        <v>0</v>
      </c>
      <c r="AI712" s="17" t="n">
        <v>0</v>
      </c>
      <c r="AJ712" s="17" t="n">
        <v>-1</v>
      </c>
      <c r="AK712" s="17" t="n">
        <v>0</v>
      </c>
      <c r="AL712" s="17" t="n">
        <v>0</v>
      </c>
      <c r="AM712" s="18" t="n">
        <v>0</v>
      </c>
      <c r="AN712" s="16" t="n">
        <v>438</v>
      </c>
      <c r="AO712" s="17" t="n">
        <v>0</v>
      </c>
      <c r="AP712" s="17" t="n">
        <v>0</v>
      </c>
      <c r="AQ712" s="17" t="n">
        <v>0</v>
      </c>
      <c r="AR712" s="17" t="n">
        <v>165</v>
      </c>
      <c r="AS712" s="17" t="n">
        <v>0</v>
      </c>
      <c r="AT712" s="17" t="n">
        <v>0</v>
      </c>
      <c r="AU712" s="17" t="n">
        <v>228</v>
      </c>
      <c r="AV712" s="17" t="n">
        <v>0</v>
      </c>
      <c r="AW712" s="17" t="n">
        <v>0</v>
      </c>
      <c r="AX712" s="18" t="n">
        <v>0</v>
      </c>
      <c r="AY712" s="16" t="n">
        <v>0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7" t="n">
        <v>0</v>
      </c>
      <c r="BI712" s="18" t="n">
        <v>0</v>
      </c>
      <c r="BJ712" s="16" t="n">
        <v>438</v>
      </c>
      <c r="BK712" s="17" t="n">
        <v>0</v>
      </c>
      <c r="BL712" s="17" t="n">
        <v>0</v>
      </c>
      <c r="BM712" s="17" t="n">
        <v>0</v>
      </c>
      <c r="BN712" s="17" t="n">
        <v>165</v>
      </c>
      <c r="BO712" s="17" t="n">
        <v>0</v>
      </c>
      <c r="BP712" s="17" t="n">
        <v>0</v>
      </c>
      <c r="BQ712" s="17" t="n">
        <v>228</v>
      </c>
      <c r="BR712" s="17" t="n">
        <v>0</v>
      </c>
      <c r="BS712" s="17" t="n">
        <v>0</v>
      </c>
      <c r="BT712" s="18" t="n">
        <v>0</v>
      </c>
      <c r="BU712" s="17" t="inlineStr">
        <is>
          <t>Unclassified</t>
        </is>
      </c>
    </row>
    <row r="713" ht="20" customHeight="1">
      <c r="A713" s="15" t="inlineStr">
        <is>
          <t>68180059102</t>
        </is>
      </c>
      <c r="B713" s="15" t="inlineStr">
        <is>
          <t xml:space="preserve">RAMIPRIL 10MG CAP </t>
        </is>
      </c>
      <c r="C713" s="16" t="n">
        <v>500</v>
      </c>
      <c r="D713" s="16" t="n">
        <v>0</v>
      </c>
      <c r="E713" s="16" t="n">
        <v>0</v>
      </c>
      <c r="F713" s="16" t="n">
        <v>0</v>
      </c>
      <c r="G713" s="16" t="n">
        <v>90</v>
      </c>
      <c r="H713" s="17" t="n">
        <v>0</v>
      </c>
      <c r="I713" s="17" t="n">
        <v>0</v>
      </c>
      <c r="J713" s="17" t="n">
        <v>90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8" t="n">
        <v>0</v>
      </c>
      <c r="R713" s="16" t="n">
        <v>0.18</v>
      </c>
      <c r="S713" s="17" t="n">
        <v>0</v>
      </c>
      <c r="T713" s="17" t="n">
        <v>0</v>
      </c>
      <c r="U713" s="17" t="n">
        <v>0.18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8" t="n">
        <v>0</v>
      </c>
      <c r="AC713" s="16" t="n">
        <v>-0.18</v>
      </c>
      <c r="AD713" s="17" t="n">
        <v>0</v>
      </c>
      <c r="AE713" s="17" t="n">
        <v>0</v>
      </c>
      <c r="AF713" s="17" t="n">
        <v>-0.18</v>
      </c>
      <c r="AG713" s="17" t="n">
        <v>0</v>
      </c>
      <c r="AH713" s="17" t="n">
        <v>0</v>
      </c>
      <c r="AI713" s="17" t="n">
        <v>0</v>
      </c>
      <c r="AJ713" s="17" t="n">
        <v>0</v>
      </c>
      <c r="AK713" s="17" t="n">
        <v>0</v>
      </c>
      <c r="AL713" s="17" t="n">
        <v>0</v>
      </c>
      <c r="AM713" s="18" t="n">
        <v>0</v>
      </c>
      <c r="AN713" s="16" t="n">
        <v>3</v>
      </c>
      <c r="AO713" s="17" t="n">
        <v>0</v>
      </c>
      <c r="AP713" s="17" t="n">
        <v>0</v>
      </c>
      <c r="AQ713" s="17" t="n">
        <v>3</v>
      </c>
      <c r="AR713" s="17" t="n">
        <v>0</v>
      </c>
      <c r="AS713" s="17" t="n">
        <v>0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8" t="n">
        <v>0</v>
      </c>
      <c r="AY713" s="16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8" t="n">
        <v>0</v>
      </c>
      <c r="BJ713" s="16" t="n">
        <v>3</v>
      </c>
      <c r="BK713" s="17" t="n">
        <v>0</v>
      </c>
      <c r="BL713" s="17" t="n">
        <v>0</v>
      </c>
      <c r="BM713" s="17" t="n">
        <v>3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8" t="n">
        <v>0</v>
      </c>
      <c r="BU713" s="17" t="inlineStr">
        <is>
          <t>Unclassified</t>
        </is>
      </c>
    </row>
    <row r="714" ht="20" customHeight="1">
      <c r="A714" s="15" t="inlineStr">
        <is>
          <t>65862047501</t>
        </is>
      </c>
      <c r="B714" s="15" t="inlineStr">
        <is>
          <t>RAMIPRIL 2.5MG CAPSULE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90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8" t="n">
        <v>0</v>
      </c>
      <c r="R714" s="16" t="n">
        <v>0.9</v>
      </c>
      <c r="S714" s="17" t="n">
        <v>0</v>
      </c>
      <c r="T714" s="17" t="n">
        <v>0</v>
      </c>
      <c r="U714" s="17" t="n">
        <v>0.9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8" t="n">
        <v>0</v>
      </c>
      <c r="AC714" s="16" t="n">
        <v>-0.9</v>
      </c>
      <c r="AD714" s="17" t="n">
        <v>0</v>
      </c>
      <c r="AE714" s="17" t="n">
        <v>0</v>
      </c>
      <c r="AF714" s="17" t="n">
        <v>-0.9</v>
      </c>
      <c r="AG714" s="17" t="n">
        <v>0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8" t="n">
        <v>0</v>
      </c>
      <c r="AN714" s="16" t="n">
        <v>4</v>
      </c>
      <c r="AO714" s="17" t="n">
        <v>0</v>
      </c>
      <c r="AP714" s="17" t="n">
        <v>0</v>
      </c>
      <c r="AQ714" s="17" t="n">
        <v>4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8" t="n">
        <v>0</v>
      </c>
      <c r="AY714" s="16" t="n">
        <v>0</v>
      </c>
      <c r="AZ714" s="17" t="n">
        <v>0</v>
      </c>
      <c r="BA714" s="17" t="n">
        <v>0</v>
      </c>
      <c r="BB714" s="17" t="n">
        <v>0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7" t="n">
        <v>0</v>
      </c>
      <c r="BI714" s="18" t="n">
        <v>0</v>
      </c>
      <c r="BJ714" s="16" t="n">
        <v>4</v>
      </c>
      <c r="BK714" s="17" t="n">
        <v>0</v>
      </c>
      <c r="BL714" s="17" t="n">
        <v>0</v>
      </c>
      <c r="BM714" s="17" t="n">
        <v>4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7" t="n">
        <v>0</v>
      </c>
      <c r="BT714" s="18" t="n">
        <v>0</v>
      </c>
      <c r="BU714" s="17" t="inlineStr">
        <is>
          <t>Unclassified</t>
        </is>
      </c>
    </row>
    <row r="715" ht="20" customHeight="1">
      <c r="A715" s="15" t="inlineStr">
        <is>
          <t>31722066860</t>
        </is>
      </c>
      <c r="B715" s="15" t="inlineStr">
        <is>
          <t>RANOLAZINE ER 500 MG ORAL TABLET EXTENDED RELEASE 12 HOUR</t>
        </is>
      </c>
      <c r="C715" s="16" t="n">
        <v>60</v>
      </c>
      <c r="D715" s="16" t="n">
        <v>5</v>
      </c>
      <c r="E715" s="16" t="n">
        <v>5</v>
      </c>
      <c r="F715" s="16" t="n">
        <v>5</v>
      </c>
      <c r="G715" s="16" t="n">
        <v>180</v>
      </c>
      <c r="H715" s="17" t="n">
        <v>0</v>
      </c>
      <c r="I715" s="17" t="n">
        <v>0</v>
      </c>
      <c r="J715" s="17" t="n">
        <v>180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8" t="n">
        <v>0</v>
      </c>
      <c r="R715" s="16" t="n">
        <v>3</v>
      </c>
      <c r="S715" s="17" t="n">
        <v>0</v>
      </c>
      <c r="T715" s="17" t="n">
        <v>0</v>
      </c>
      <c r="U715" s="17" t="n">
        <v>3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8" t="n">
        <v>0</v>
      </c>
      <c r="AC715" s="16" t="n">
        <v>2</v>
      </c>
      <c r="AD715" s="17" t="n">
        <v>5</v>
      </c>
      <c r="AE715" s="17" t="n">
        <v>5</v>
      </c>
      <c r="AF715" s="17" t="n">
        <v>2</v>
      </c>
      <c r="AG715" s="17" t="n">
        <v>5</v>
      </c>
      <c r="AH715" s="17" t="n">
        <v>5</v>
      </c>
      <c r="AI715" s="17" t="n">
        <v>5</v>
      </c>
      <c r="AJ715" s="17" t="n">
        <v>5</v>
      </c>
      <c r="AK715" s="17" t="n">
        <v>5</v>
      </c>
      <c r="AL715" s="17" t="n">
        <v>5</v>
      </c>
      <c r="AM715" s="18" t="n">
        <v>5</v>
      </c>
      <c r="AN715" s="16" t="n">
        <v>24</v>
      </c>
      <c r="AO715" s="17" t="n">
        <v>0</v>
      </c>
      <c r="AP715" s="17" t="n">
        <v>0</v>
      </c>
      <c r="AQ715" s="17" t="n">
        <v>18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0</v>
      </c>
      <c r="AW715" s="17" t="n">
        <v>0</v>
      </c>
      <c r="AX715" s="18" t="n">
        <v>0</v>
      </c>
      <c r="AY715" s="16" t="n">
        <v>15</v>
      </c>
      <c r="AZ715" s="17" t="n">
        <v>0</v>
      </c>
      <c r="BA715" s="17" t="n">
        <v>0</v>
      </c>
      <c r="BB715" s="17" t="n">
        <v>15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8" t="n">
        <v>0</v>
      </c>
      <c r="BJ715" s="16" t="n">
        <v>9</v>
      </c>
      <c r="BK715" s="17" t="n">
        <v>0</v>
      </c>
      <c r="BL715" s="17" t="n">
        <v>0</v>
      </c>
      <c r="BM715" s="17" t="n">
        <v>3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8" t="n">
        <v>0</v>
      </c>
      <c r="BU715" s="17" t="inlineStr">
        <is>
          <t>Generic Drug</t>
        </is>
      </c>
    </row>
    <row r="716" ht="20" customHeight="1">
      <c r="A716" s="15" t="inlineStr">
        <is>
          <t>59137053004</t>
        </is>
      </c>
      <c r="B716" s="15" t="inlineStr">
        <is>
          <t>RASUVO 20MG/0.4ML INJECTION</t>
        </is>
      </c>
      <c r="C716" s="16" t="n">
        <v>1.6</v>
      </c>
      <c r="D716" s="16" t="n">
        <v>1</v>
      </c>
      <c r="E716" s="16" t="n">
        <v>1</v>
      </c>
      <c r="F716" s="16" t="n">
        <v>566</v>
      </c>
      <c r="G716" s="16" t="n">
        <v>1.6</v>
      </c>
      <c r="H716" s="17" t="n">
        <v>0</v>
      </c>
      <c r="I716" s="17" t="n">
        <v>0</v>
      </c>
      <c r="J716" s="17" t="n">
        <v>1.6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8" t="n">
        <v>0</v>
      </c>
      <c r="R716" s="16" t="n">
        <v>1</v>
      </c>
      <c r="S716" s="17" t="n">
        <v>0</v>
      </c>
      <c r="T716" s="17" t="n">
        <v>0</v>
      </c>
      <c r="U716" s="17" t="n">
        <v>1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8" t="n">
        <v>0</v>
      </c>
      <c r="AC716" s="16" t="n">
        <v>0</v>
      </c>
      <c r="AD716" s="17" t="n">
        <v>1</v>
      </c>
      <c r="AE716" s="17" t="n">
        <v>1</v>
      </c>
      <c r="AF716" s="17" t="n">
        <v>0</v>
      </c>
      <c r="AG716" s="17" t="n">
        <v>1</v>
      </c>
      <c r="AH716" s="17" t="n">
        <v>1</v>
      </c>
      <c r="AI716" s="17" t="n">
        <v>1</v>
      </c>
      <c r="AJ716" s="17" t="n">
        <v>1</v>
      </c>
      <c r="AK716" s="17" t="n">
        <v>1</v>
      </c>
      <c r="AL716" s="17" t="n">
        <v>1</v>
      </c>
      <c r="AM716" s="18" t="n">
        <v>1</v>
      </c>
      <c r="AN716" s="16" t="n">
        <v>553</v>
      </c>
      <c r="AO716" s="17" t="n">
        <v>0</v>
      </c>
      <c r="AP716" s="17" t="n">
        <v>0</v>
      </c>
      <c r="AQ716" s="17" t="n">
        <v>553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8" t="n">
        <v>0</v>
      </c>
      <c r="AY716" s="16" t="n">
        <v>566</v>
      </c>
      <c r="AZ716" s="17" t="n">
        <v>0</v>
      </c>
      <c r="BA716" s="17" t="n">
        <v>0</v>
      </c>
      <c r="BB716" s="17" t="n">
        <v>566</v>
      </c>
      <c r="BC716" s="17" t="n">
        <v>0</v>
      </c>
      <c r="BD716" s="17" t="n">
        <v>0</v>
      </c>
      <c r="BE716" s="17" t="n">
        <v>0</v>
      </c>
      <c r="BF716" s="17" t="n">
        <v>0</v>
      </c>
      <c r="BG716" s="17" t="n">
        <v>0</v>
      </c>
      <c r="BH716" s="17" t="n">
        <v>0</v>
      </c>
      <c r="BI716" s="18" t="n">
        <v>0</v>
      </c>
      <c r="BJ716" s="16" t="n">
        <v>-13</v>
      </c>
      <c r="BK716" s="17" t="n">
        <v>0</v>
      </c>
      <c r="BL716" s="17" t="n">
        <v>0</v>
      </c>
      <c r="BM716" s="17" t="n">
        <v>-13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7" t="n">
        <v>0</v>
      </c>
      <c r="BT716" s="18" t="n">
        <v>0</v>
      </c>
      <c r="BU716" s="17" t="inlineStr">
        <is>
          <t>Branded Drug</t>
        </is>
      </c>
    </row>
    <row r="717" ht="20" customHeight="1">
      <c r="A717" s="15" t="inlineStr">
        <is>
          <t>00023050601</t>
        </is>
      </c>
      <c r="B717" s="15" t="inlineStr">
        <is>
          <t>REFRESH 1.4-0.6 % OPHTHALMIC SOLUTION</t>
        </is>
      </c>
      <c r="C717" s="16" t="n">
        <v>30</v>
      </c>
      <c r="D717" s="16" t="n">
        <v>6</v>
      </c>
      <c r="E717" s="16" t="n">
        <v>6</v>
      </c>
      <c r="F717" s="16" t="n">
        <v>10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120</v>
      </c>
      <c r="O717" s="17" t="n">
        <v>0</v>
      </c>
      <c r="P717" s="17" t="n">
        <v>0</v>
      </c>
      <c r="Q717" s="18" t="n">
        <v>0</v>
      </c>
      <c r="R717" s="16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4</v>
      </c>
      <c r="Z717" s="17" t="n">
        <v>0</v>
      </c>
      <c r="AA717" s="17" t="n">
        <v>0</v>
      </c>
      <c r="AB717" s="18" t="n">
        <v>0</v>
      </c>
      <c r="AC717" s="16" t="n">
        <v>6</v>
      </c>
      <c r="AD717" s="17" t="n">
        <v>6</v>
      </c>
      <c r="AE717" s="17" t="n">
        <v>6</v>
      </c>
      <c r="AF717" s="17" t="n">
        <v>6</v>
      </c>
      <c r="AG717" s="17" t="n">
        <v>6</v>
      </c>
      <c r="AH717" s="17" t="n">
        <v>6</v>
      </c>
      <c r="AI717" s="17" t="n">
        <v>6</v>
      </c>
      <c r="AJ717" s="17" t="n">
        <v>2</v>
      </c>
      <c r="AK717" s="17" t="n">
        <v>6</v>
      </c>
      <c r="AL717" s="17" t="n">
        <v>6</v>
      </c>
      <c r="AM717" s="18" t="n">
        <v>6</v>
      </c>
      <c r="AN717" s="16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67</v>
      </c>
      <c r="AV717" s="17" t="n">
        <v>0</v>
      </c>
      <c r="AW717" s="17" t="n">
        <v>0</v>
      </c>
      <c r="AX717" s="18" t="n">
        <v>0</v>
      </c>
      <c r="AY717" s="16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40</v>
      </c>
      <c r="BG717" s="17" t="n">
        <v>0</v>
      </c>
      <c r="BH717" s="17" t="n">
        <v>0</v>
      </c>
      <c r="BI717" s="18" t="n">
        <v>0</v>
      </c>
      <c r="BJ717" s="16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27</v>
      </c>
      <c r="BR717" s="17" t="n">
        <v>0</v>
      </c>
      <c r="BS717" s="17" t="n">
        <v>0</v>
      </c>
      <c r="BT717" s="18" t="n">
        <v>0</v>
      </c>
      <c r="BU717" s="17" t="inlineStr">
        <is>
          <t>OTC Drug</t>
        </is>
      </c>
    </row>
    <row r="718" ht="20" customHeight="1">
      <c r="A718" s="15" t="inlineStr">
        <is>
          <t>00023455430</t>
        </is>
      </c>
      <c r="B718" s="15" t="inlineStr">
        <is>
          <t>REFRESH CELLUVISC 1 % OPHTHALMIC GEL</t>
        </is>
      </c>
      <c r="C718" s="16" t="n">
        <v>30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0</v>
      </c>
      <c r="M718" s="17" t="n">
        <v>0</v>
      </c>
      <c r="N718" s="17" t="n">
        <v>60</v>
      </c>
      <c r="O718" s="17" t="n">
        <v>0</v>
      </c>
      <c r="P718" s="17" t="n">
        <v>0</v>
      </c>
      <c r="Q718" s="18" t="n">
        <v>0</v>
      </c>
      <c r="R718" s="16" t="n">
        <v>0</v>
      </c>
      <c r="S718" s="17" t="n">
        <v>0</v>
      </c>
      <c r="T718" s="17" t="n">
        <v>0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2</v>
      </c>
      <c r="Z718" s="17" t="n">
        <v>0</v>
      </c>
      <c r="AA718" s="17" t="n">
        <v>0</v>
      </c>
      <c r="AB718" s="18" t="n">
        <v>0</v>
      </c>
      <c r="AC718" s="16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-2</v>
      </c>
      <c r="AK718" s="17" t="n">
        <v>0</v>
      </c>
      <c r="AL718" s="17" t="n">
        <v>0</v>
      </c>
      <c r="AM718" s="18" t="n">
        <v>0</v>
      </c>
      <c r="AN718" s="16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36</v>
      </c>
      <c r="AV718" s="17" t="n">
        <v>0</v>
      </c>
      <c r="AW718" s="17" t="n">
        <v>0</v>
      </c>
      <c r="AX718" s="18" t="n">
        <v>0</v>
      </c>
      <c r="AY718" s="16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7" t="n">
        <v>0</v>
      </c>
      <c r="BG718" s="17" t="n">
        <v>0</v>
      </c>
      <c r="BH718" s="17" t="n">
        <v>0</v>
      </c>
      <c r="BI718" s="18" t="n">
        <v>0</v>
      </c>
      <c r="BJ718" s="16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36</v>
      </c>
      <c r="BR718" s="17" t="n">
        <v>0</v>
      </c>
      <c r="BS718" s="17" t="n">
        <v>0</v>
      </c>
      <c r="BT718" s="18" t="n">
        <v>0</v>
      </c>
      <c r="BU718" s="17" t="inlineStr">
        <is>
          <t>Unclassified</t>
        </is>
      </c>
    </row>
    <row r="719" ht="20" customHeight="1">
      <c r="A719" s="15" t="inlineStr">
        <is>
          <t>00023031204</t>
        </is>
      </c>
      <c r="B719" s="15" t="inlineStr">
        <is>
          <t>REFRESH LACRI-LUBE  OINTMENT</t>
        </is>
      </c>
      <c r="C719" s="16" t="n">
        <v>3.5</v>
      </c>
      <c r="D719" s="16" t="n">
        <v>0</v>
      </c>
      <c r="E719" s="16" t="n">
        <v>0</v>
      </c>
      <c r="F719" s="16" t="n">
        <v>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63</v>
      </c>
      <c r="O719" s="17" t="n">
        <v>0</v>
      </c>
      <c r="P719" s="17" t="n">
        <v>0</v>
      </c>
      <c r="Q719" s="18" t="n">
        <v>0</v>
      </c>
      <c r="R719" s="16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18</v>
      </c>
      <c r="Z719" s="17" t="n">
        <v>0</v>
      </c>
      <c r="AA719" s="17" t="n">
        <v>0</v>
      </c>
      <c r="AB719" s="18" t="n">
        <v>0</v>
      </c>
      <c r="AC719" s="16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-18</v>
      </c>
      <c r="AK719" s="17" t="n">
        <v>0</v>
      </c>
      <c r="AL719" s="17" t="n">
        <v>0</v>
      </c>
      <c r="AM719" s="18" t="n">
        <v>0</v>
      </c>
      <c r="AN719" s="16" t="n">
        <v>0</v>
      </c>
      <c r="AO719" s="17" t="n">
        <v>0</v>
      </c>
      <c r="AP719" s="17" t="n">
        <v>0</v>
      </c>
      <c r="AQ719" s="17" t="n">
        <v>0</v>
      </c>
      <c r="AR719" s="17" t="n">
        <v>0</v>
      </c>
      <c r="AS719" s="17" t="n">
        <v>0</v>
      </c>
      <c r="AT719" s="17" t="n">
        <v>0</v>
      </c>
      <c r="AU719" s="17" t="n">
        <v>256</v>
      </c>
      <c r="AV719" s="17" t="n">
        <v>0</v>
      </c>
      <c r="AW719" s="17" t="n">
        <v>0</v>
      </c>
      <c r="AX719" s="18" t="n">
        <v>0</v>
      </c>
      <c r="AY719" s="16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8" t="n">
        <v>0</v>
      </c>
      <c r="BJ719" s="16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256</v>
      </c>
      <c r="BR719" s="17" t="n">
        <v>0</v>
      </c>
      <c r="BS719" s="17" t="n">
        <v>0</v>
      </c>
      <c r="BT719" s="18" t="n">
        <v>0</v>
      </c>
      <c r="BU719" s="17" t="inlineStr">
        <is>
          <t>Unclassified</t>
        </is>
      </c>
    </row>
    <row r="720" ht="20" customHeight="1">
      <c r="A720" s="15" t="inlineStr">
        <is>
          <t>00023324015</t>
        </is>
      </c>
      <c r="B720" s="15" t="inlineStr">
        <is>
          <t>REFRESH OPTIVE 0.5-0.9% SOLUTION</t>
        </is>
      </c>
      <c r="C720" s="16" t="n">
        <v>15</v>
      </c>
      <c r="D720" s="16" t="n">
        <v>0</v>
      </c>
      <c r="E720" s="16" t="n">
        <v>0</v>
      </c>
      <c r="F720" s="16" t="n">
        <v>0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15</v>
      </c>
      <c r="L720" s="17" t="n">
        <v>0</v>
      </c>
      <c r="M720" s="17" t="n">
        <v>0</v>
      </c>
      <c r="N720" s="17" t="n">
        <v>810</v>
      </c>
      <c r="O720" s="17" t="n">
        <v>0</v>
      </c>
      <c r="P720" s="17" t="n">
        <v>0</v>
      </c>
      <c r="Q720" s="18" t="n">
        <v>0</v>
      </c>
      <c r="R720" s="16" t="n">
        <v>0</v>
      </c>
      <c r="S720" s="17" t="n">
        <v>0</v>
      </c>
      <c r="T720" s="17" t="n">
        <v>0</v>
      </c>
      <c r="U720" s="17" t="n">
        <v>0</v>
      </c>
      <c r="V720" s="17" t="n">
        <v>1</v>
      </c>
      <c r="W720" s="17" t="n">
        <v>0</v>
      </c>
      <c r="X720" s="17" t="n">
        <v>0</v>
      </c>
      <c r="Y720" s="17" t="n">
        <v>54</v>
      </c>
      <c r="Z720" s="17" t="n">
        <v>0</v>
      </c>
      <c r="AA720" s="17" t="n">
        <v>0</v>
      </c>
      <c r="AB720" s="18" t="n">
        <v>0</v>
      </c>
      <c r="AC720" s="16" t="n">
        <v>0</v>
      </c>
      <c r="AD720" s="17" t="n">
        <v>0</v>
      </c>
      <c r="AE720" s="17" t="n">
        <v>0</v>
      </c>
      <c r="AF720" s="17" t="n">
        <v>0</v>
      </c>
      <c r="AG720" s="17" t="n">
        <v>-1</v>
      </c>
      <c r="AH720" s="17" t="n">
        <v>0</v>
      </c>
      <c r="AI720" s="17" t="n">
        <v>0</v>
      </c>
      <c r="AJ720" s="17" t="n">
        <v>-54</v>
      </c>
      <c r="AK720" s="17" t="n">
        <v>0</v>
      </c>
      <c r="AL720" s="17" t="n">
        <v>0</v>
      </c>
      <c r="AM720" s="18" t="n">
        <v>0</v>
      </c>
      <c r="AN720" s="16" t="n">
        <v>0</v>
      </c>
      <c r="AO720" s="17" t="n">
        <v>0</v>
      </c>
      <c r="AP720" s="17" t="n">
        <v>0</v>
      </c>
      <c r="AQ720" s="17" t="n">
        <v>0</v>
      </c>
      <c r="AR720" s="17" t="n">
        <v>9</v>
      </c>
      <c r="AS720" s="17" t="n">
        <v>0</v>
      </c>
      <c r="AT720" s="17" t="n">
        <v>0</v>
      </c>
      <c r="AU720" s="17" t="n">
        <v>965</v>
      </c>
      <c r="AV720" s="17" t="n">
        <v>0</v>
      </c>
      <c r="AW720" s="17" t="n">
        <v>0</v>
      </c>
      <c r="AX720" s="18" t="n">
        <v>0</v>
      </c>
      <c r="AY720" s="16" t="n">
        <v>0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7" t="n">
        <v>0</v>
      </c>
      <c r="BG720" s="17" t="n">
        <v>0</v>
      </c>
      <c r="BH720" s="17" t="n">
        <v>0</v>
      </c>
      <c r="BI720" s="18" t="n">
        <v>0</v>
      </c>
      <c r="BJ720" s="16" t="n">
        <v>0</v>
      </c>
      <c r="BK720" s="17" t="n">
        <v>0</v>
      </c>
      <c r="BL720" s="17" t="n">
        <v>0</v>
      </c>
      <c r="BM720" s="17" t="n">
        <v>0</v>
      </c>
      <c r="BN720" s="17" t="n">
        <v>9</v>
      </c>
      <c r="BO720" s="17" t="n">
        <v>0</v>
      </c>
      <c r="BP720" s="17" t="n">
        <v>0</v>
      </c>
      <c r="BQ720" s="17" t="n">
        <v>965</v>
      </c>
      <c r="BR720" s="17" t="n">
        <v>0</v>
      </c>
      <c r="BS720" s="17" t="n">
        <v>0</v>
      </c>
      <c r="BT720" s="18" t="n">
        <v>0</v>
      </c>
      <c r="BU720" s="17" t="inlineStr">
        <is>
          <t>Unclassified</t>
        </is>
      </c>
    </row>
    <row r="721" ht="20" customHeight="1">
      <c r="A721" s="15" t="inlineStr">
        <is>
          <t>00023040370</t>
        </is>
      </c>
      <c r="B721" s="15" t="inlineStr">
        <is>
          <t>REFRESH PLUS 0.5 % OPHTHALMIC SOLUTION</t>
        </is>
      </c>
      <c r="C721" s="16" t="n">
        <v>70</v>
      </c>
      <c r="D721" s="16" t="n">
        <v>2</v>
      </c>
      <c r="E721" s="16" t="n">
        <v>2</v>
      </c>
      <c r="F721" s="16" t="n">
        <v>20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70</v>
      </c>
      <c r="O721" s="17" t="n">
        <v>0</v>
      </c>
      <c r="P721" s="17" t="n">
        <v>0</v>
      </c>
      <c r="Q721" s="18" t="n">
        <v>0</v>
      </c>
      <c r="R721" s="16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1</v>
      </c>
      <c r="Z721" s="17" t="n">
        <v>0</v>
      </c>
      <c r="AA721" s="17" t="n">
        <v>0</v>
      </c>
      <c r="AB721" s="18" t="n">
        <v>0</v>
      </c>
      <c r="AC721" s="16" t="n">
        <v>2</v>
      </c>
      <c r="AD721" s="17" t="n">
        <v>2</v>
      </c>
      <c r="AE721" s="17" t="n">
        <v>2</v>
      </c>
      <c r="AF721" s="17" t="n">
        <v>2</v>
      </c>
      <c r="AG721" s="17" t="n">
        <v>2</v>
      </c>
      <c r="AH721" s="17" t="n">
        <v>2</v>
      </c>
      <c r="AI721" s="17" t="n">
        <v>2</v>
      </c>
      <c r="AJ721" s="17" t="n">
        <v>1</v>
      </c>
      <c r="AK721" s="17" t="n">
        <v>2</v>
      </c>
      <c r="AL721" s="17" t="n">
        <v>2</v>
      </c>
      <c r="AM721" s="18" t="n">
        <v>2</v>
      </c>
      <c r="AN721" s="16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20</v>
      </c>
      <c r="AV721" s="17" t="n">
        <v>0</v>
      </c>
      <c r="AW721" s="17" t="n">
        <v>0</v>
      </c>
      <c r="AX721" s="18" t="n">
        <v>0</v>
      </c>
      <c r="AY721" s="16" t="n">
        <v>0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20</v>
      </c>
      <c r="BG721" s="17" t="n">
        <v>0</v>
      </c>
      <c r="BH721" s="17" t="n">
        <v>0</v>
      </c>
      <c r="BI721" s="18" t="n">
        <v>0</v>
      </c>
      <c r="BJ721" s="16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8" t="n">
        <v>0</v>
      </c>
      <c r="BU721" s="17" t="inlineStr">
        <is>
          <t>OTC Drug</t>
        </is>
      </c>
    </row>
    <row r="722" ht="20" customHeight="1">
      <c r="A722" s="15" t="inlineStr">
        <is>
          <t>00023079815</t>
        </is>
      </c>
      <c r="B722" s="15" t="inlineStr">
        <is>
          <t>REFRESH TEARS 0.5 % OPHTHALMIC SOLUTION</t>
        </is>
      </c>
      <c r="C722" s="16" t="n">
        <v>15</v>
      </c>
      <c r="D722" s="16" t="n">
        <v>10</v>
      </c>
      <c r="E722" s="16" t="n">
        <v>10</v>
      </c>
      <c r="F722" s="16" t="n">
        <v>9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120</v>
      </c>
      <c r="O722" s="17" t="n">
        <v>0</v>
      </c>
      <c r="P722" s="17" t="n">
        <v>0</v>
      </c>
      <c r="Q722" s="18" t="n">
        <v>0</v>
      </c>
      <c r="R722" s="16" t="n">
        <v>0</v>
      </c>
      <c r="S722" s="17" t="n">
        <v>0</v>
      </c>
      <c r="T722" s="17" t="n">
        <v>0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8</v>
      </c>
      <c r="Z722" s="17" t="n">
        <v>0</v>
      </c>
      <c r="AA722" s="17" t="n">
        <v>0</v>
      </c>
      <c r="AB722" s="18" t="n">
        <v>0</v>
      </c>
      <c r="AC722" s="16" t="n">
        <v>10</v>
      </c>
      <c r="AD722" s="17" t="n">
        <v>10</v>
      </c>
      <c r="AE722" s="17" t="n">
        <v>10</v>
      </c>
      <c r="AF722" s="17" t="n">
        <v>10</v>
      </c>
      <c r="AG722" s="17" t="n">
        <v>10</v>
      </c>
      <c r="AH722" s="17" t="n">
        <v>10</v>
      </c>
      <c r="AI722" s="17" t="n">
        <v>10</v>
      </c>
      <c r="AJ722" s="17" t="n">
        <v>2</v>
      </c>
      <c r="AK722" s="17" t="n">
        <v>10</v>
      </c>
      <c r="AL722" s="17" t="n">
        <v>10</v>
      </c>
      <c r="AM722" s="18" t="n">
        <v>10</v>
      </c>
      <c r="AN722" s="16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115</v>
      </c>
      <c r="AV722" s="17" t="n">
        <v>0</v>
      </c>
      <c r="AW722" s="17" t="n">
        <v>0</v>
      </c>
      <c r="AX722" s="18" t="n">
        <v>0</v>
      </c>
      <c r="AY722" s="16" t="n">
        <v>0</v>
      </c>
      <c r="AZ722" s="17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0</v>
      </c>
      <c r="BF722" s="17" t="n">
        <v>72</v>
      </c>
      <c r="BG722" s="17" t="n">
        <v>0</v>
      </c>
      <c r="BH722" s="17" t="n">
        <v>0</v>
      </c>
      <c r="BI722" s="18" t="n">
        <v>0</v>
      </c>
      <c r="BJ722" s="16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43</v>
      </c>
      <c r="BR722" s="17" t="n">
        <v>0</v>
      </c>
      <c r="BS722" s="17" t="n">
        <v>0</v>
      </c>
      <c r="BT722" s="18" t="n">
        <v>0</v>
      </c>
      <c r="BU722" s="17" t="inlineStr">
        <is>
          <t>OTC Drug</t>
        </is>
      </c>
    </row>
    <row r="723" ht="20" customHeight="1">
      <c r="A723" s="15" t="inlineStr">
        <is>
          <t>80681009600</t>
        </is>
      </c>
      <c r="B723" s="15" t="inlineStr">
        <is>
          <t>REGULOID 28.3 % ORAL POWDER</t>
        </is>
      </c>
      <c r="C723" s="16" t="n">
        <v>369</v>
      </c>
      <c r="D723" s="16" t="n">
        <v>6</v>
      </c>
      <c r="E723" s="16" t="n">
        <v>6</v>
      </c>
      <c r="F723" s="16" t="n">
        <v>8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4059</v>
      </c>
      <c r="O723" s="17" t="n">
        <v>0</v>
      </c>
      <c r="P723" s="17" t="n">
        <v>0</v>
      </c>
      <c r="Q723" s="18" t="n">
        <v>0</v>
      </c>
      <c r="R723" s="16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11</v>
      </c>
      <c r="Z723" s="17" t="n">
        <v>0</v>
      </c>
      <c r="AA723" s="17" t="n">
        <v>0</v>
      </c>
      <c r="AB723" s="18" t="n">
        <v>0</v>
      </c>
      <c r="AC723" s="16" t="n">
        <v>6</v>
      </c>
      <c r="AD723" s="17" t="n">
        <v>6</v>
      </c>
      <c r="AE723" s="17" t="n">
        <v>6</v>
      </c>
      <c r="AF723" s="17" t="n">
        <v>6</v>
      </c>
      <c r="AG723" s="17" t="n">
        <v>6</v>
      </c>
      <c r="AH723" s="17" t="n">
        <v>6</v>
      </c>
      <c r="AI723" s="17" t="n">
        <v>6</v>
      </c>
      <c r="AJ723" s="17" t="n">
        <v>-5</v>
      </c>
      <c r="AK723" s="17" t="n">
        <v>6</v>
      </c>
      <c r="AL723" s="17" t="n">
        <v>6</v>
      </c>
      <c r="AM723" s="18" t="n">
        <v>6</v>
      </c>
      <c r="AN723" s="16" t="n">
        <v>0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84</v>
      </c>
      <c r="AV723" s="17" t="n">
        <v>0</v>
      </c>
      <c r="AW723" s="17" t="n">
        <v>0</v>
      </c>
      <c r="AX723" s="18" t="n">
        <v>0</v>
      </c>
      <c r="AY723" s="16" t="n">
        <v>0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88</v>
      </c>
      <c r="BG723" s="17" t="n">
        <v>0</v>
      </c>
      <c r="BH723" s="17" t="n">
        <v>0</v>
      </c>
      <c r="BI723" s="18" t="n">
        <v>0</v>
      </c>
      <c r="BJ723" s="16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-4</v>
      </c>
      <c r="BR723" s="17" t="n">
        <v>0</v>
      </c>
      <c r="BS723" s="17" t="n">
        <v>0</v>
      </c>
      <c r="BT723" s="18" t="n">
        <v>0</v>
      </c>
      <c r="BU723" s="17" t="inlineStr">
        <is>
          <t>OTC Drug</t>
        </is>
      </c>
    </row>
    <row r="724" ht="20" customHeight="1">
      <c r="A724" s="15" t="inlineStr">
        <is>
          <t>60258016001</t>
        </is>
      </c>
      <c r="B724" s="15" t="inlineStr">
        <is>
          <t>RENA-VITE 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598</v>
      </c>
      <c r="O724" s="17" t="n">
        <v>0</v>
      </c>
      <c r="P724" s="17" t="n">
        <v>0</v>
      </c>
      <c r="Q724" s="18" t="n">
        <v>0</v>
      </c>
      <c r="R724" s="16" t="n">
        <v>0</v>
      </c>
      <c r="S724" s="17" t="n">
        <v>0</v>
      </c>
      <c r="T724" s="17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5.98</v>
      </c>
      <c r="Z724" s="17" t="n">
        <v>0</v>
      </c>
      <c r="AA724" s="17" t="n">
        <v>0</v>
      </c>
      <c r="AB724" s="18" t="n">
        <v>0</v>
      </c>
      <c r="AC724" s="16" t="n">
        <v>0</v>
      </c>
      <c r="AD724" s="17" t="n">
        <v>0</v>
      </c>
      <c r="AE724" s="17" t="n">
        <v>0</v>
      </c>
      <c r="AF724" s="17" t="n">
        <v>0</v>
      </c>
      <c r="AG724" s="17" t="n">
        <v>0</v>
      </c>
      <c r="AH724" s="17" t="n">
        <v>0</v>
      </c>
      <c r="AI724" s="17" t="n">
        <v>0</v>
      </c>
      <c r="AJ724" s="17" t="n">
        <v>-5.98</v>
      </c>
      <c r="AK724" s="17" t="n">
        <v>0</v>
      </c>
      <c r="AL724" s="17" t="n">
        <v>0</v>
      </c>
      <c r="AM724" s="18" t="n">
        <v>0</v>
      </c>
      <c r="AN724" s="16" t="n">
        <v>0</v>
      </c>
      <c r="AO724" s="17" t="n">
        <v>0</v>
      </c>
      <c r="AP724" s="17" t="n">
        <v>0</v>
      </c>
      <c r="AQ724" s="17" t="n">
        <v>0</v>
      </c>
      <c r="AR724" s="17" t="n">
        <v>0</v>
      </c>
      <c r="AS724" s="17" t="n">
        <v>0</v>
      </c>
      <c r="AT724" s="17" t="n">
        <v>0</v>
      </c>
      <c r="AU724" s="17" t="n">
        <v>18</v>
      </c>
      <c r="AV724" s="17" t="n">
        <v>0</v>
      </c>
      <c r="AW724" s="17" t="n">
        <v>0</v>
      </c>
      <c r="AX724" s="18" t="n">
        <v>0</v>
      </c>
      <c r="AY724" s="16" t="n">
        <v>0</v>
      </c>
      <c r="AZ724" s="17" t="n">
        <v>0</v>
      </c>
      <c r="BA724" s="17" t="n">
        <v>0</v>
      </c>
      <c r="BB724" s="17" t="n">
        <v>0</v>
      </c>
      <c r="BC724" s="17" t="n">
        <v>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7" t="n">
        <v>0</v>
      </c>
      <c r="BI724" s="18" t="n">
        <v>0</v>
      </c>
      <c r="BJ724" s="16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18</v>
      </c>
      <c r="BR724" s="17" t="n">
        <v>0</v>
      </c>
      <c r="BS724" s="17" t="n">
        <v>0</v>
      </c>
      <c r="BT724" s="18" t="n">
        <v>0</v>
      </c>
      <c r="BU724" s="17" t="inlineStr">
        <is>
          <t>Unclassified</t>
        </is>
      </c>
    </row>
    <row r="725" ht="20" customHeight="1">
      <c r="A725" s="15" t="inlineStr">
        <is>
          <t>60258016101</t>
        </is>
      </c>
      <c r="B725" s="15" t="inlineStr">
        <is>
          <t>RENA-VITE RX 1MG TABLET</t>
        </is>
      </c>
      <c r="C725" s="16" t="n">
        <v>100</v>
      </c>
      <c r="D725" s="16" t="n">
        <v>1</v>
      </c>
      <c r="E725" s="16" t="n">
        <v>1</v>
      </c>
      <c r="F725" s="16" t="n">
        <v>9</v>
      </c>
      <c r="G725" s="16" t="n">
        <v>0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30</v>
      </c>
      <c r="O725" s="17" t="n">
        <v>0</v>
      </c>
      <c r="P725" s="17" t="n">
        <v>0</v>
      </c>
      <c r="Q725" s="18" t="n">
        <v>0</v>
      </c>
      <c r="R725" s="16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0.3</v>
      </c>
      <c r="Z725" s="17" t="n">
        <v>0</v>
      </c>
      <c r="AA725" s="17" t="n">
        <v>0</v>
      </c>
      <c r="AB725" s="18" t="n">
        <v>0</v>
      </c>
      <c r="AC725" s="16" t="n">
        <v>1</v>
      </c>
      <c r="AD725" s="17" t="n">
        <v>1</v>
      </c>
      <c r="AE725" s="17" t="n">
        <v>1</v>
      </c>
      <c r="AF725" s="17" t="n">
        <v>1</v>
      </c>
      <c r="AG725" s="17" t="n">
        <v>1</v>
      </c>
      <c r="AH725" s="17" t="n">
        <v>1</v>
      </c>
      <c r="AI725" s="17" t="n">
        <v>1</v>
      </c>
      <c r="AJ725" s="17" t="n">
        <v>0.7</v>
      </c>
      <c r="AK725" s="17" t="n">
        <v>1</v>
      </c>
      <c r="AL725" s="17" t="n">
        <v>1</v>
      </c>
      <c r="AM725" s="18" t="n">
        <v>1</v>
      </c>
      <c r="AN725" s="16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5</v>
      </c>
      <c r="AV725" s="17" t="n">
        <v>0</v>
      </c>
      <c r="AW725" s="17" t="n">
        <v>0</v>
      </c>
      <c r="AX725" s="18" t="n">
        <v>0</v>
      </c>
      <c r="AY725" s="16" t="n">
        <v>0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3</v>
      </c>
      <c r="BG725" s="17" t="n">
        <v>0</v>
      </c>
      <c r="BH725" s="17" t="n">
        <v>0</v>
      </c>
      <c r="BI725" s="18" t="n">
        <v>0</v>
      </c>
      <c r="BJ725" s="16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2</v>
      </c>
      <c r="BR725" s="17" t="n">
        <v>0</v>
      </c>
      <c r="BS725" s="17" t="n">
        <v>0</v>
      </c>
      <c r="BT725" s="18" t="n">
        <v>0</v>
      </c>
      <c r="BU725" s="17" t="inlineStr">
        <is>
          <t>OTC Drug</t>
        </is>
      </c>
    </row>
    <row r="726" ht="20" customHeight="1">
      <c r="A726" s="15" t="inlineStr">
        <is>
          <t>57237015801</t>
        </is>
      </c>
      <c r="B726" s="15" t="inlineStr">
        <is>
          <t xml:space="preserve">REPAGLINIDE 1MG TAB 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180</v>
      </c>
      <c r="H726" s="17" t="n">
        <v>0</v>
      </c>
      <c r="I726" s="17" t="n">
        <v>0</v>
      </c>
      <c r="J726" s="17" t="n">
        <v>0</v>
      </c>
      <c r="K726" s="17" t="n">
        <v>180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8" t="n">
        <v>0</v>
      </c>
      <c r="R726" s="16" t="n">
        <v>1.8</v>
      </c>
      <c r="S726" s="17" t="n">
        <v>0</v>
      </c>
      <c r="T726" s="17" t="n">
        <v>0</v>
      </c>
      <c r="U726" s="17" t="n">
        <v>0</v>
      </c>
      <c r="V726" s="17" t="n">
        <v>1.8</v>
      </c>
      <c r="W726" s="17" t="n">
        <v>0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8" t="n">
        <v>0</v>
      </c>
      <c r="AC726" s="16" t="n">
        <v>-1.8</v>
      </c>
      <c r="AD726" s="17" t="n">
        <v>0</v>
      </c>
      <c r="AE726" s="17" t="n">
        <v>0</v>
      </c>
      <c r="AF726" s="17" t="n">
        <v>0</v>
      </c>
      <c r="AG726" s="17" t="n">
        <v>-1.8</v>
      </c>
      <c r="AH726" s="17" t="n">
        <v>0</v>
      </c>
      <c r="AI726" s="17" t="n">
        <v>0</v>
      </c>
      <c r="AJ726" s="17" t="n">
        <v>0</v>
      </c>
      <c r="AK726" s="17" t="n">
        <v>0</v>
      </c>
      <c r="AL726" s="17" t="n">
        <v>0</v>
      </c>
      <c r="AM726" s="18" t="n">
        <v>0</v>
      </c>
      <c r="AN726" s="16" t="n">
        <v>20</v>
      </c>
      <c r="AO726" s="17" t="n">
        <v>0</v>
      </c>
      <c r="AP726" s="17" t="n">
        <v>0</v>
      </c>
      <c r="AQ726" s="17" t="n">
        <v>0</v>
      </c>
      <c r="AR726" s="17" t="n">
        <v>20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8" t="n">
        <v>0</v>
      </c>
      <c r="AY726" s="16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7" t="n">
        <v>0</v>
      </c>
      <c r="BG726" s="17" t="n">
        <v>0</v>
      </c>
      <c r="BH726" s="17" t="n">
        <v>0</v>
      </c>
      <c r="BI726" s="18" t="n">
        <v>0</v>
      </c>
      <c r="BJ726" s="16" t="n">
        <v>20</v>
      </c>
      <c r="BK726" s="17" t="n">
        <v>0</v>
      </c>
      <c r="BL726" s="17" t="n">
        <v>0</v>
      </c>
      <c r="BM726" s="17" t="n">
        <v>0</v>
      </c>
      <c r="BN726" s="17" t="n">
        <v>20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7" t="n">
        <v>0</v>
      </c>
      <c r="BT726" s="18" t="n">
        <v>0</v>
      </c>
      <c r="BU726" s="17" t="inlineStr">
        <is>
          <t>Unclassified</t>
        </is>
      </c>
    </row>
    <row r="727" ht="20" customHeight="1">
      <c r="A727" s="15" t="inlineStr">
        <is>
          <t>57237015901</t>
        </is>
      </c>
      <c r="B727" s="15" t="inlineStr">
        <is>
          <t>REPAGLINIDE 2MG TABLET</t>
        </is>
      </c>
      <c r="C727" s="16" t="n">
        <v>100</v>
      </c>
      <c r="D727" s="16" t="n">
        <v>0</v>
      </c>
      <c r="E727" s="16" t="n">
        <v>0</v>
      </c>
      <c r="F727" s="16" t="n">
        <v>0</v>
      </c>
      <c r="G727" s="16" t="n">
        <v>270</v>
      </c>
      <c r="H727" s="17" t="n">
        <v>0</v>
      </c>
      <c r="I727" s="17" t="n">
        <v>0</v>
      </c>
      <c r="J727" s="17" t="n">
        <v>270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8" t="n">
        <v>0</v>
      </c>
      <c r="R727" s="16" t="n">
        <v>2.7</v>
      </c>
      <c r="S727" s="17" t="n">
        <v>0</v>
      </c>
      <c r="T727" s="17" t="n">
        <v>0</v>
      </c>
      <c r="U727" s="17" t="n">
        <v>2.7</v>
      </c>
      <c r="V727" s="17" t="n">
        <v>0</v>
      </c>
      <c r="W727" s="17" t="n">
        <v>0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8" t="n">
        <v>0</v>
      </c>
      <c r="AC727" s="16" t="n">
        <v>-2.7</v>
      </c>
      <c r="AD727" s="17" t="n">
        <v>0</v>
      </c>
      <c r="AE727" s="17" t="n">
        <v>0</v>
      </c>
      <c r="AF727" s="17" t="n">
        <v>-2.7</v>
      </c>
      <c r="AG727" s="17" t="n">
        <v>0</v>
      </c>
      <c r="AH727" s="17" t="n">
        <v>0</v>
      </c>
      <c r="AI727" s="17" t="n">
        <v>0</v>
      </c>
      <c r="AJ727" s="17" t="n">
        <v>0</v>
      </c>
      <c r="AK727" s="17" t="n">
        <v>0</v>
      </c>
      <c r="AL727" s="17" t="n">
        <v>0</v>
      </c>
      <c r="AM727" s="18" t="n">
        <v>0</v>
      </c>
      <c r="AN727" s="16" t="n">
        <v>23</v>
      </c>
      <c r="AO727" s="17" t="n">
        <v>0</v>
      </c>
      <c r="AP727" s="17" t="n">
        <v>0</v>
      </c>
      <c r="AQ727" s="17" t="n">
        <v>23</v>
      </c>
      <c r="AR727" s="17" t="n">
        <v>0</v>
      </c>
      <c r="AS727" s="17" t="n">
        <v>0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8" t="n">
        <v>0</v>
      </c>
      <c r="AY727" s="16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8" t="n">
        <v>0</v>
      </c>
      <c r="BJ727" s="16" t="n">
        <v>23</v>
      </c>
      <c r="BK727" s="17" t="n">
        <v>0</v>
      </c>
      <c r="BL727" s="17" t="n">
        <v>0</v>
      </c>
      <c r="BM727" s="17" t="n">
        <v>23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8" t="n">
        <v>0</v>
      </c>
      <c r="BU727" s="17" t="inlineStr">
        <is>
          <t>Unclassified</t>
        </is>
      </c>
    </row>
    <row r="728" ht="20" customHeight="1">
      <c r="A728" s="15" t="inlineStr">
        <is>
          <t>72511039302</t>
        </is>
      </c>
      <c r="B728" s="15" t="inlineStr">
        <is>
          <t>REPATHA SURECLICK 140 MG/ML SUBCUTANEOUS SOLUTION AUTO-INJECTOR</t>
        </is>
      </c>
      <c r="C728" s="16" t="n">
        <v>2</v>
      </c>
      <c r="D728" s="16" t="n">
        <v>0</v>
      </c>
      <c r="E728" s="16" t="n">
        <v>0</v>
      </c>
      <c r="F728" s="16" t="n">
        <v>0</v>
      </c>
      <c r="G728" s="16" t="n">
        <v>6</v>
      </c>
      <c r="H728" s="17" t="n">
        <v>0</v>
      </c>
      <c r="I728" s="17" t="n">
        <v>0</v>
      </c>
      <c r="J728" s="17" t="n">
        <v>4</v>
      </c>
      <c r="K728" s="17" t="n">
        <v>0</v>
      </c>
      <c r="L728" s="17" t="n">
        <v>0</v>
      </c>
      <c r="M728" s="17" t="n">
        <v>0</v>
      </c>
      <c r="N728" s="17" t="n">
        <v>0</v>
      </c>
      <c r="O728" s="17" t="n">
        <v>2</v>
      </c>
      <c r="P728" s="17" t="n">
        <v>0</v>
      </c>
      <c r="Q728" s="18" t="n">
        <v>0</v>
      </c>
      <c r="R728" s="16" t="n">
        <v>3</v>
      </c>
      <c r="S728" s="17" t="n">
        <v>0</v>
      </c>
      <c r="T728" s="17" t="n">
        <v>0</v>
      </c>
      <c r="U728" s="17" t="n">
        <v>2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1</v>
      </c>
      <c r="AA728" s="17" t="n">
        <v>0</v>
      </c>
      <c r="AB728" s="18" t="n">
        <v>0</v>
      </c>
      <c r="AC728" s="16" t="n">
        <v>-3</v>
      </c>
      <c r="AD728" s="17" t="n">
        <v>0</v>
      </c>
      <c r="AE728" s="17" t="n">
        <v>0</v>
      </c>
      <c r="AF728" s="17" t="n">
        <v>-2</v>
      </c>
      <c r="AG728" s="17" t="n">
        <v>0</v>
      </c>
      <c r="AH728" s="17" t="n">
        <v>0</v>
      </c>
      <c r="AI728" s="17" t="n">
        <v>0</v>
      </c>
      <c r="AJ728" s="17" t="n">
        <v>0</v>
      </c>
      <c r="AK728" s="17" t="n">
        <v>-1</v>
      </c>
      <c r="AL728" s="17" t="n">
        <v>0</v>
      </c>
      <c r="AM728" s="18" t="n">
        <v>0</v>
      </c>
      <c r="AN728" s="16" t="n">
        <v>1668</v>
      </c>
      <c r="AO728" s="17" t="n">
        <v>0</v>
      </c>
      <c r="AP728" s="17" t="n">
        <v>0</v>
      </c>
      <c r="AQ728" s="17" t="n">
        <v>1085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528</v>
      </c>
      <c r="AW728" s="17" t="n">
        <v>0</v>
      </c>
      <c r="AX728" s="18" t="n">
        <v>0</v>
      </c>
      <c r="AY728" s="16" t="n">
        <v>0</v>
      </c>
      <c r="AZ728" s="17" t="n">
        <v>0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7" t="n">
        <v>0</v>
      </c>
      <c r="BI728" s="18" t="n">
        <v>0</v>
      </c>
      <c r="BJ728" s="16" t="n">
        <v>1668</v>
      </c>
      <c r="BK728" s="17" t="n">
        <v>0</v>
      </c>
      <c r="BL728" s="17" t="n">
        <v>0</v>
      </c>
      <c r="BM728" s="17" t="n">
        <v>1085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528</v>
      </c>
      <c r="BS728" s="17" t="n">
        <v>0</v>
      </c>
      <c r="BT728" s="18" t="n">
        <v>0</v>
      </c>
      <c r="BU728" s="17" t="inlineStr">
        <is>
          <t>Unclassified</t>
        </is>
      </c>
    </row>
    <row r="729" ht="20" customHeight="1">
      <c r="A729" s="15" t="inlineStr">
        <is>
          <t>00023916360</t>
        </is>
      </c>
      <c r="B729" s="15" t="inlineStr">
        <is>
          <t xml:space="preserve">RESTASIS 0.05% EMULSION </t>
        </is>
      </c>
      <c r="C729" s="16" t="n">
        <v>60</v>
      </c>
      <c r="D729" s="16" t="n">
        <v>32</v>
      </c>
      <c r="E729" s="16" t="n">
        <v>32</v>
      </c>
      <c r="F729" s="16" t="n">
        <v>628</v>
      </c>
      <c r="G729" s="16" t="n">
        <v>2220</v>
      </c>
      <c r="H729" s="17" t="n">
        <v>0</v>
      </c>
      <c r="I729" s="17" t="n">
        <v>0</v>
      </c>
      <c r="J729" s="17" t="n">
        <v>1500</v>
      </c>
      <c r="K729" s="17" t="n">
        <v>60</v>
      </c>
      <c r="L729" s="17" t="n">
        <v>0</v>
      </c>
      <c r="M729" s="17" t="n">
        <v>0</v>
      </c>
      <c r="N729" s="17" t="n">
        <v>540</v>
      </c>
      <c r="O729" s="17" t="n">
        <v>120</v>
      </c>
      <c r="P729" s="17" t="n">
        <v>0</v>
      </c>
      <c r="Q729" s="18" t="n">
        <v>0</v>
      </c>
      <c r="R729" s="16" t="n">
        <v>37</v>
      </c>
      <c r="S729" s="17" t="n">
        <v>0</v>
      </c>
      <c r="T729" s="17" t="n">
        <v>0</v>
      </c>
      <c r="U729" s="17" t="n">
        <v>25</v>
      </c>
      <c r="V729" s="17" t="n">
        <v>1</v>
      </c>
      <c r="W729" s="17" t="n">
        <v>0</v>
      </c>
      <c r="X729" s="17" t="n">
        <v>0</v>
      </c>
      <c r="Y729" s="17" t="n">
        <v>9</v>
      </c>
      <c r="Z729" s="17" t="n">
        <v>2</v>
      </c>
      <c r="AA729" s="17" t="n">
        <v>0</v>
      </c>
      <c r="AB729" s="18" t="n">
        <v>0</v>
      </c>
      <c r="AC729" s="16" t="n">
        <v>-5</v>
      </c>
      <c r="AD729" s="17" t="n">
        <v>32</v>
      </c>
      <c r="AE729" s="17" t="n">
        <v>32</v>
      </c>
      <c r="AF729" s="17" t="n">
        <v>7</v>
      </c>
      <c r="AG729" s="17" t="n">
        <v>31</v>
      </c>
      <c r="AH729" s="17" t="n">
        <v>32</v>
      </c>
      <c r="AI729" s="17" t="n">
        <v>32</v>
      </c>
      <c r="AJ729" s="17" t="n">
        <v>23</v>
      </c>
      <c r="AK729" s="17" t="n">
        <v>30</v>
      </c>
      <c r="AL729" s="17" t="n">
        <v>32</v>
      </c>
      <c r="AM729" s="18" t="n">
        <v>32</v>
      </c>
      <c r="AN729" s="16" t="n">
        <v>22665</v>
      </c>
      <c r="AO729" s="17" t="n">
        <v>0</v>
      </c>
      <c r="AP729" s="17" t="n">
        <v>0</v>
      </c>
      <c r="AQ729" s="17" t="n">
        <v>15138</v>
      </c>
      <c r="AR729" s="17" t="n">
        <v>588</v>
      </c>
      <c r="AS729" s="17" t="n">
        <v>0</v>
      </c>
      <c r="AT729" s="17" t="n">
        <v>0</v>
      </c>
      <c r="AU729" s="17" t="n">
        <v>5626</v>
      </c>
      <c r="AV729" s="17" t="n">
        <v>1018</v>
      </c>
      <c r="AW729" s="17" t="n">
        <v>0</v>
      </c>
      <c r="AX729" s="18" t="n">
        <v>0</v>
      </c>
      <c r="AY729" s="16" t="n">
        <v>23236</v>
      </c>
      <c r="AZ729" s="17" t="n">
        <v>0</v>
      </c>
      <c r="BA729" s="17" t="n">
        <v>0</v>
      </c>
      <c r="BB729" s="17" t="n">
        <v>15700</v>
      </c>
      <c r="BC729" s="17" t="n">
        <v>628</v>
      </c>
      <c r="BD729" s="17" t="n">
        <v>0</v>
      </c>
      <c r="BE729" s="17" t="n">
        <v>0</v>
      </c>
      <c r="BF729" s="17" t="n">
        <v>5652</v>
      </c>
      <c r="BG729" s="17" t="n">
        <v>1256</v>
      </c>
      <c r="BH729" s="17" t="n">
        <v>0</v>
      </c>
      <c r="BI729" s="18" t="n">
        <v>0</v>
      </c>
      <c r="BJ729" s="16" t="n">
        <v>-571</v>
      </c>
      <c r="BK729" s="17" t="n">
        <v>0</v>
      </c>
      <c r="BL729" s="17" t="n">
        <v>0</v>
      </c>
      <c r="BM729" s="17" t="n">
        <v>-562</v>
      </c>
      <c r="BN729" s="17" t="n">
        <v>-40</v>
      </c>
      <c r="BO729" s="17" t="n">
        <v>0</v>
      </c>
      <c r="BP729" s="17" t="n">
        <v>0</v>
      </c>
      <c r="BQ729" s="17" t="n">
        <v>-26</v>
      </c>
      <c r="BR729" s="17" t="n">
        <v>-238</v>
      </c>
      <c r="BS729" s="17" t="n">
        <v>0</v>
      </c>
      <c r="BT729" s="18" t="n">
        <v>0</v>
      </c>
      <c r="BU729" s="17" t="inlineStr">
        <is>
          <t>Branded Drug</t>
        </is>
      </c>
    </row>
    <row r="730" ht="20" customHeight="1">
      <c r="A730" s="15" t="inlineStr">
        <is>
          <t>00023530105</t>
        </is>
      </c>
      <c r="B730" s="15" t="inlineStr">
        <is>
          <t>RESTASIS MULTIDOSE 0.05 % OPHTHALMIC EMULSION</t>
        </is>
      </c>
      <c r="C730" s="16" t="n">
        <v>5.5</v>
      </c>
      <c r="D730" s="16" t="n">
        <v>0</v>
      </c>
      <c r="E730" s="16" t="n">
        <v>0</v>
      </c>
      <c r="F730" s="16" t="n">
        <v>0</v>
      </c>
      <c r="G730" s="16" t="n">
        <v>11</v>
      </c>
      <c r="H730" s="17" t="n">
        <v>0</v>
      </c>
      <c r="I730" s="17" t="n">
        <v>0</v>
      </c>
      <c r="J730" s="17" t="n">
        <v>11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0</v>
      </c>
      <c r="Q730" s="18" t="n">
        <v>0</v>
      </c>
      <c r="R730" s="16" t="n">
        <v>2</v>
      </c>
      <c r="S730" s="17" t="n">
        <v>0</v>
      </c>
      <c r="T730" s="17" t="n">
        <v>0</v>
      </c>
      <c r="U730" s="17" t="n">
        <v>2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8" t="n">
        <v>0</v>
      </c>
      <c r="AC730" s="16" t="n">
        <v>-2</v>
      </c>
      <c r="AD730" s="17" t="n">
        <v>0</v>
      </c>
      <c r="AE730" s="17" t="n">
        <v>0</v>
      </c>
      <c r="AF730" s="17" t="n">
        <v>-2</v>
      </c>
      <c r="AG730" s="17" t="n">
        <v>0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8" t="n">
        <v>0</v>
      </c>
      <c r="AN730" s="16" t="n">
        <v>1228</v>
      </c>
      <c r="AO730" s="17" t="n">
        <v>0</v>
      </c>
      <c r="AP730" s="17" t="n">
        <v>0</v>
      </c>
      <c r="AQ730" s="17" t="n">
        <v>1223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0</v>
      </c>
      <c r="AW730" s="17" t="n">
        <v>0</v>
      </c>
      <c r="AX730" s="18" t="n">
        <v>0</v>
      </c>
      <c r="AY730" s="16" t="n">
        <v>0</v>
      </c>
      <c r="AZ730" s="17" t="n">
        <v>0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0</v>
      </c>
      <c r="BF730" s="17" t="n">
        <v>0</v>
      </c>
      <c r="BG730" s="17" t="n">
        <v>0</v>
      </c>
      <c r="BH730" s="17" t="n">
        <v>0</v>
      </c>
      <c r="BI730" s="18" t="n">
        <v>0</v>
      </c>
      <c r="BJ730" s="16" t="n">
        <v>1228</v>
      </c>
      <c r="BK730" s="17" t="n">
        <v>0</v>
      </c>
      <c r="BL730" s="17" t="n">
        <v>0</v>
      </c>
      <c r="BM730" s="17" t="n">
        <v>1223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7" t="n">
        <v>0</v>
      </c>
      <c r="BT730" s="18" t="n">
        <v>0</v>
      </c>
      <c r="BU730" s="17" t="inlineStr">
        <is>
          <t>Unclassified</t>
        </is>
      </c>
    </row>
    <row r="731" ht="20" customHeight="1">
      <c r="A731" s="15" t="inlineStr">
        <is>
          <t>59148003613</t>
        </is>
      </c>
      <c r="B731" s="15" t="inlineStr">
        <is>
          <t>REXULTI 0.5 MG ORAL TABLET</t>
        </is>
      </c>
      <c r="C731" s="16" t="n">
        <v>30</v>
      </c>
      <c r="D731" s="16" t="n">
        <v>1</v>
      </c>
      <c r="E731" s="16" t="n">
        <v>1</v>
      </c>
      <c r="F731" s="16" t="n">
        <v>1513</v>
      </c>
      <c r="G731" s="16" t="n">
        <v>30</v>
      </c>
      <c r="H731" s="17" t="n">
        <v>0</v>
      </c>
      <c r="I731" s="17" t="n">
        <v>0</v>
      </c>
      <c r="J731" s="17" t="n">
        <v>30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8" t="n">
        <v>0</v>
      </c>
      <c r="R731" s="16" t="n">
        <v>1</v>
      </c>
      <c r="S731" s="17" t="n">
        <v>0</v>
      </c>
      <c r="T731" s="17" t="n">
        <v>0</v>
      </c>
      <c r="U731" s="17" t="n">
        <v>1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</v>
      </c>
      <c r="AA731" s="17" t="n">
        <v>0</v>
      </c>
      <c r="AB731" s="18" t="n">
        <v>0</v>
      </c>
      <c r="AC731" s="16" t="n">
        <v>0</v>
      </c>
      <c r="AD731" s="17" t="n">
        <v>1</v>
      </c>
      <c r="AE731" s="17" t="n">
        <v>1</v>
      </c>
      <c r="AF731" s="17" t="n">
        <v>0</v>
      </c>
      <c r="AG731" s="17" t="n">
        <v>1</v>
      </c>
      <c r="AH731" s="17" t="n">
        <v>1</v>
      </c>
      <c r="AI731" s="17" t="n">
        <v>1</v>
      </c>
      <c r="AJ731" s="17" t="n">
        <v>1</v>
      </c>
      <c r="AK731" s="17" t="n">
        <v>1</v>
      </c>
      <c r="AL731" s="17" t="n">
        <v>1</v>
      </c>
      <c r="AM731" s="18" t="n">
        <v>1</v>
      </c>
      <c r="AN731" s="16" t="n">
        <v>1480</v>
      </c>
      <c r="AO731" s="17" t="n">
        <v>0</v>
      </c>
      <c r="AP731" s="17" t="n">
        <v>0</v>
      </c>
      <c r="AQ731" s="17" t="n">
        <v>1475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8" t="n">
        <v>0</v>
      </c>
      <c r="AY731" s="16" t="n">
        <v>1513</v>
      </c>
      <c r="AZ731" s="17" t="n">
        <v>0</v>
      </c>
      <c r="BA731" s="17" t="n">
        <v>0</v>
      </c>
      <c r="BB731" s="17" t="n">
        <v>1513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8" t="n">
        <v>0</v>
      </c>
      <c r="BJ731" s="16" t="n">
        <v>-33</v>
      </c>
      <c r="BK731" s="17" t="n">
        <v>0</v>
      </c>
      <c r="BL731" s="17" t="n">
        <v>0</v>
      </c>
      <c r="BM731" s="17" t="n">
        <v>-38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8" t="n">
        <v>0</v>
      </c>
      <c r="BU731" s="17" t="inlineStr">
        <is>
          <t>Branded Drug</t>
        </is>
      </c>
    </row>
    <row r="732" ht="20" customHeight="1">
      <c r="A732" s="15" t="inlineStr">
        <is>
          <t>59148003713</t>
        </is>
      </c>
      <c r="B732" s="15" t="inlineStr">
        <is>
          <t>REXULTI 1MG TABLET</t>
        </is>
      </c>
      <c r="C732" s="16" t="n">
        <v>30</v>
      </c>
      <c r="D732" s="16" t="n">
        <v>1</v>
      </c>
      <c r="E732" s="16" t="n">
        <v>1</v>
      </c>
      <c r="F732" s="16" t="n">
        <v>1513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0</v>
      </c>
      <c r="M732" s="17" t="n">
        <v>0</v>
      </c>
      <c r="N732" s="17" t="n">
        <v>30</v>
      </c>
      <c r="O732" s="17" t="n">
        <v>0</v>
      </c>
      <c r="P732" s="17" t="n">
        <v>0</v>
      </c>
      <c r="Q732" s="18" t="n">
        <v>0</v>
      </c>
      <c r="R732" s="16" t="n">
        <v>1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1</v>
      </c>
      <c r="Z732" s="17" t="n">
        <v>0</v>
      </c>
      <c r="AA732" s="17" t="n">
        <v>0</v>
      </c>
      <c r="AB732" s="18" t="n">
        <v>0</v>
      </c>
      <c r="AC732" s="16" t="n">
        <v>0</v>
      </c>
      <c r="AD732" s="17" t="n">
        <v>1</v>
      </c>
      <c r="AE732" s="17" t="n">
        <v>1</v>
      </c>
      <c r="AF732" s="17" t="n">
        <v>1</v>
      </c>
      <c r="AG732" s="17" t="n">
        <v>1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8" t="n">
        <v>1</v>
      </c>
      <c r="AN732" s="16" t="n">
        <v>1499</v>
      </c>
      <c r="AO732" s="17" t="n">
        <v>0</v>
      </c>
      <c r="AP732" s="17" t="n">
        <v>0</v>
      </c>
      <c r="AQ732" s="17" t="n">
        <v>0</v>
      </c>
      <c r="AR732" s="17" t="n">
        <v>0</v>
      </c>
      <c r="AS732" s="17" t="n">
        <v>0</v>
      </c>
      <c r="AT732" s="17" t="n">
        <v>0</v>
      </c>
      <c r="AU732" s="17" t="n">
        <v>1499</v>
      </c>
      <c r="AV732" s="17" t="n">
        <v>0</v>
      </c>
      <c r="AW732" s="17" t="n">
        <v>0</v>
      </c>
      <c r="AX732" s="18" t="n">
        <v>0</v>
      </c>
      <c r="AY732" s="16" t="n">
        <v>1513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7" t="n">
        <v>1513</v>
      </c>
      <c r="BG732" s="17" t="n">
        <v>0</v>
      </c>
      <c r="BH732" s="17" t="n">
        <v>0</v>
      </c>
      <c r="BI732" s="18" t="n">
        <v>0</v>
      </c>
      <c r="BJ732" s="16" t="n">
        <v>-14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-14</v>
      </c>
      <c r="BR732" s="17" t="n">
        <v>0</v>
      </c>
      <c r="BS732" s="17" t="n">
        <v>0</v>
      </c>
      <c r="BT732" s="18" t="n">
        <v>0</v>
      </c>
      <c r="BU732" s="17" t="inlineStr">
        <is>
          <t>Branded Drug</t>
        </is>
      </c>
    </row>
    <row r="733" ht="20" customHeight="1">
      <c r="A733" s="15" t="inlineStr">
        <is>
          <t>70727049725</t>
        </is>
      </c>
      <c r="B733" s="15" t="inlineStr">
        <is>
          <t>RHOPRESSA 0.02 % OPHTHALMIC SOLUTION</t>
        </is>
      </c>
      <c r="C733" s="16" t="n">
        <v>2.5</v>
      </c>
      <c r="D733" s="16" t="n">
        <v>0</v>
      </c>
      <c r="E733" s="16" t="n">
        <v>0</v>
      </c>
      <c r="F733" s="16" t="n">
        <v>0</v>
      </c>
      <c r="G733" s="16" t="n">
        <v>7.5</v>
      </c>
      <c r="H733" s="17" t="n">
        <v>0</v>
      </c>
      <c r="I733" s="17" t="n">
        <v>0</v>
      </c>
      <c r="J733" s="17" t="n">
        <v>7.5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8" t="n">
        <v>0</v>
      </c>
      <c r="R733" s="16" t="n">
        <v>3</v>
      </c>
      <c r="S733" s="17" t="n">
        <v>0</v>
      </c>
      <c r="T733" s="17" t="n">
        <v>0</v>
      </c>
      <c r="U733" s="17" t="n">
        <v>3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8" t="n">
        <v>0</v>
      </c>
      <c r="AC733" s="16" t="n">
        <v>-3</v>
      </c>
      <c r="AD733" s="17" t="n">
        <v>0</v>
      </c>
      <c r="AE733" s="17" t="n">
        <v>0</v>
      </c>
      <c r="AF733" s="17" t="n">
        <v>-3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8" t="n">
        <v>0</v>
      </c>
      <c r="AN733" s="16" t="n">
        <v>982</v>
      </c>
      <c r="AO733" s="17" t="n">
        <v>0</v>
      </c>
      <c r="AP733" s="17" t="n">
        <v>0</v>
      </c>
      <c r="AQ733" s="17" t="n">
        <v>982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8" t="n">
        <v>0</v>
      </c>
      <c r="AY733" s="16" t="n">
        <v>0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8" t="n">
        <v>0</v>
      </c>
      <c r="BJ733" s="16" t="n">
        <v>982</v>
      </c>
      <c r="BK733" s="17" t="n">
        <v>0</v>
      </c>
      <c r="BL733" s="17" t="n">
        <v>0</v>
      </c>
      <c r="BM733" s="17" t="n">
        <v>982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8" t="n">
        <v>0</v>
      </c>
      <c r="BU733" s="17" t="inlineStr">
        <is>
          <t>Unclassified</t>
        </is>
      </c>
    </row>
    <row r="734" ht="20" customHeight="1">
      <c r="A734" s="15" t="inlineStr">
        <is>
          <t>68382011214</t>
        </is>
      </c>
      <c r="B734" s="15" t="inlineStr">
        <is>
          <t>RISPERIDONE 0.25MG TABLET</t>
        </is>
      </c>
      <c r="C734" s="16" t="n">
        <v>60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0</v>
      </c>
      <c r="M734" s="17" t="n">
        <v>0</v>
      </c>
      <c r="N734" s="17" t="n">
        <v>30</v>
      </c>
      <c r="O734" s="17" t="n">
        <v>0</v>
      </c>
      <c r="P734" s="17" t="n">
        <v>0</v>
      </c>
      <c r="Q734" s="18" t="n">
        <v>0</v>
      </c>
      <c r="R734" s="16" t="n">
        <v>0.5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0.5</v>
      </c>
      <c r="Z734" s="17" t="n">
        <v>0</v>
      </c>
      <c r="AA734" s="17" t="n">
        <v>0</v>
      </c>
      <c r="AB734" s="18" t="n">
        <v>0</v>
      </c>
      <c r="AC734" s="16" t="n">
        <v>-0.5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-0.5</v>
      </c>
      <c r="AK734" s="17" t="n">
        <v>0</v>
      </c>
      <c r="AL734" s="17" t="n">
        <v>0</v>
      </c>
      <c r="AM734" s="18" t="n">
        <v>0</v>
      </c>
      <c r="AN734" s="16" t="n">
        <v>11</v>
      </c>
      <c r="AO734" s="17" t="n">
        <v>0</v>
      </c>
      <c r="AP734" s="17" t="n">
        <v>0</v>
      </c>
      <c r="AQ734" s="17" t="n">
        <v>0</v>
      </c>
      <c r="AR734" s="17" t="n">
        <v>0</v>
      </c>
      <c r="AS734" s="17" t="n">
        <v>0</v>
      </c>
      <c r="AT734" s="17" t="n">
        <v>0</v>
      </c>
      <c r="AU734" s="17" t="n">
        <v>11</v>
      </c>
      <c r="AV734" s="17" t="n">
        <v>0</v>
      </c>
      <c r="AW734" s="17" t="n">
        <v>0</v>
      </c>
      <c r="AX734" s="18" t="n">
        <v>0</v>
      </c>
      <c r="AY734" s="16" t="n">
        <v>0</v>
      </c>
      <c r="AZ734" s="17" t="n">
        <v>0</v>
      </c>
      <c r="BA734" s="17" t="n">
        <v>0</v>
      </c>
      <c r="BB734" s="17" t="n">
        <v>0</v>
      </c>
      <c r="BC734" s="17" t="n">
        <v>0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7" t="n">
        <v>0</v>
      </c>
      <c r="BI734" s="18" t="n">
        <v>0</v>
      </c>
      <c r="BJ734" s="16" t="n">
        <v>11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11</v>
      </c>
      <c r="BR734" s="17" t="n">
        <v>0</v>
      </c>
      <c r="BS734" s="17" t="n">
        <v>0</v>
      </c>
      <c r="BT734" s="18" t="n">
        <v>0</v>
      </c>
      <c r="BU734" s="17" t="inlineStr">
        <is>
          <t>Unclassified</t>
        </is>
      </c>
    </row>
    <row r="735" ht="20" customHeight="1">
      <c r="A735" s="15" t="inlineStr">
        <is>
          <t>68382011414</t>
        </is>
      </c>
      <c r="B735" s="15" t="inlineStr">
        <is>
          <t>RISPERIDONE 1MG TABLET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30</v>
      </c>
      <c r="O735" s="17" t="n">
        <v>0</v>
      </c>
      <c r="P735" s="17" t="n">
        <v>0</v>
      </c>
      <c r="Q735" s="18" t="n">
        <v>0</v>
      </c>
      <c r="R735" s="16" t="n">
        <v>0.5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0.5</v>
      </c>
      <c r="Z735" s="17" t="n">
        <v>0</v>
      </c>
      <c r="AA735" s="17" t="n">
        <v>0</v>
      </c>
      <c r="AB735" s="18" t="n">
        <v>0</v>
      </c>
      <c r="AC735" s="16" t="n">
        <v>-0.5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-0.5</v>
      </c>
      <c r="AK735" s="17" t="n">
        <v>0</v>
      </c>
      <c r="AL735" s="17" t="n">
        <v>0</v>
      </c>
      <c r="AM735" s="18" t="n">
        <v>0</v>
      </c>
      <c r="AN735" s="16" t="n">
        <v>11</v>
      </c>
      <c r="AO735" s="17" t="n">
        <v>0</v>
      </c>
      <c r="AP735" s="17" t="n">
        <v>0</v>
      </c>
      <c r="AQ735" s="17" t="n">
        <v>0</v>
      </c>
      <c r="AR735" s="17" t="n">
        <v>0</v>
      </c>
      <c r="AS735" s="17" t="n">
        <v>0</v>
      </c>
      <c r="AT735" s="17" t="n">
        <v>0</v>
      </c>
      <c r="AU735" s="17" t="n">
        <v>11</v>
      </c>
      <c r="AV735" s="17" t="n">
        <v>0</v>
      </c>
      <c r="AW735" s="17" t="n">
        <v>0</v>
      </c>
      <c r="AX735" s="18" t="n">
        <v>0</v>
      </c>
      <c r="AY735" s="16" t="n">
        <v>0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8" t="n">
        <v>0</v>
      </c>
      <c r="BJ735" s="16" t="n">
        <v>11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11</v>
      </c>
      <c r="BR735" s="17" t="n">
        <v>0</v>
      </c>
      <c r="BS735" s="17" t="n">
        <v>0</v>
      </c>
      <c r="BT735" s="18" t="n">
        <v>0</v>
      </c>
      <c r="BU735" s="17" t="inlineStr">
        <is>
          <t>Unclassified</t>
        </is>
      </c>
    </row>
    <row r="736" ht="20" customHeight="1">
      <c r="A736" s="15" t="inlineStr">
        <is>
          <t>00378907293</t>
        </is>
      </c>
      <c r="B736" s="15" t="inlineStr">
        <is>
          <t>RIVASTIGMINE 13.3 MG/24HR TRANSDERMAL PATCH 24 HOUR</t>
        </is>
      </c>
      <c r="C736" s="16" t="n">
        <v>30</v>
      </c>
      <c r="D736" s="16" t="n">
        <v>0</v>
      </c>
      <c r="E736" s="16" t="n">
        <v>0</v>
      </c>
      <c r="F736" s="16" t="n">
        <v>0</v>
      </c>
      <c r="G736" s="16" t="n">
        <v>30</v>
      </c>
      <c r="H736" s="17" t="n">
        <v>0</v>
      </c>
      <c r="I736" s="17" t="n">
        <v>0</v>
      </c>
      <c r="J736" s="17" t="n">
        <v>0</v>
      </c>
      <c r="K736" s="17" t="n">
        <v>30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8" t="n">
        <v>0</v>
      </c>
      <c r="R736" s="16" t="n">
        <v>1</v>
      </c>
      <c r="S736" s="17" t="n">
        <v>0</v>
      </c>
      <c r="T736" s="17" t="n">
        <v>0</v>
      </c>
      <c r="U736" s="17" t="n">
        <v>0</v>
      </c>
      <c r="V736" s="17" t="n">
        <v>1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8" t="n">
        <v>0</v>
      </c>
      <c r="AC736" s="16" t="n">
        <v>-1</v>
      </c>
      <c r="AD736" s="17" t="n">
        <v>0</v>
      </c>
      <c r="AE736" s="17" t="n">
        <v>0</v>
      </c>
      <c r="AF736" s="17" t="n">
        <v>0</v>
      </c>
      <c r="AG736" s="17" t="n">
        <v>-1</v>
      </c>
      <c r="AH736" s="17" t="n">
        <v>0</v>
      </c>
      <c r="AI736" s="17" t="n">
        <v>0</v>
      </c>
      <c r="AJ736" s="17" t="n">
        <v>0</v>
      </c>
      <c r="AK736" s="17" t="n">
        <v>0</v>
      </c>
      <c r="AL736" s="17" t="n">
        <v>0</v>
      </c>
      <c r="AM736" s="18" t="n">
        <v>0</v>
      </c>
      <c r="AN736" s="16" t="n">
        <v>89</v>
      </c>
      <c r="AO736" s="17" t="n">
        <v>0</v>
      </c>
      <c r="AP736" s="17" t="n">
        <v>0</v>
      </c>
      <c r="AQ736" s="17" t="n">
        <v>0</v>
      </c>
      <c r="AR736" s="17" t="n">
        <v>89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8" t="n">
        <v>0</v>
      </c>
      <c r="AY736" s="16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7" t="n">
        <v>0</v>
      </c>
      <c r="BI736" s="18" t="n">
        <v>0</v>
      </c>
      <c r="BJ736" s="16" t="n">
        <v>89</v>
      </c>
      <c r="BK736" s="17" t="n">
        <v>0</v>
      </c>
      <c r="BL736" s="17" t="n">
        <v>0</v>
      </c>
      <c r="BM736" s="17" t="n">
        <v>0</v>
      </c>
      <c r="BN736" s="17" t="n">
        <v>89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7" t="n">
        <v>0</v>
      </c>
      <c r="BT736" s="18" t="n">
        <v>0</v>
      </c>
      <c r="BU736" s="17" t="inlineStr">
        <is>
          <t>Unclassified</t>
        </is>
      </c>
    </row>
    <row r="737" ht="20" customHeight="1">
      <c r="A737" s="15" t="inlineStr">
        <is>
          <t>33342009009</t>
        </is>
      </c>
      <c r="B737" s="15" t="inlineStr">
        <is>
          <t>RIVASTIGMINE TARTRATE 3 MG ORAL CAPSULE</t>
        </is>
      </c>
      <c r="C737" s="16" t="n">
        <v>60</v>
      </c>
      <c r="D737" s="16" t="n">
        <v>0</v>
      </c>
      <c r="E737" s="16" t="n">
        <v>0</v>
      </c>
      <c r="F737" s="16" t="n">
        <v>0</v>
      </c>
      <c r="G737" s="16" t="n">
        <v>180</v>
      </c>
      <c r="H737" s="17" t="n">
        <v>0</v>
      </c>
      <c r="I737" s="17" t="n">
        <v>0</v>
      </c>
      <c r="J737" s="17" t="n">
        <v>0</v>
      </c>
      <c r="K737" s="17" t="n">
        <v>180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8" t="n">
        <v>0</v>
      </c>
      <c r="R737" s="16" t="n">
        <v>3</v>
      </c>
      <c r="S737" s="17" t="n">
        <v>0</v>
      </c>
      <c r="T737" s="17" t="n">
        <v>0</v>
      </c>
      <c r="U737" s="17" t="n">
        <v>0</v>
      </c>
      <c r="V737" s="17" t="n">
        <v>3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8" t="n">
        <v>0</v>
      </c>
      <c r="AC737" s="16" t="n">
        <v>-3</v>
      </c>
      <c r="AD737" s="17" t="n">
        <v>0</v>
      </c>
      <c r="AE737" s="17" t="n">
        <v>0</v>
      </c>
      <c r="AF737" s="17" t="n">
        <v>0</v>
      </c>
      <c r="AG737" s="17" t="n">
        <v>-3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8" t="n">
        <v>0</v>
      </c>
      <c r="AN737" s="16" t="n">
        <v>52</v>
      </c>
      <c r="AO737" s="17" t="n">
        <v>0</v>
      </c>
      <c r="AP737" s="17" t="n">
        <v>0</v>
      </c>
      <c r="AQ737" s="17" t="n">
        <v>0</v>
      </c>
      <c r="AR737" s="17" t="n">
        <v>52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8" t="n">
        <v>0</v>
      </c>
      <c r="AY737" s="16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8" t="n">
        <v>0</v>
      </c>
      <c r="BJ737" s="16" t="n">
        <v>52</v>
      </c>
      <c r="BK737" s="17" t="n">
        <v>0</v>
      </c>
      <c r="BL737" s="17" t="n">
        <v>0</v>
      </c>
      <c r="BM737" s="17" t="n">
        <v>0</v>
      </c>
      <c r="BN737" s="17" t="n">
        <v>52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8" t="n">
        <v>0</v>
      </c>
      <c r="BU737" s="17" t="inlineStr">
        <is>
          <t>Unclassified</t>
        </is>
      </c>
    </row>
    <row r="738" ht="20" customHeight="1">
      <c r="A738" s="15" t="inlineStr">
        <is>
          <t>67877026218</t>
        </is>
      </c>
      <c r="B738" s="15" t="inlineStr">
        <is>
          <t>RIZATRIPTAN BENZOATE 10MG TABLET</t>
        </is>
      </c>
      <c r="C738" s="16" t="n">
        <v>18</v>
      </c>
      <c r="D738" s="16" t="n">
        <v>0</v>
      </c>
      <c r="E738" s="16" t="n">
        <v>0</v>
      </c>
      <c r="F738" s="16" t="n">
        <v>0</v>
      </c>
      <c r="G738" s="16" t="n">
        <v>12</v>
      </c>
      <c r="H738" s="17" t="n">
        <v>0</v>
      </c>
      <c r="I738" s="17" t="n">
        <v>0</v>
      </c>
      <c r="J738" s="17" t="n">
        <v>12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0</v>
      </c>
      <c r="Q738" s="18" t="n">
        <v>0</v>
      </c>
      <c r="R738" s="16" t="n">
        <v>0.667</v>
      </c>
      <c r="S738" s="17" t="n">
        <v>0</v>
      </c>
      <c r="T738" s="17" t="n">
        <v>0</v>
      </c>
      <c r="U738" s="17" t="n">
        <v>0.667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8" t="n">
        <v>0</v>
      </c>
      <c r="AC738" s="16" t="n">
        <v>-0.667</v>
      </c>
      <c r="AD738" s="17" t="n">
        <v>0</v>
      </c>
      <c r="AE738" s="17" t="n">
        <v>0</v>
      </c>
      <c r="AF738" s="17" t="n">
        <v>-0.667</v>
      </c>
      <c r="AG738" s="17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8" t="n">
        <v>0</v>
      </c>
      <c r="AN738" s="16" t="n">
        <v>2</v>
      </c>
      <c r="AO738" s="17" t="n">
        <v>0</v>
      </c>
      <c r="AP738" s="17" t="n">
        <v>0</v>
      </c>
      <c r="AQ738" s="17" t="n">
        <v>2</v>
      </c>
      <c r="AR738" s="17" t="n">
        <v>0</v>
      </c>
      <c r="AS738" s="17" t="n">
        <v>0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8" t="n">
        <v>0</v>
      </c>
      <c r="AY738" s="16" t="n">
        <v>0</v>
      </c>
      <c r="AZ738" s="17" t="n">
        <v>0</v>
      </c>
      <c r="BA738" s="17" t="n">
        <v>0</v>
      </c>
      <c r="BB738" s="17" t="n">
        <v>0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7" t="n">
        <v>0</v>
      </c>
      <c r="BI738" s="18" t="n">
        <v>0</v>
      </c>
      <c r="BJ738" s="16" t="n">
        <v>2</v>
      </c>
      <c r="BK738" s="17" t="n">
        <v>0</v>
      </c>
      <c r="BL738" s="17" t="n">
        <v>0</v>
      </c>
      <c r="BM738" s="17" t="n">
        <v>2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7" t="n">
        <v>0</v>
      </c>
      <c r="BT738" s="18" t="n">
        <v>0</v>
      </c>
      <c r="BU738" s="17" t="inlineStr">
        <is>
          <t>Unclassified</t>
        </is>
      </c>
    </row>
    <row r="739" ht="20" customHeight="1">
      <c r="A739" s="15" t="inlineStr">
        <is>
          <t>00904722320</t>
        </is>
      </c>
      <c r="B739" s="15" t="inlineStr">
        <is>
          <t>ROBAFEN DM 20-200 MG/20ML ORAL LIQUID</t>
        </is>
      </c>
      <c r="C739" s="16" t="n">
        <v>118</v>
      </c>
      <c r="D739" s="16" t="n">
        <v>0</v>
      </c>
      <c r="E739" s="16" t="n">
        <v>0</v>
      </c>
      <c r="F739" s="16" t="n">
        <v>0</v>
      </c>
      <c r="G739" s="16" t="n">
        <v>1180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1180</v>
      </c>
      <c r="O739" s="17" t="n">
        <v>0</v>
      </c>
      <c r="P739" s="17" t="n">
        <v>0</v>
      </c>
      <c r="Q739" s="18" t="n">
        <v>0</v>
      </c>
      <c r="R739" s="16" t="n">
        <v>10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10</v>
      </c>
      <c r="Z739" s="17" t="n">
        <v>0</v>
      </c>
      <c r="AA739" s="17" t="n">
        <v>0</v>
      </c>
      <c r="AB739" s="18" t="n">
        <v>0</v>
      </c>
      <c r="AC739" s="16" t="n">
        <v>-10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7" t="n">
        <v>-10</v>
      </c>
      <c r="AK739" s="17" t="n">
        <v>0</v>
      </c>
      <c r="AL739" s="17" t="n">
        <v>0</v>
      </c>
      <c r="AM739" s="18" t="n">
        <v>0</v>
      </c>
      <c r="AN739" s="16" t="n">
        <v>45</v>
      </c>
      <c r="AO739" s="17" t="n">
        <v>0</v>
      </c>
      <c r="AP739" s="17" t="n">
        <v>0</v>
      </c>
      <c r="AQ739" s="17" t="n">
        <v>0</v>
      </c>
      <c r="AR739" s="17" t="n">
        <v>0</v>
      </c>
      <c r="AS739" s="17" t="n">
        <v>0</v>
      </c>
      <c r="AT739" s="17" t="n">
        <v>0</v>
      </c>
      <c r="AU739" s="17" t="n">
        <v>45</v>
      </c>
      <c r="AV739" s="17" t="n">
        <v>0</v>
      </c>
      <c r="AW739" s="17" t="n">
        <v>0</v>
      </c>
      <c r="AX739" s="18" t="n">
        <v>0</v>
      </c>
      <c r="AY739" s="16" t="n">
        <v>0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8" t="n">
        <v>0</v>
      </c>
      <c r="BJ739" s="16" t="n">
        <v>45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45</v>
      </c>
      <c r="BR739" s="17" t="n">
        <v>0</v>
      </c>
      <c r="BS739" s="17" t="n">
        <v>0</v>
      </c>
      <c r="BT739" s="18" t="n">
        <v>0</v>
      </c>
      <c r="BU739" s="17" t="inlineStr">
        <is>
          <t>Unclassified</t>
        </is>
      </c>
    </row>
    <row r="740" ht="20" customHeight="1">
      <c r="A740" s="15" t="inlineStr">
        <is>
          <t>70727052925</t>
        </is>
      </c>
      <c r="B740" s="15" t="inlineStr">
        <is>
          <t>ROCKLATAN 0.02-0.005% SOLUTION</t>
        </is>
      </c>
      <c r="C740" s="16" t="n">
        <v>2.5</v>
      </c>
      <c r="D740" s="16" t="n">
        <v>4</v>
      </c>
      <c r="E740" s="16" t="n">
        <v>4</v>
      </c>
      <c r="F740" s="16" t="n">
        <v>354</v>
      </c>
      <c r="G740" s="16" t="n">
        <v>5</v>
      </c>
      <c r="H740" s="17" t="n">
        <v>0</v>
      </c>
      <c r="I740" s="17" t="n">
        <v>0</v>
      </c>
      <c r="J740" s="17" t="n">
        <v>5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0</v>
      </c>
      <c r="P740" s="17" t="n">
        <v>0</v>
      </c>
      <c r="Q740" s="18" t="n">
        <v>0</v>
      </c>
      <c r="R740" s="16" t="n">
        <v>2</v>
      </c>
      <c r="S740" s="17" t="n">
        <v>0</v>
      </c>
      <c r="T740" s="17" t="n">
        <v>0</v>
      </c>
      <c r="U740" s="17" t="n">
        <v>2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8" t="n">
        <v>0</v>
      </c>
      <c r="AC740" s="16" t="n">
        <v>2</v>
      </c>
      <c r="AD740" s="17" t="n">
        <v>4</v>
      </c>
      <c r="AE740" s="17" t="n">
        <v>4</v>
      </c>
      <c r="AF740" s="17" t="n">
        <v>2</v>
      </c>
      <c r="AG740" s="17" t="n">
        <v>4</v>
      </c>
      <c r="AH740" s="17" t="n">
        <v>4</v>
      </c>
      <c r="AI740" s="17" t="n">
        <v>4</v>
      </c>
      <c r="AJ740" s="17" t="n">
        <v>4</v>
      </c>
      <c r="AK740" s="17" t="n">
        <v>4</v>
      </c>
      <c r="AL740" s="17" t="n">
        <v>4</v>
      </c>
      <c r="AM740" s="18" t="n">
        <v>4</v>
      </c>
      <c r="AN740" s="16" t="n">
        <v>693</v>
      </c>
      <c r="AO740" s="17" t="n">
        <v>0</v>
      </c>
      <c r="AP740" s="17" t="n">
        <v>0</v>
      </c>
      <c r="AQ740" s="17" t="n">
        <v>667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8" t="n">
        <v>0</v>
      </c>
      <c r="AY740" s="16" t="n">
        <v>708</v>
      </c>
      <c r="AZ740" s="17" t="n">
        <v>0</v>
      </c>
      <c r="BA740" s="17" t="n">
        <v>0</v>
      </c>
      <c r="BB740" s="17" t="n">
        <v>708</v>
      </c>
      <c r="BC740" s="17" t="n">
        <v>0</v>
      </c>
      <c r="BD740" s="17" t="n">
        <v>0</v>
      </c>
      <c r="BE740" s="17" t="n">
        <v>0</v>
      </c>
      <c r="BF740" s="17" t="n">
        <v>0</v>
      </c>
      <c r="BG740" s="17" t="n">
        <v>0</v>
      </c>
      <c r="BH740" s="17" t="n">
        <v>0</v>
      </c>
      <c r="BI740" s="18" t="n">
        <v>0</v>
      </c>
      <c r="BJ740" s="16" t="n">
        <v>-15</v>
      </c>
      <c r="BK740" s="17" t="n">
        <v>0</v>
      </c>
      <c r="BL740" s="17" t="n">
        <v>0</v>
      </c>
      <c r="BM740" s="17" t="n">
        <v>-41</v>
      </c>
      <c r="BN740" s="17" t="n">
        <v>0</v>
      </c>
      <c r="BO740" s="17" t="n">
        <v>0</v>
      </c>
      <c r="BP740" s="17" t="n">
        <v>0</v>
      </c>
      <c r="BQ740" s="17" t="n">
        <v>0</v>
      </c>
      <c r="BR740" s="17" t="n">
        <v>0</v>
      </c>
      <c r="BS740" s="17" t="n">
        <v>0</v>
      </c>
      <c r="BT740" s="18" t="n">
        <v>0</v>
      </c>
      <c r="BU740" s="17" t="inlineStr">
        <is>
          <t>Branded Drug</t>
        </is>
      </c>
    </row>
    <row r="741" ht="20" customHeight="1">
      <c r="A741" s="15" t="inlineStr">
        <is>
          <t>72205020090</t>
        </is>
      </c>
      <c r="B741" s="15" t="inlineStr">
        <is>
          <t>ROFLUMILAST 500 MCG ORAL TABLET</t>
        </is>
      </c>
      <c r="C741" s="16" t="n">
        <v>90</v>
      </c>
      <c r="D741" s="16" t="n">
        <v>0</v>
      </c>
      <c r="E741" s="16" t="n">
        <v>0</v>
      </c>
      <c r="F741" s="16" t="n">
        <v>0</v>
      </c>
      <c r="G741" s="16" t="n">
        <v>90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90</v>
      </c>
      <c r="O741" s="17" t="n">
        <v>0</v>
      </c>
      <c r="P741" s="17" t="n">
        <v>0</v>
      </c>
      <c r="Q741" s="18" t="n">
        <v>0</v>
      </c>
      <c r="R741" s="16" t="n">
        <v>1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8" t="n">
        <v>0</v>
      </c>
      <c r="AC741" s="16" t="n">
        <v>-1</v>
      </c>
      <c r="AD741" s="17" t="n">
        <v>0</v>
      </c>
      <c r="AE741" s="17" t="n">
        <v>0</v>
      </c>
      <c r="AF741" s="17" t="n">
        <v>0</v>
      </c>
      <c r="AG741" s="17" t="n">
        <v>0</v>
      </c>
      <c r="AH741" s="17" t="n">
        <v>0</v>
      </c>
      <c r="AI741" s="17" t="n">
        <v>0</v>
      </c>
      <c r="AJ741" s="17" t="n">
        <v>-1</v>
      </c>
      <c r="AK741" s="17" t="n">
        <v>0</v>
      </c>
      <c r="AL741" s="17" t="n">
        <v>0</v>
      </c>
      <c r="AM741" s="18" t="n">
        <v>0</v>
      </c>
      <c r="AN741" s="16" t="n">
        <v>40</v>
      </c>
      <c r="AO741" s="17" t="n">
        <v>0</v>
      </c>
      <c r="AP741" s="17" t="n">
        <v>0</v>
      </c>
      <c r="AQ741" s="17" t="n">
        <v>0</v>
      </c>
      <c r="AR741" s="17" t="n">
        <v>0</v>
      </c>
      <c r="AS741" s="17" t="n">
        <v>0</v>
      </c>
      <c r="AT741" s="17" t="n">
        <v>0</v>
      </c>
      <c r="AU741" s="17" t="n">
        <v>40</v>
      </c>
      <c r="AV741" s="17" t="n">
        <v>0</v>
      </c>
      <c r="AW741" s="17" t="n">
        <v>0</v>
      </c>
      <c r="AX741" s="18" t="n">
        <v>0</v>
      </c>
      <c r="AY741" s="16" t="n">
        <v>0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8" t="n">
        <v>0</v>
      </c>
      <c r="BJ741" s="16" t="n">
        <v>40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40</v>
      </c>
      <c r="BR741" s="17" t="n">
        <v>0</v>
      </c>
      <c r="BS741" s="17" t="n">
        <v>0</v>
      </c>
      <c r="BT741" s="18" t="n">
        <v>0</v>
      </c>
      <c r="BU741" s="17" t="inlineStr">
        <is>
          <t>Unclassified</t>
        </is>
      </c>
    </row>
    <row r="742" ht="20" customHeight="1">
      <c r="A742" s="15" t="inlineStr">
        <is>
          <t>69367036005</t>
        </is>
      </c>
      <c r="B742" s="15" t="inlineStr">
        <is>
          <t>ROSUVASTATIN 10 MG ORAL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510</v>
      </c>
      <c r="H742" s="17" t="n">
        <v>0</v>
      </c>
      <c r="I742" s="17" t="n">
        <v>0</v>
      </c>
      <c r="J742" s="17" t="n">
        <v>210</v>
      </c>
      <c r="K742" s="17" t="n">
        <v>30</v>
      </c>
      <c r="L742" s="17" t="n">
        <v>0</v>
      </c>
      <c r="M742" s="17" t="n">
        <v>90</v>
      </c>
      <c r="N742" s="17" t="n">
        <v>90</v>
      </c>
      <c r="O742" s="17" t="n">
        <v>90</v>
      </c>
      <c r="P742" s="17" t="n">
        <v>0</v>
      </c>
      <c r="Q742" s="18" t="n">
        <v>0</v>
      </c>
      <c r="R742" s="16" t="n">
        <v>1.02</v>
      </c>
      <c r="S742" s="17" t="n">
        <v>0</v>
      </c>
      <c r="T742" s="17" t="n">
        <v>0</v>
      </c>
      <c r="U742" s="17" t="n">
        <v>0.42</v>
      </c>
      <c r="V742" s="17" t="n">
        <v>0.06</v>
      </c>
      <c r="W742" s="17" t="n">
        <v>0</v>
      </c>
      <c r="X742" s="17" t="n">
        <v>0.18</v>
      </c>
      <c r="Y742" s="17" t="n">
        <v>0.18</v>
      </c>
      <c r="Z742" s="17" t="n">
        <v>0.18</v>
      </c>
      <c r="AA742" s="17" t="n">
        <v>0</v>
      </c>
      <c r="AB742" s="18" t="n">
        <v>0</v>
      </c>
      <c r="AC742" s="16" t="n">
        <v>-1.02</v>
      </c>
      <c r="AD742" s="17" t="n">
        <v>0</v>
      </c>
      <c r="AE742" s="17" t="n">
        <v>0</v>
      </c>
      <c r="AF742" s="17" t="n">
        <v>-0.42</v>
      </c>
      <c r="AG742" s="17" t="n">
        <v>-0.06</v>
      </c>
      <c r="AH742" s="17" t="n">
        <v>0</v>
      </c>
      <c r="AI742" s="17" t="n">
        <v>-0.18</v>
      </c>
      <c r="AJ742" s="17" t="n">
        <v>-0.18</v>
      </c>
      <c r="AK742" s="17" t="n">
        <v>-0.18</v>
      </c>
      <c r="AL742" s="17" t="n">
        <v>0</v>
      </c>
      <c r="AM742" s="18" t="n">
        <v>0</v>
      </c>
      <c r="AN742" s="16" t="n">
        <v>93</v>
      </c>
      <c r="AO742" s="17" t="n">
        <v>0</v>
      </c>
      <c r="AP742" s="17" t="n">
        <v>0</v>
      </c>
      <c r="AQ742" s="17" t="n">
        <v>42</v>
      </c>
      <c r="AR742" s="17" t="n">
        <v>0</v>
      </c>
      <c r="AS742" s="17" t="n">
        <v>0</v>
      </c>
      <c r="AT742" s="17" t="n">
        <v>6</v>
      </c>
      <c r="AU742" s="17" t="n">
        <v>14</v>
      </c>
      <c r="AV742" s="17" t="n">
        <v>0</v>
      </c>
      <c r="AW742" s="17" t="n">
        <v>0</v>
      </c>
      <c r="AX742" s="18" t="n">
        <v>0</v>
      </c>
      <c r="AY742" s="16" t="n">
        <v>0</v>
      </c>
      <c r="AZ742" s="17" t="n">
        <v>0</v>
      </c>
      <c r="BA742" s="17" t="n">
        <v>0</v>
      </c>
      <c r="BB742" s="17" t="n">
        <v>0</v>
      </c>
      <c r="BC742" s="17" t="n">
        <v>0</v>
      </c>
      <c r="BD742" s="17" t="n">
        <v>0</v>
      </c>
      <c r="BE742" s="17" t="n">
        <v>0</v>
      </c>
      <c r="BF742" s="17" t="n">
        <v>0</v>
      </c>
      <c r="BG742" s="17" t="n">
        <v>0</v>
      </c>
      <c r="BH742" s="17" t="n">
        <v>0</v>
      </c>
      <c r="BI742" s="18" t="n">
        <v>0</v>
      </c>
      <c r="BJ742" s="16" t="n">
        <v>93</v>
      </c>
      <c r="BK742" s="17" t="n">
        <v>0</v>
      </c>
      <c r="BL742" s="17" t="n">
        <v>0</v>
      </c>
      <c r="BM742" s="17" t="n">
        <v>42</v>
      </c>
      <c r="BN742" s="17" t="n">
        <v>0</v>
      </c>
      <c r="BO742" s="17" t="n">
        <v>0</v>
      </c>
      <c r="BP742" s="17" t="n">
        <v>6</v>
      </c>
      <c r="BQ742" s="17" t="n">
        <v>14</v>
      </c>
      <c r="BR742" s="17" t="n">
        <v>0</v>
      </c>
      <c r="BS742" s="17" t="n">
        <v>0</v>
      </c>
      <c r="BT742" s="18" t="n">
        <v>0</v>
      </c>
      <c r="BU742" s="17" t="inlineStr">
        <is>
          <t>Unclassified</t>
        </is>
      </c>
    </row>
    <row r="743" ht="20" customHeight="1">
      <c r="A743" s="15" t="inlineStr">
        <is>
          <t>68462026310</t>
        </is>
      </c>
      <c r="B743" s="15" t="inlineStr">
        <is>
          <t>ROSUVASTATIN 20MG TABLET</t>
        </is>
      </c>
      <c r="C743" s="16" t="n">
        <v>1000</v>
      </c>
      <c r="D743" s="16" t="n">
        <v>2</v>
      </c>
      <c r="E743" s="16" t="n">
        <v>2</v>
      </c>
      <c r="F743" s="16" t="n">
        <v>42</v>
      </c>
      <c r="G743" s="16" t="n">
        <v>750</v>
      </c>
      <c r="H743" s="17" t="n">
        <v>0</v>
      </c>
      <c r="I743" s="17" t="n">
        <v>0</v>
      </c>
      <c r="J743" s="17" t="n">
        <v>630</v>
      </c>
      <c r="K743" s="17" t="n">
        <v>30</v>
      </c>
      <c r="L743" s="17" t="n">
        <v>0</v>
      </c>
      <c r="M743" s="17" t="n">
        <v>0</v>
      </c>
      <c r="N743" s="17" t="n">
        <v>90</v>
      </c>
      <c r="O743" s="17" t="n">
        <v>0</v>
      </c>
      <c r="P743" s="17" t="n">
        <v>0</v>
      </c>
      <c r="Q743" s="18" t="n">
        <v>0</v>
      </c>
      <c r="R743" s="16" t="n">
        <v>0.75</v>
      </c>
      <c r="S743" s="17" t="n">
        <v>0</v>
      </c>
      <c r="T743" s="17" t="n">
        <v>0</v>
      </c>
      <c r="U743" s="17" t="n">
        <v>0.63</v>
      </c>
      <c r="V743" s="17" t="n">
        <v>0.03</v>
      </c>
      <c r="W743" s="17" t="n">
        <v>0</v>
      </c>
      <c r="X743" s="17" t="n">
        <v>0</v>
      </c>
      <c r="Y743" s="17" t="n">
        <v>0.09</v>
      </c>
      <c r="Z743" s="17" t="n">
        <v>0</v>
      </c>
      <c r="AA743" s="17" t="n">
        <v>0</v>
      </c>
      <c r="AB743" s="18" t="n">
        <v>0</v>
      </c>
      <c r="AC743" s="16" t="n">
        <v>1.25</v>
      </c>
      <c r="AD743" s="17" t="n">
        <v>2</v>
      </c>
      <c r="AE743" s="17" t="n">
        <v>2</v>
      </c>
      <c r="AF743" s="17" t="n">
        <v>1.37</v>
      </c>
      <c r="AG743" s="17" t="n">
        <v>1.97</v>
      </c>
      <c r="AH743" s="17" t="n">
        <v>2</v>
      </c>
      <c r="AI743" s="17" t="n">
        <v>2</v>
      </c>
      <c r="AJ743" s="17" t="n">
        <v>1.91</v>
      </c>
      <c r="AK743" s="17" t="n">
        <v>2</v>
      </c>
      <c r="AL743" s="17" t="n">
        <v>2</v>
      </c>
      <c r="AM743" s="18" t="n">
        <v>2</v>
      </c>
      <c r="AN743" s="16" t="n">
        <v>74</v>
      </c>
      <c r="AO743" s="17" t="n">
        <v>0</v>
      </c>
      <c r="AP743" s="17" t="n">
        <v>0</v>
      </c>
      <c r="AQ743" s="17" t="n">
        <v>43</v>
      </c>
      <c r="AR743" s="17" t="n">
        <v>0</v>
      </c>
      <c r="AS743" s="17" t="n">
        <v>0</v>
      </c>
      <c r="AT743" s="17" t="n">
        <v>0</v>
      </c>
      <c r="AU743" s="17" t="n">
        <v>15</v>
      </c>
      <c r="AV743" s="17" t="n">
        <v>0</v>
      </c>
      <c r="AW743" s="17" t="n">
        <v>0</v>
      </c>
      <c r="AX743" s="18" t="n">
        <v>0</v>
      </c>
      <c r="AY743" s="16" t="n">
        <v>32</v>
      </c>
      <c r="AZ743" s="17" t="n">
        <v>0</v>
      </c>
      <c r="BA743" s="17" t="n">
        <v>0</v>
      </c>
      <c r="BB743" s="17" t="n">
        <v>26</v>
      </c>
      <c r="BC743" s="17" t="n">
        <v>1</v>
      </c>
      <c r="BD743" s="17" t="n">
        <v>0</v>
      </c>
      <c r="BE743" s="17" t="n">
        <v>0</v>
      </c>
      <c r="BF743" s="17" t="n">
        <v>4</v>
      </c>
      <c r="BG743" s="17" t="n">
        <v>0</v>
      </c>
      <c r="BH743" s="17" t="n">
        <v>0</v>
      </c>
      <c r="BI743" s="18" t="n">
        <v>0</v>
      </c>
      <c r="BJ743" s="16" t="n">
        <v>42</v>
      </c>
      <c r="BK743" s="17" t="n">
        <v>0</v>
      </c>
      <c r="BL743" s="17" t="n">
        <v>0</v>
      </c>
      <c r="BM743" s="17" t="n">
        <v>16</v>
      </c>
      <c r="BN743" s="17" t="n">
        <v>-1</v>
      </c>
      <c r="BO743" s="17" t="n">
        <v>0</v>
      </c>
      <c r="BP743" s="17" t="n">
        <v>0</v>
      </c>
      <c r="BQ743" s="17" t="n">
        <v>11</v>
      </c>
      <c r="BR743" s="17" t="n">
        <v>0</v>
      </c>
      <c r="BS743" s="17" t="n">
        <v>0</v>
      </c>
      <c r="BT743" s="18" t="n">
        <v>0</v>
      </c>
      <c r="BU743" s="17" t="inlineStr">
        <is>
          <t>Generic Drug</t>
        </is>
      </c>
    </row>
    <row r="744" ht="20" customHeight="1">
      <c r="A744" s="15" t="inlineStr">
        <is>
          <t>70377000913</t>
        </is>
      </c>
      <c r="B744" s="15" t="inlineStr">
        <is>
          <t>ROSUVASTATIN 40MG TABLET</t>
        </is>
      </c>
      <c r="C744" s="16" t="n">
        <v>500</v>
      </c>
      <c r="D744" s="16" t="n">
        <v>0</v>
      </c>
      <c r="E744" s="16" t="n">
        <v>0</v>
      </c>
      <c r="F744" s="16" t="n">
        <v>0</v>
      </c>
      <c r="G744" s="16" t="n">
        <v>1140</v>
      </c>
      <c r="H744" s="17" t="n">
        <v>0</v>
      </c>
      <c r="I744" s="17" t="n">
        <v>0</v>
      </c>
      <c r="J744" s="17" t="n">
        <v>690</v>
      </c>
      <c r="K744" s="17" t="n">
        <v>30</v>
      </c>
      <c r="L744" s="17" t="n">
        <v>0</v>
      </c>
      <c r="M744" s="17" t="n">
        <v>270</v>
      </c>
      <c r="N744" s="17" t="n">
        <v>0</v>
      </c>
      <c r="O744" s="17" t="n">
        <v>120</v>
      </c>
      <c r="P744" s="17" t="n">
        <v>30</v>
      </c>
      <c r="Q744" s="18" t="n">
        <v>0</v>
      </c>
      <c r="R744" s="16" t="n">
        <v>2.28</v>
      </c>
      <c r="S744" s="17" t="n">
        <v>0</v>
      </c>
      <c r="T744" s="17" t="n">
        <v>0</v>
      </c>
      <c r="U744" s="17" t="n">
        <v>1.38</v>
      </c>
      <c r="V744" s="17" t="n">
        <v>0.06</v>
      </c>
      <c r="W744" s="17" t="n">
        <v>0</v>
      </c>
      <c r="X744" s="17" t="n">
        <v>0.54</v>
      </c>
      <c r="Y744" s="17" t="n">
        <v>0</v>
      </c>
      <c r="Z744" s="17" t="n">
        <v>0.24</v>
      </c>
      <c r="AA744" s="17" t="n">
        <v>0.06</v>
      </c>
      <c r="AB744" s="18" t="n">
        <v>0</v>
      </c>
      <c r="AC744" s="16" t="n">
        <v>-2.28</v>
      </c>
      <c r="AD744" s="17" t="n">
        <v>0</v>
      </c>
      <c r="AE744" s="17" t="n">
        <v>0</v>
      </c>
      <c r="AF744" s="17" t="n">
        <v>-1.38</v>
      </c>
      <c r="AG744" s="17" t="n">
        <v>-0.06</v>
      </c>
      <c r="AH744" s="17" t="n">
        <v>0</v>
      </c>
      <c r="AI744" s="17" t="n">
        <v>-0.54</v>
      </c>
      <c r="AJ744" s="17" t="n">
        <v>0</v>
      </c>
      <c r="AK744" s="17" t="n">
        <v>-0.24</v>
      </c>
      <c r="AL744" s="17" t="n">
        <v>-0.06</v>
      </c>
      <c r="AM744" s="18" t="n">
        <v>0</v>
      </c>
      <c r="AN744" s="16" t="n">
        <v>116</v>
      </c>
      <c r="AO744" s="17" t="n">
        <v>0</v>
      </c>
      <c r="AP744" s="17" t="n">
        <v>0</v>
      </c>
      <c r="AQ744" s="17" t="n">
        <v>63</v>
      </c>
      <c r="AR744" s="17" t="n">
        <v>2</v>
      </c>
      <c r="AS744" s="17" t="n">
        <v>0</v>
      </c>
      <c r="AT744" s="17" t="n">
        <v>34</v>
      </c>
      <c r="AU744" s="17" t="n">
        <v>0</v>
      </c>
      <c r="AV744" s="17" t="n">
        <v>8</v>
      </c>
      <c r="AW744" s="17" t="n">
        <v>2</v>
      </c>
      <c r="AX744" s="18" t="n">
        <v>0</v>
      </c>
      <c r="AY744" s="16" t="n">
        <v>0</v>
      </c>
      <c r="AZ744" s="17" t="n">
        <v>0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0</v>
      </c>
      <c r="BF744" s="17" t="n">
        <v>0</v>
      </c>
      <c r="BG744" s="17" t="n">
        <v>0</v>
      </c>
      <c r="BH744" s="17" t="n">
        <v>0</v>
      </c>
      <c r="BI744" s="18" t="n">
        <v>0</v>
      </c>
      <c r="BJ744" s="16" t="n">
        <v>116</v>
      </c>
      <c r="BK744" s="17" t="n">
        <v>0</v>
      </c>
      <c r="BL744" s="17" t="n">
        <v>0</v>
      </c>
      <c r="BM744" s="17" t="n">
        <v>63</v>
      </c>
      <c r="BN744" s="17" t="n">
        <v>2</v>
      </c>
      <c r="BO744" s="17" t="n">
        <v>0</v>
      </c>
      <c r="BP744" s="17" t="n">
        <v>34</v>
      </c>
      <c r="BQ744" s="17" t="n">
        <v>0</v>
      </c>
      <c r="BR744" s="17" t="n">
        <v>8</v>
      </c>
      <c r="BS744" s="17" t="n">
        <v>2</v>
      </c>
      <c r="BT744" s="18" t="n">
        <v>0</v>
      </c>
      <c r="BU744" s="17" t="inlineStr">
        <is>
          <t>Unclassified</t>
        </is>
      </c>
    </row>
    <row r="745" ht="20" customHeight="1">
      <c r="A745" s="15" t="inlineStr">
        <is>
          <t>70377000613</t>
        </is>
      </c>
      <c r="B745" s="15" t="inlineStr">
        <is>
          <t>ROSUVASTATIN 5MG TABLET</t>
        </is>
      </c>
      <c r="C745" s="16" t="n">
        <v>500</v>
      </c>
      <c r="D745" s="16" t="n">
        <v>0</v>
      </c>
      <c r="E745" s="16" t="n">
        <v>0</v>
      </c>
      <c r="F745" s="16" t="n">
        <v>0</v>
      </c>
      <c r="G745" s="16" t="n">
        <v>360</v>
      </c>
      <c r="H745" s="17" t="n">
        <v>0</v>
      </c>
      <c r="I745" s="17" t="n">
        <v>0</v>
      </c>
      <c r="J745" s="17" t="n">
        <v>240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7" t="n">
        <v>30</v>
      </c>
      <c r="P745" s="17" t="n">
        <v>0</v>
      </c>
      <c r="Q745" s="18" t="n">
        <v>0</v>
      </c>
      <c r="R745" s="16" t="n">
        <v>0.72</v>
      </c>
      <c r="S745" s="17" t="n">
        <v>0</v>
      </c>
      <c r="T745" s="17" t="n">
        <v>0</v>
      </c>
      <c r="U745" s="17" t="n">
        <v>0.48</v>
      </c>
      <c r="V745" s="17" t="n">
        <v>0.18</v>
      </c>
      <c r="W745" s="17" t="n">
        <v>0</v>
      </c>
      <c r="X745" s="17" t="n">
        <v>0</v>
      </c>
      <c r="Y745" s="17" t="n">
        <v>0</v>
      </c>
      <c r="Z745" s="17" t="n">
        <v>0.06</v>
      </c>
      <c r="AA745" s="17" t="n">
        <v>0</v>
      </c>
      <c r="AB745" s="18" t="n">
        <v>0</v>
      </c>
      <c r="AC745" s="16" t="n">
        <v>-0.72</v>
      </c>
      <c r="AD745" s="17" t="n">
        <v>0</v>
      </c>
      <c r="AE745" s="17" t="n">
        <v>0</v>
      </c>
      <c r="AF745" s="17" t="n">
        <v>-0.48</v>
      </c>
      <c r="AG745" s="17" t="n">
        <v>-0.18</v>
      </c>
      <c r="AH745" s="17" t="n">
        <v>0</v>
      </c>
      <c r="AI745" s="17" t="n">
        <v>0</v>
      </c>
      <c r="AJ745" s="17" t="n">
        <v>0</v>
      </c>
      <c r="AK745" s="17" t="n">
        <v>-0.06</v>
      </c>
      <c r="AL745" s="17" t="n">
        <v>0</v>
      </c>
      <c r="AM745" s="18" t="n">
        <v>0</v>
      </c>
      <c r="AN745" s="16" t="n">
        <v>23</v>
      </c>
      <c r="AO745" s="17" t="n">
        <v>0</v>
      </c>
      <c r="AP745" s="17" t="n">
        <v>0</v>
      </c>
      <c r="AQ745" s="17" t="n">
        <v>11</v>
      </c>
      <c r="AR745" s="17" t="n">
        <v>4</v>
      </c>
      <c r="AS745" s="17" t="n">
        <v>0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8" t="n">
        <v>0</v>
      </c>
      <c r="AY745" s="16" t="n">
        <v>0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8" t="n">
        <v>0</v>
      </c>
      <c r="BJ745" s="16" t="n">
        <v>23</v>
      </c>
      <c r="BK745" s="17" t="n">
        <v>0</v>
      </c>
      <c r="BL745" s="17" t="n">
        <v>0</v>
      </c>
      <c r="BM745" s="17" t="n">
        <v>11</v>
      </c>
      <c r="BN745" s="17" t="n">
        <v>4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8" t="n">
        <v>0</v>
      </c>
      <c r="BU745" s="17" t="inlineStr">
        <is>
          <t>Unclassified</t>
        </is>
      </c>
    </row>
    <row r="746" ht="20" customHeight="1">
      <c r="A746" s="15" t="inlineStr">
        <is>
          <t>64764080530</t>
        </is>
      </c>
      <c r="B746" s="15" t="inlineStr">
        <is>
          <t>ROZEREM 8MG TABLET</t>
        </is>
      </c>
      <c r="C746" s="16" t="n">
        <v>30</v>
      </c>
      <c r="D746" s="16" t="n">
        <v>1</v>
      </c>
      <c r="E746" s="16" t="n">
        <v>1</v>
      </c>
      <c r="F746" s="16" t="n">
        <v>378</v>
      </c>
      <c r="G746" s="16" t="n">
        <v>30</v>
      </c>
      <c r="H746" s="17" t="n">
        <v>0</v>
      </c>
      <c r="I746" s="17" t="n">
        <v>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30</v>
      </c>
      <c r="O746" s="17" t="n">
        <v>0</v>
      </c>
      <c r="P746" s="17" t="n">
        <v>0</v>
      </c>
      <c r="Q746" s="18" t="n">
        <v>0</v>
      </c>
      <c r="R746" s="16" t="n">
        <v>1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</v>
      </c>
      <c r="Z746" s="17" t="n">
        <v>0</v>
      </c>
      <c r="AA746" s="17" t="n">
        <v>0</v>
      </c>
      <c r="AB746" s="18" t="n">
        <v>0</v>
      </c>
      <c r="AC746" s="16" t="n">
        <v>0</v>
      </c>
      <c r="AD746" s="17" t="n">
        <v>1</v>
      </c>
      <c r="AE746" s="17" t="n">
        <v>1</v>
      </c>
      <c r="AF746" s="17" t="n">
        <v>1</v>
      </c>
      <c r="AG746" s="17" t="n">
        <v>1</v>
      </c>
      <c r="AH746" s="17" t="n">
        <v>1</v>
      </c>
      <c r="AI746" s="17" t="n">
        <v>1</v>
      </c>
      <c r="AJ746" s="17" t="n">
        <v>0</v>
      </c>
      <c r="AK746" s="17" t="n">
        <v>1</v>
      </c>
      <c r="AL746" s="17" t="n">
        <v>1</v>
      </c>
      <c r="AM746" s="18" t="n">
        <v>1</v>
      </c>
      <c r="AN746" s="16" t="n">
        <v>383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383</v>
      </c>
      <c r="AV746" s="17" t="n">
        <v>0</v>
      </c>
      <c r="AW746" s="17" t="n">
        <v>0</v>
      </c>
      <c r="AX746" s="18" t="n">
        <v>0</v>
      </c>
      <c r="AY746" s="16" t="n">
        <v>378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7" t="n">
        <v>378</v>
      </c>
      <c r="BG746" s="17" t="n">
        <v>0</v>
      </c>
      <c r="BH746" s="17" t="n">
        <v>0</v>
      </c>
      <c r="BI746" s="18" t="n">
        <v>0</v>
      </c>
      <c r="BJ746" s="16" t="n">
        <v>5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5</v>
      </c>
      <c r="BR746" s="17" t="n">
        <v>0</v>
      </c>
      <c r="BS746" s="17" t="n">
        <v>0</v>
      </c>
      <c r="BT746" s="18" t="n">
        <v>0</v>
      </c>
      <c r="BU746" s="17" t="inlineStr">
        <is>
          <t>Branded Drug</t>
        </is>
      </c>
    </row>
    <row r="747" ht="20" customHeight="1">
      <c r="A747" s="15" t="inlineStr">
        <is>
          <t>00169431430</t>
        </is>
      </c>
      <c r="B747" s="15" t="inlineStr">
        <is>
          <t>RYBELSUS 14MG TABLET</t>
        </is>
      </c>
      <c r="C747" s="16" t="n">
        <v>30</v>
      </c>
      <c r="D747" s="16" t="n">
        <v>7</v>
      </c>
      <c r="E747" s="16" t="n">
        <v>7</v>
      </c>
      <c r="F747" s="16" t="n">
        <v>999</v>
      </c>
      <c r="G747" s="16" t="n">
        <v>240</v>
      </c>
      <c r="H747" s="17" t="n">
        <v>0</v>
      </c>
      <c r="I747" s="17" t="n">
        <v>0</v>
      </c>
      <c r="J747" s="17" t="n">
        <v>120</v>
      </c>
      <c r="K747" s="17" t="n">
        <v>30</v>
      </c>
      <c r="L747" s="17" t="n">
        <v>0</v>
      </c>
      <c r="M747" s="17" t="n">
        <v>90</v>
      </c>
      <c r="N747" s="17" t="n">
        <v>0</v>
      </c>
      <c r="O747" s="17" t="n">
        <v>0</v>
      </c>
      <c r="P747" s="17" t="n">
        <v>0</v>
      </c>
      <c r="Q747" s="18" t="n">
        <v>0</v>
      </c>
      <c r="R747" s="16" t="n">
        <v>8</v>
      </c>
      <c r="S747" s="17" t="n">
        <v>0</v>
      </c>
      <c r="T747" s="17" t="n">
        <v>0</v>
      </c>
      <c r="U747" s="17" t="n">
        <v>4</v>
      </c>
      <c r="V747" s="17" t="n">
        <v>1</v>
      </c>
      <c r="W747" s="17" t="n">
        <v>0</v>
      </c>
      <c r="X747" s="17" t="n">
        <v>3</v>
      </c>
      <c r="Y747" s="17" t="n">
        <v>0</v>
      </c>
      <c r="Z747" s="17" t="n">
        <v>0</v>
      </c>
      <c r="AA747" s="17" t="n">
        <v>0</v>
      </c>
      <c r="AB747" s="18" t="n">
        <v>0</v>
      </c>
      <c r="AC747" s="16" t="n">
        <v>-1</v>
      </c>
      <c r="AD747" s="17" t="n">
        <v>7</v>
      </c>
      <c r="AE747" s="17" t="n">
        <v>7</v>
      </c>
      <c r="AF747" s="17" t="n">
        <v>3</v>
      </c>
      <c r="AG747" s="17" t="n">
        <v>6</v>
      </c>
      <c r="AH747" s="17" t="n">
        <v>7</v>
      </c>
      <c r="AI747" s="17" t="n">
        <v>4</v>
      </c>
      <c r="AJ747" s="17" t="n">
        <v>7</v>
      </c>
      <c r="AK747" s="17" t="n">
        <v>7</v>
      </c>
      <c r="AL747" s="17" t="n">
        <v>7</v>
      </c>
      <c r="AM747" s="18" t="n">
        <v>7</v>
      </c>
      <c r="AN747" s="16" t="n">
        <v>7523</v>
      </c>
      <c r="AO747" s="17" t="n">
        <v>0</v>
      </c>
      <c r="AP747" s="17" t="n">
        <v>0</v>
      </c>
      <c r="AQ747" s="17" t="n">
        <v>3854</v>
      </c>
      <c r="AR747" s="17" t="n">
        <v>909</v>
      </c>
      <c r="AS747" s="17" t="n">
        <v>0</v>
      </c>
      <c r="AT747" s="17" t="n">
        <v>2751</v>
      </c>
      <c r="AU747" s="17" t="n">
        <v>0</v>
      </c>
      <c r="AV747" s="17" t="n">
        <v>0</v>
      </c>
      <c r="AW747" s="17" t="n">
        <v>0</v>
      </c>
      <c r="AX747" s="18" t="n">
        <v>0</v>
      </c>
      <c r="AY747" s="16" t="n">
        <v>7992</v>
      </c>
      <c r="AZ747" s="17" t="n">
        <v>0</v>
      </c>
      <c r="BA747" s="17" t="n">
        <v>0</v>
      </c>
      <c r="BB747" s="17" t="n">
        <v>3996</v>
      </c>
      <c r="BC747" s="17" t="n">
        <v>999</v>
      </c>
      <c r="BD747" s="17" t="n">
        <v>0</v>
      </c>
      <c r="BE747" s="17" t="n">
        <v>2997</v>
      </c>
      <c r="BF747" s="17" t="n">
        <v>0</v>
      </c>
      <c r="BG747" s="17" t="n">
        <v>0</v>
      </c>
      <c r="BH747" s="17" t="n">
        <v>0</v>
      </c>
      <c r="BI747" s="18" t="n">
        <v>0</v>
      </c>
      <c r="BJ747" s="16" t="n">
        <v>-469</v>
      </c>
      <c r="BK747" s="17" t="n">
        <v>0</v>
      </c>
      <c r="BL747" s="17" t="n">
        <v>0</v>
      </c>
      <c r="BM747" s="17" t="n">
        <v>-142</v>
      </c>
      <c r="BN747" s="17" t="n">
        <v>-90</v>
      </c>
      <c r="BO747" s="17" t="n">
        <v>0</v>
      </c>
      <c r="BP747" s="17" t="n">
        <v>-246</v>
      </c>
      <c r="BQ747" s="17" t="n">
        <v>0</v>
      </c>
      <c r="BR747" s="17" t="n">
        <v>0</v>
      </c>
      <c r="BS747" s="17" t="n">
        <v>0</v>
      </c>
      <c r="BT747" s="18" t="n">
        <v>0</v>
      </c>
      <c r="BU747" s="17" t="inlineStr">
        <is>
          <t>Branded Drug</t>
        </is>
      </c>
    </row>
    <row r="748" ht="20" customHeight="1">
      <c r="A748" s="15" t="inlineStr">
        <is>
          <t>00169430330</t>
        </is>
      </c>
      <c r="B748" s="15" t="inlineStr">
        <is>
          <t>RYBELSUS 3MG TABLET</t>
        </is>
      </c>
      <c r="C748" s="16" t="n">
        <v>30</v>
      </c>
      <c r="D748" s="16" t="n">
        <v>0</v>
      </c>
      <c r="E748" s="16" t="n">
        <v>0</v>
      </c>
      <c r="F748" s="16" t="n">
        <v>0</v>
      </c>
      <c r="G748" s="16" t="n">
        <v>150</v>
      </c>
      <c r="H748" s="17" t="n">
        <v>0</v>
      </c>
      <c r="I748" s="17" t="n">
        <v>0</v>
      </c>
      <c r="J748" s="17" t="n">
        <v>150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8" t="n">
        <v>0</v>
      </c>
      <c r="R748" s="16" t="n">
        <v>5</v>
      </c>
      <c r="S748" s="17" t="n">
        <v>0</v>
      </c>
      <c r="T748" s="17" t="n">
        <v>0</v>
      </c>
      <c r="U748" s="17" t="n">
        <v>5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8" t="n">
        <v>0</v>
      </c>
      <c r="AC748" s="16" t="n">
        <v>-5</v>
      </c>
      <c r="AD748" s="17" t="n">
        <v>0</v>
      </c>
      <c r="AE748" s="17" t="n">
        <v>0</v>
      </c>
      <c r="AF748" s="17" t="n">
        <v>-5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8" t="n">
        <v>0</v>
      </c>
      <c r="AN748" s="16" t="n">
        <v>4840</v>
      </c>
      <c r="AO748" s="17" t="n">
        <v>0</v>
      </c>
      <c r="AP748" s="17" t="n">
        <v>0</v>
      </c>
      <c r="AQ748" s="17" t="n">
        <v>4825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8" t="n">
        <v>0</v>
      </c>
      <c r="AY748" s="16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7" t="n">
        <v>0</v>
      </c>
      <c r="BG748" s="17" t="n">
        <v>0</v>
      </c>
      <c r="BH748" s="17" t="n">
        <v>0</v>
      </c>
      <c r="BI748" s="18" t="n">
        <v>0</v>
      </c>
      <c r="BJ748" s="16" t="n">
        <v>4840</v>
      </c>
      <c r="BK748" s="17" t="n">
        <v>0</v>
      </c>
      <c r="BL748" s="17" t="n">
        <v>0</v>
      </c>
      <c r="BM748" s="17" t="n">
        <v>4825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7" t="n">
        <v>0</v>
      </c>
      <c r="BT748" s="18" t="n">
        <v>0</v>
      </c>
      <c r="BU748" s="17" t="inlineStr">
        <is>
          <t>Unclassified</t>
        </is>
      </c>
    </row>
    <row r="749" ht="20" customHeight="1">
      <c r="A749" s="15" t="inlineStr">
        <is>
          <t>00169430730</t>
        </is>
      </c>
      <c r="B749" s="15" t="inlineStr">
        <is>
          <t>RYBELSUS 7MG TABLET</t>
        </is>
      </c>
      <c r="C749" s="16" t="n">
        <v>30</v>
      </c>
      <c r="D749" s="16" t="n">
        <v>0</v>
      </c>
      <c r="E749" s="16" t="n">
        <v>0</v>
      </c>
      <c r="F749" s="16" t="n">
        <v>0</v>
      </c>
      <c r="G749" s="16" t="n">
        <v>120</v>
      </c>
      <c r="H749" s="17" t="n">
        <v>0</v>
      </c>
      <c r="I749" s="17" t="n">
        <v>0</v>
      </c>
      <c r="J749" s="17" t="n">
        <v>90</v>
      </c>
      <c r="K749" s="17" t="n">
        <v>30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8" t="n">
        <v>0</v>
      </c>
      <c r="R749" s="16" t="n">
        <v>4</v>
      </c>
      <c r="S749" s="17" t="n">
        <v>0</v>
      </c>
      <c r="T749" s="17" t="n">
        <v>0</v>
      </c>
      <c r="U749" s="17" t="n">
        <v>3</v>
      </c>
      <c r="V749" s="17" t="n">
        <v>1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8" t="n">
        <v>0</v>
      </c>
      <c r="AC749" s="16" t="n">
        <v>-4</v>
      </c>
      <c r="AD749" s="17" t="n">
        <v>0</v>
      </c>
      <c r="AE749" s="17" t="n">
        <v>0</v>
      </c>
      <c r="AF749" s="17" t="n">
        <v>-3</v>
      </c>
      <c r="AG749" s="17" t="n">
        <v>-1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8" t="n">
        <v>0</v>
      </c>
      <c r="AN749" s="16" t="n">
        <v>3836</v>
      </c>
      <c r="AO749" s="17" t="n">
        <v>0</v>
      </c>
      <c r="AP749" s="17" t="n">
        <v>0</v>
      </c>
      <c r="AQ749" s="17" t="n">
        <v>2885</v>
      </c>
      <c r="AR749" s="17" t="n">
        <v>951</v>
      </c>
      <c r="AS749" s="17" t="n">
        <v>0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8" t="n">
        <v>0</v>
      </c>
      <c r="AY749" s="16" t="n">
        <v>0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8" t="n">
        <v>0</v>
      </c>
      <c r="BJ749" s="16" t="n">
        <v>3836</v>
      </c>
      <c r="BK749" s="17" t="n">
        <v>0</v>
      </c>
      <c r="BL749" s="17" t="n">
        <v>0</v>
      </c>
      <c r="BM749" s="17" t="n">
        <v>2885</v>
      </c>
      <c r="BN749" s="17" t="n">
        <v>951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8" t="n">
        <v>0</v>
      </c>
      <c r="BU749" s="17" t="inlineStr">
        <is>
          <t>Unclassified</t>
        </is>
      </c>
    </row>
    <row r="750" ht="20" customHeight="1">
      <c r="A750" s="15" t="inlineStr">
        <is>
          <t>72205028060</t>
        </is>
      </c>
      <c r="B750" s="15" t="inlineStr">
        <is>
          <t>SACUBITRIL-VALSARTAN 24-26 MG ORAL TABLET</t>
        </is>
      </c>
      <c r="C750" s="16" t="n">
        <v>60</v>
      </c>
      <c r="D750" s="16" t="n">
        <v>0</v>
      </c>
      <c r="E750" s="16" t="n">
        <v>0</v>
      </c>
      <c r="F750" s="16" t="n">
        <v>0</v>
      </c>
      <c r="G750" s="16" t="n">
        <v>900</v>
      </c>
      <c r="H750" s="17" t="n">
        <v>0</v>
      </c>
      <c r="I750" s="17" t="n">
        <v>0</v>
      </c>
      <c r="J750" s="17" t="n">
        <v>540</v>
      </c>
      <c r="K750" s="17" t="n">
        <v>0</v>
      </c>
      <c r="L750" s="17" t="n">
        <v>0</v>
      </c>
      <c r="M750" s="17" t="n">
        <v>180</v>
      </c>
      <c r="N750" s="17" t="n">
        <v>180</v>
      </c>
      <c r="O750" s="17" t="n">
        <v>0</v>
      </c>
      <c r="P750" s="17" t="n">
        <v>0</v>
      </c>
      <c r="Q750" s="18" t="n">
        <v>0</v>
      </c>
      <c r="R750" s="16" t="n">
        <v>15</v>
      </c>
      <c r="S750" s="17" t="n">
        <v>0</v>
      </c>
      <c r="T750" s="17" t="n">
        <v>0</v>
      </c>
      <c r="U750" s="17" t="n">
        <v>9</v>
      </c>
      <c r="V750" s="17" t="n">
        <v>0</v>
      </c>
      <c r="W750" s="17" t="n">
        <v>0</v>
      </c>
      <c r="X750" s="17" t="n">
        <v>3</v>
      </c>
      <c r="Y750" s="17" t="n">
        <v>3</v>
      </c>
      <c r="Z750" s="17" t="n">
        <v>0</v>
      </c>
      <c r="AA750" s="17" t="n">
        <v>0</v>
      </c>
      <c r="AB750" s="18" t="n">
        <v>0</v>
      </c>
      <c r="AC750" s="16" t="n">
        <v>-15</v>
      </c>
      <c r="AD750" s="17" t="n">
        <v>0</v>
      </c>
      <c r="AE750" s="17" t="n">
        <v>0</v>
      </c>
      <c r="AF750" s="17" t="n">
        <v>-9</v>
      </c>
      <c r="AG750" s="17" t="n">
        <v>0</v>
      </c>
      <c r="AH750" s="17" t="n">
        <v>0</v>
      </c>
      <c r="AI750" s="17" t="n">
        <v>-3</v>
      </c>
      <c r="AJ750" s="17" t="n">
        <v>-3</v>
      </c>
      <c r="AK750" s="17" t="n">
        <v>0</v>
      </c>
      <c r="AL750" s="17" t="n">
        <v>0</v>
      </c>
      <c r="AM750" s="18" t="n">
        <v>0</v>
      </c>
      <c r="AN750" s="16" t="n">
        <v>618</v>
      </c>
      <c r="AO750" s="17" t="n">
        <v>0</v>
      </c>
      <c r="AP750" s="17" t="n">
        <v>0</v>
      </c>
      <c r="AQ750" s="17" t="n">
        <v>285</v>
      </c>
      <c r="AR750" s="17" t="n">
        <v>0</v>
      </c>
      <c r="AS750" s="17" t="n">
        <v>0</v>
      </c>
      <c r="AT750" s="17" t="n">
        <v>177</v>
      </c>
      <c r="AU750" s="17" t="n">
        <v>132</v>
      </c>
      <c r="AV750" s="17" t="n">
        <v>0</v>
      </c>
      <c r="AW750" s="17" t="n">
        <v>0</v>
      </c>
      <c r="AX750" s="18" t="n">
        <v>0</v>
      </c>
      <c r="AY750" s="16" t="n">
        <v>0</v>
      </c>
      <c r="AZ750" s="17" t="n">
        <v>0</v>
      </c>
      <c r="BA750" s="17" t="n">
        <v>0</v>
      </c>
      <c r="BB750" s="17" t="n">
        <v>0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7" t="n">
        <v>0</v>
      </c>
      <c r="BI750" s="18" t="n">
        <v>0</v>
      </c>
      <c r="BJ750" s="16" t="n">
        <v>618</v>
      </c>
      <c r="BK750" s="17" t="n">
        <v>0</v>
      </c>
      <c r="BL750" s="17" t="n">
        <v>0</v>
      </c>
      <c r="BM750" s="17" t="n">
        <v>285</v>
      </c>
      <c r="BN750" s="17" t="n">
        <v>0</v>
      </c>
      <c r="BO750" s="17" t="n">
        <v>0</v>
      </c>
      <c r="BP750" s="17" t="n">
        <v>177</v>
      </c>
      <c r="BQ750" s="17" t="n">
        <v>132</v>
      </c>
      <c r="BR750" s="17" t="n">
        <v>0</v>
      </c>
      <c r="BS750" s="17" t="n">
        <v>0</v>
      </c>
      <c r="BT750" s="18" t="n">
        <v>0</v>
      </c>
      <c r="BU750" s="17" t="inlineStr">
        <is>
          <t>Unclassified</t>
        </is>
      </c>
    </row>
    <row r="751" ht="20" customHeight="1">
      <c r="A751" s="15" t="inlineStr">
        <is>
          <t>72205028160</t>
        </is>
      </c>
      <c r="B751" s="15" t="inlineStr">
        <is>
          <t>SACUBITRIL-VALSARTAN 49-51 MG ORAL TABLET</t>
        </is>
      </c>
      <c r="C751" s="16" t="n">
        <v>60</v>
      </c>
      <c r="D751" s="16" t="n">
        <v>6</v>
      </c>
      <c r="E751" s="16" t="n">
        <v>6</v>
      </c>
      <c r="F751" s="16" t="n">
        <v>27</v>
      </c>
      <c r="G751" s="16" t="n">
        <v>240</v>
      </c>
      <c r="H751" s="17" t="n">
        <v>0</v>
      </c>
      <c r="I751" s="17" t="n">
        <v>0</v>
      </c>
      <c r="J751" s="17" t="n">
        <v>180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60</v>
      </c>
      <c r="P751" s="17" t="n">
        <v>0</v>
      </c>
      <c r="Q751" s="18" t="n">
        <v>0</v>
      </c>
      <c r="R751" s="16" t="n">
        <v>4</v>
      </c>
      <c r="S751" s="17" t="n">
        <v>0</v>
      </c>
      <c r="T751" s="17" t="n">
        <v>0</v>
      </c>
      <c r="U751" s="17" t="n">
        <v>3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1</v>
      </c>
      <c r="AA751" s="17" t="n">
        <v>0</v>
      </c>
      <c r="AB751" s="18" t="n">
        <v>0</v>
      </c>
      <c r="AC751" s="16" t="n">
        <v>2</v>
      </c>
      <c r="AD751" s="17" t="n">
        <v>6</v>
      </c>
      <c r="AE751" s="17" t="n">
        <v>6</v>
      </c>
      <c r="AF751" s="17" t="n">
        <v>3</v>
      </c>
      <c r="AG751" s="17" t="n">
        <v>6</v>
      </c>
      <c r="AH751" s="17" t="n">
        <v>6</v>
      </c>
      <c r="AI751" s="17" t="n">
        <v>6</v>
      </c>
      <c r="AJ751" s="17" t="n">
        <v>6</v>
      </c>
      <c r="AK751" s="17" t="n">
        <v>5</v>
      </c>
      <c r="AL751" s="17" t="n">
        <v>6</v>
      </c>
      <c r="AM751" s="18" t="n">
        <v>6</v>
      </c>
      <c r="AN751" s="16" t="n">
        <v>491</v>
      </c>
      <c r="AO751" s="17" t="n">
        <v>0</v>
      </c>
      <c r="AP751" s="17" t="n">
        <v>0</v>
      </c>
      <c r="AQ751" s="17" t="n">
        <v>364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106</v>
      </c>
      <c r="AW751" s="17" t="n">
        <v>0</v>
      </c>
      <c r="AX751" s="18" t="n">
        <v>0</v>
      </c>
      <c r="AY751" s="16" t="n">
        <v>108</v>
      </c>
      <c r="AZ751" s="17" t="n">
        <v>0</v>
      </c>
      <c r="BA751" s="17" t="n">
        <v>0</v>
      </c>
      <c r="BB751" s="17" t="n">
        <v>81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27</v>
      </c>
      <c r="BH751" s="17" t="n">
        <v>0</v>
      </c>
      <c r="BI751" s="18" t="n">
        <v>0</v>
      </c>
      <c r="BJ751" s="16" t="n">
        <v>383</v>
      </c>
      <c r="BK751" s="17" t="n">
        <v>0</v>
      </c>
      <c r="BL751" s="17" t="n">
        <v>0</v>
      </c>
      <c r="BM751" s="17" t="n">
        <v>283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79</v>
      </c>
      <c r="BS751" s="17" t="n">
        <v>0</v>
      </c>
      <c r="BT751" s="18" t="n">
        <v>0</v>
      </c>
      <c r="BU751" s="17" t="inlineStr">
        <is>
          <t>Generic Drug</t>
        </is>
      </c>
    </row>
    <row r="752" ht="20" customHeight="1">
      <c r="A752" s="15" t="inlineStr">
        <is>
          <t>43598064418</t>
        </is>
      </c>
      <c r="B752" s="15" t="inlineStr">
        <is>
          <t>SACUBITRIL-VALSARTAN 49-51 MG ORAL TABLET</t>
        </is>
      </c>
      <c r="C752" s="16" t="n">
        <v>180</v>
      </c>
      <c r="D752" s="16" t="n">
        <v>0</v>
      </c>
      <c r="E752" s="16" t="n">
        <v>0</v>
      </c>
      <c r="F752" s="16" t="n">
        <v>0</v>
      </c>
      <c r="G752" s="16" t="n">
        <v>360</v>
      </c>
      <c r="H752" s="17" t="n">
        <v>0</v>
      </c>
      <c r="I752" s="17" t="n">
        <v>0</v>
      </c>
      <c r="J752" s="17" t="n">
        <v>360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8" t="n">
        <v>0</v>
      </c>
      <c r="R752" s="16" t="n">
        <v>2</v>
      </c>
      <c r="S752" s="17" t="n">
        <v>0</v>
      </c>
      <c r="T752" s="17" t="n">
        <v>0</v>
      </c>
      <c r="U752" s="17" t="n">
        <v>2</v>
      </c>
      <c r="V752" s="17" t="n">
        <v>0</v>
      </c>
      <c r="W752" s="17" t="n">
        <v>0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8" t="n">
        <v>0</v>
      </c>
      <c r="AC752" s="16" t="n">
        <v>-2</v>
      </c>
      <c r="AD752" s="17" t="n">
        <v>0</v>
      </c>
      <c r="AE752" s="17" t="n">
        <v>0</v>
      </c>
      <c r="AF752" s="17" t="n">
        <v>-2</v>
      </c>
      <c r="AG752" s="17" t="n">
        <v>0</v>
      </c>
      <c r="AH752" s="17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8" t="n">
        <v>0</v>
      </c>
      <c r="AN752" s="16" t="n">
        <v>388</v>
      </c>
      <c r="AO752" s="17" t="n">
        <v>0</v>
      </c>
      <c r="AP752" s="17" t="n">
        <v>0</v>
      </c>
      <c r="AQ752" s="17" t="n">
        <v>332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8" t="n">
        <v>0</v>
      </c>
      <c r="AY752" s="16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7" t="n">
        <v>0</v>
      </c>
      <c r="BG752" s="17" t="n">
        <v>0</v>
      </c>
      <c r="BH752" s="17" t="n">
        <v>0</v>
      </c>
      <c r="BI752" s="18" t="n">
        <v>0</v>
      </c>
      <c r="BJ752" s="16" t="n">
        <v>388</v>
      </c>
      <c r="BK752" s="17" t="n">
        <v>0</v>
      </c>
      <c r="BL752" s="17" t="n">
        <v>0</v>
      </c>
      <c r="BM752" s="17" t="n">
        <v>332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7" t="n">
        <v>0</v>
      </c>
      <c r="BT752" s="18" t="n">
        <v>0</v>
      </c>
      <c r="BU752" s="17" t="inlineStr">
        <is>
          <t>Unclassified</t>
        </is>
      </c>
    </row>
    <row r="753" ht="20" customHeight="1">
      <c r="A753" s="15" t="inlineStr">
        <is>
          <t>72205028260</t>
        </is>
      </c>
      <c r="B753" s="15" t="inlineStr">
        <is>
          <t>SACUBITRIL-VALSARTAN 97-103 MG ORAL TABLET</t>
        </is>
      </c>
      <c r="C753" s="16" t="n">
        <v>60</v>
      </c>
      <c r="D753" s="16" t="n">
        <v>0</v>
      </c>
      <c r="E753" s="16" t="n">
        <v>0</v>
      </c>
      <c r="F753" s="16" t="n">
        <v>0</v>
      </c>
      <c r="G753" s="16" t="n">
        <v>360</v>
      </c>
      <c r="H753" s="17" t="n">
        <v>0</v>
      </c>
      <c r="I753" s="17" t="n">
        <v>0</v>
      </c>
      <c r="J753" s="17" t="n">
        <v>0</v>
      </c>
      <c r="K753" s="17" t="n">
        <v>0</v>
      </c>
      <c r="L753" s="17" t="n">
        <v>0</v>
      </c>
      <c r="M753" s="17" t="n">
        <v>180</v>
      </c>
      <c r="N753" s="17" t="n">
        <v>180</v>
      </c>
      <c r="O753" s="17" t="n">
        <v>0</v>
      </c>
      <c r="P753" s="17" t="n">
        <v>0</v>
      </c>
      <c r="Q753" s="18" t="n">
        <v>0</v>
      </c>
      <c r="R753" s="16" t="n">
        <v>6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3</v>
      </c>
      <c r="Y753" s="17" t="n">
        <v>3</v>
      </c>
      <c r="Z753" s="17" t="n">
        <v>0</v>
      </c>
      <c r="AA753" s="17" t="n">
        <v>0</v>
      </c>
      <c r="AB753" s="18" t="n">
        <v>0</v>
      </c>
      <c r="AC753" s="16" t="n">
        <v>-6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-3</v>
      </c>
      <c r="AJ753" s="17" t="n">
        <v>-3</v>
      </c>
      <c r="AK753" s="17" t="n">
        <v>0</v>
      </c>
      <c r="AL753" s="17" t="n">
        <v>0</v>
      </c>
      <c r="AM753" s="18" t="n">
        <v>0</v>
      </c>
      <c r="AN753" s="16" t="n">
        <v>343</v>
      </c>
      <c r="AO753" s="17" t="n">
        <v>0</v>
      </c>
      <c r="AP753" s="17" t="n">
        <v>0</v>
      </c>
      <c r="AQ753" s="17" t="n">
        <v>0</v>
      </c>
      <c r="AR753" s="17" t="n">
        <v>0</v>
      </c>
      <c r="AS753" s="17" t="n">
        <v>0</v>
      </c>
      <c r="AT753" s="17" t="n">
        <v>187</v>
      </c>
      <c r="AU753" s="17" t="n">
        <v>155</v>
      </c>
      <c r="AV753" s="17" t="n">
        <v>0</v>
      </c>
      <c r="AW753" s="17" t="n">
        <v>0</v>
      </c>
      <c r="AX753" s="18" t="n">
        <v>0</v>
      </c>
      <c r="AY753" s="16" t="n">
        <v>0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8" t="n">
        <v>0</v>
      </c>
      <c r="BJ753" s="16" t="n">
        <v>343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187</v>
      </c>
      <c r="BQ753" s="17" t="n">
        <v>155</v>
      </c>
      <c r="BR753" s="17" t="n">
        <v>0</v>
      </c>
      <c r="BS753" s="17" t="n">
        <v>0</v>
      </c>
      <c r="BT753" s="18" t="n">
        <v>0</v>
      </c>
      <c r="BU753" s="17" t="inlineStr">
        <is>
          <t>Unclassified</t>
        </is>
      </c>
    </row>
    <row r="754" ht="20" customHeight="1">
      <c r="A754" s="15" t="inlineStr">
        <is>
          <t>45802035758</t>
        </is>
      </c>
      <c r="B754" s="15" t="inlineStr">
        <is>
          <t>SALINE MIST SPRAY 0.65 % NASAL SOLUTION *NYM</t>
        </is>
      </c>
      <c r="C754" s="16" t="n">
        <v>45</v>
      </c>
      <c r="D754" s="16" t="n">
        <v>0</v>
      </c>
      <c r="E754" s="16" t="n">
        <v>0</v>
      </c>
      <c r="F754" s="16" t="n">
        <v>0</v>
      </c>
      <c r="G754" s="16" t="n">
        <v>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270</v>
      </c>
      <c r="O754" s="17" t="n">
        <v>0</v>
      </c>
      <c r="P754" s="17" t="n">
        <v>0</v>
      </c>
      <c r="Q754" s="18" t="n">
        <v>0</v>
      </c>
      <c r="R754" s="16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6</v>
      </c>
      <c r="Z754" s="17" t="n">
        <v>0</v>
      </c>
      <c r="AA754" s="17" t="n">
        <v>0</v>
      </c>
      <c r="AB754" s="18" t="n">
        <v>0</v>
      </c>
      <c r="AC754" s="16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-6</v>
      </c>
      <c r="AK754" s="17" t="n">
        <v>0</v>
      </c>
      <c r="AL754" s="17" t="n">
        <v>0</v>
      </c>
      <c r="AM754" s="18" t="n">
        <v>0</v>
      </c>
      <c r="AN754" s="16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0</v>
      </c>
      <c r="AT754" s="17" t="n">
        <v>0</v>
      </c>
      <c r="AU754" s="17" t="n">
        <v>10</v>
      </c>
      <c r="AV754" s="17" t="n">
        <v>0</v>
      </c>
      <c r="AW754" s="17" t="n">
        <v>0</v>
      </c>
      <c r="AX754" s="18" t="n">
        <v>0</v>
      </c>
      <c r="AY754" s="16" t="n">
        <v>0</v>
      </c>
      <c r="AZ754" s="17" t="n">
        <v>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0</v>
      </c>
      <c r="BF754" s="17" t="n">
        <v>0</v>
      </c>
      <c r="BG754" s="17" t="n">
        <v>0</v>
      </c>
      <c r="BH754" s="17" t="n">
        <v>0</v>
      </c>
      <c r="BI754" s="18" t="n">
        <v>0</v>
      </c>
      <c r="BJ754" s="16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0</v>
      </c>
      <c r="BP754" s="17" t="n">
        <v>0</v>
      </c>
      <c r="BQ754" s="17" t="n">
        <v>10</v>
      </c>
      <c r="BR754" s="17" t="n">
        <v>0</v>
      </c>
      <c r="BS754" s="17" t="n">
        <v>0</v>
      </c>
      <c r="BT754" s="18" t="n">
        <v>0</v>
      </c>
      <c r="BU754" s="17" t="inlineStr">
        <is>
          <t>Unclassified</t>
        </is>
      </c>
    </row>
    <row r="755" ht="20" customHeight="1">
      <c r="A755" s="15" t="inlineStr">
        <is>
          <t>50484001090</t>
        </is>
      </c>
      <c r="B755" s="15" t="inlineStr">
        <is>
          <t>SANTYL 250 UNIT/GM EXTERNAL OINTMENT</t>
        </is>
      </c>
      <c r="C755" s="16" t="n">
        <v>90</v>
      </c>
      <c r="D755" s="16" t="n">
        <v>1</v>
      </c>
      <c r="E755" s="16" t="n">
        <v>1</v>
      </c>
      <c r="F755" s="16" t="n">
        <v>924</v>
      </c>
      <c r="G755" s="16" t="n">
        <v>180</v>
      </c>
      <c r="H755" s="17" t="n">
        <v>0</v>
      </c>
      <c r="I755" s="17" t="n">
        <v>0</v>
      </c>
      <c r="J755" s="17" t="n">
        <v>180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8" t="n">
        <v>0</v>
      </c>
      <c r="R755" s="16" t="n">
        <v>2</v>
      </c>
      <c r="S755" s="17" t="n">
        <v>0</v>
      </c>
      <c r="T755" s="17" t="n">
        <v>0</v>
      </c>
      <c r="U755" s="17" t="n">
        <v>2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8" t="n">
        <v>0</v>
      </c>
      <c r="AC755" s="16" t="n">
        <v>-1</v>
      </c>
      <c r="AD755" s="17" t="n">
        <v>1</v>
      </c>
      <c r="AE755" s="17" t="n">
        <v>1</v>
      </c>
      <c r="AF755" s="17" t="n">
        <v>-1</v>
      </c>
      <c r="AG755" s="17" t="n">
        <v>1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8" t="n">
        <v>1</v>
      </c>
      <c r="AN755" s="16" t="n">
        <v>1916</v>
      </c>
      <c r="AO755" s="17" t="n">
        <v>0</v>
      </c>
      <c r="AP755" s="17" t="n">
        <v>0</v>
      </c>
      <c r="AQ755" s="17" t="n">
        <v>1916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8" t="n">
        <v>0</v>
      </c>
      <c r="AY755" s="16" t="n">
        <v>1848</v>
      </c>
      <c r="AZ755" s="17" t="n">
        <v>0</v>
      </c>
      <c r="BA755" s="17" t="n">
        <v>0</v>
      </c>
      <c r="BB755" s="17" t="n">
        <v>1848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8" t="n">
        <v>0</v>
      </c>
      <c r="BJ755" s="16" t="n">
        <v>68</v>
      </c>
      <c r="BK755" s="17" t="n">
        <v>0</v>
      </c>
      <c r="BL755" s="17" t="n">
        <v>0</v>
      </c>
      <c r="BM755" s="17" t="n">
        <v>68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8" t="n">
        <v>0</v>
      </c>
      <c r="BU755" s="17" t="inlineStr">
        <is>
          <t>Branded Drug</t>
        </is>
      </c>
    </row>
    <row r="756" ht="20" customHeight="1">
      <c r="A756" s="15" t="inlineStr">
        <is>
          <t>50742050504</t>
        </is>
      </c>
      <c r="B756" s="15" t="inlineStr">
        <is>
          <t>SCOPOLAMINE 1 MG/3DAYS TRANSDERMAL PATCH 72 HOUR</t>
        </is>
      </c>
      <c r="C756" s="16" t="n">
        <v>4</v>
      </c>
      <c r="D756" s="16" t="n">
        <v>4</v>
      </c>
      <c r="E756" s="16" t="n">
        <v>4</v>
      </c>
      <c r="F756" s="16" t="n">
        <v>27</v>
      </c>
      <c r="G756" s="16" t="n">
        <v>13</v>
      </c>
      <c r="H756" s="17" t="n">
        <v>0</v>
      </c>
      <c r="I756" s="17" t="n">
        <v>0</v>
      </c>
      <c r="J756" s="17" t="n">
        <v>4</v>
      </c>
      <c r="K756" s="17" t="n">
        <v>9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0</v>
      </c>
      <c r="Q756" s="18" t="n">
        <v>0</v>
      </c>
      <c r="R756" s="16" t="n">
        <v>3.25</v>
      </c>
      <c r="S756" s="17" t="n">
        <v>0</v>
      </c>
      <c r="T756" s="17" t="n">
        <v>0</v>
      </c>
      <c r="U756" s="17" t="n">
        <v>1</v>
      </c>
      <c r="V756" s="17" t="n">
        <v>2.25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8" t="n">
        <v>0</v>
      </c>
      <c r="AC756" s="16" t="n">
        <v>0.75</v>
      </c>
      <c r="AD756" s="17" t="n">
        <v>4</v>
      </c>
      <c r="AE756" s="17" t="n">
        <v>4</v>
      </c>
      <c r="AF756" s="17" t="n">
        <v>3</v>
      </c>
      <c r="AG756" s="17" t="n">
        <v>1.75</v>
      </c>
      <c r="AH756" s="17" t="n">
        <v>4</v>
      </c>
      <c r="AI756" s="17" t="n">
        <v>4</v>
      </c>
      <c r="AJ756" s="17" t="n">
        <v>4</v>
      </c>
      <c r="AK756" s="17" t="n">
        <v>4</v>
      </c>
      <c r="AL756" s="17" t="n">
        <v>4</v>
      </c>
      <c r="AM756" s="18" t="n">
        <v>4</v>
      </c>
      <c r="AN756" s="16" t="n">
        <v>94</v>
      </c>
      <c r="AO756" s="17" t="n">
        <v>0</v>
      </c>
      <c r="AP756" s="17" t="n">
        <v>0</v>
      </c>
      <c r="AQ756" s="17" t="n">
        <v>20</v>
      </c>
      <c r="AR756" s="17" t="n">
        <v>74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8" t="n">
        <v>0</v>
      </c>
      <c r="AY756" s="16" t="n">
        <v>88</v>
      </c>
      <c r="AZ756" s="17" t="n">
        <v>0</v>
      </c>
      <c r="BA756" s="17" t="n">
        <v>0</v>
      </c>
      <c r="BB756" s="17" t="n">
        <v>27</v>
      </c>
      <c r="BC756" s="17" t="n">
        <v>61</v>
      </c>
      <c r="BD756" s="17" t="n">
        <v>0</v>
      </c>
      <c r="BE756" s="17" t="n">
        <v>0</v>
      </c>
      <c r="BF756" s="17" t="n">
        <v>0</v>
      </c>
      <c r="BG756" s="17" t="n">
        <v>0</v>
      </c>
      <c r="BH756" s="17" t="n">
        <v>0</v>
      </c>
      <c r="BI756" s="18" t="n">
        <v>0</v>
      </c>
      <c r="BJ756" s="16" t="n">
        <v>6</v>
      </c>
      <c r="BK756" s="17" t="n">
        <v>0</v>
      </c>
      <c r="BL756" s="17" t="n">
        <v>0</v>
      </c>
      <c r="BM756" s="17" t="n">
        <v>-7</v>
      </c>
      <c r="BN756" s="17" t="n">
        <v>14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7" t="n">
        <v>0</v>
      </c>
      <c r="BT756" s="18" t="n">
        <v>0</v>
      </c>
      <c r="BU756" s="17" t="inlineStr">
        <is>
          <t>Generic Drug</t>
        </is>
      </c>
    </row>
    <row r="757" ht="20" customHeight="1">
      <c r="A757" s="15" t="inlineStr">
        <is>
          <t>50742050510</t>
        </is>
      </c>
      <c r="B757" s="15" t="inlineStr">
        <is>
          <t>SCOPOLAMINE 1 MG/3DAYS TRANSDERMAL PATCH 72 HOUR</t>
        </is>
      </c>
      <c r="C757" s="16" t="n">
        <v>10</v>
      </c>
      <c r="D757" s="16" t="n">
        <v>0</v>
      </c>
      <c r="E757" s="16" t="n">
        <v>0</v>
      </c>
      <c r="F757" s="16" t="n">
        <v>0</v>
      </c>
      <c r="G757" s="16" t="n">
        <v>10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10</v>
      </c>
      <c r="O757" s="17" t="n">
        <v>0</v>
      </c>
      <c r="P757" s="17" t="n">
        <v>0</v>
      </c>
      <c r="Q757" s="18" t="n">
        <v>0</v>
      </c>
      <c r="R757" s="16" t="n">
        <v>1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8" t="n">
        <v>0</v>
      </c>
      <c r="AC757" s="16" t="n">
        <v>-1</v>
      </c>
      <c r="AD757" s="17" t="n">
        <v>0</v>
      </c>
      <c r="AE757" s="17" t="n">
        <v>0</v>
      </c>
      <c r="AF757" s="17" t="n">
        <v>0</v>
      </c>
      <c r="AG757" s="17" t="n">
        <v>0</v>
      </c>
      <c r="AH757" s="17" t="n">
        <v>0</v>
      </c>
      <c r="AI757" s="17" t="n">
        <v>0</v>
      </c>
      <c r="AJ757" s="17" t="n">
        <v>-1</v>
      </c>
      <c r="AK757" s="17" t="n">
        <v>0</v>
      </c>
      <c r="AL757" s="17" t="n">
        <v>0</v>
      </c>
      <c r="AM757" s="18" t="n">
        <v>0</v>
      </c>
      <c r="AN757" s="16" t="n">
        <v>60</v>
      </c>
      <c r="AO757" s="17" t="n">
        <v>0</v>
      </c>
      <c r="AP757" s="17" t="n">
        <v>0</v>
      </c>
      <c r="AQ757" s="17" t="n">
        <v>0</v>
      </c>
      <c r="AR757" s="17" t="n">
        <v>0</v>
      </c>
      <c r="AS757" s="17" t="n">
        <v>0</v>
      </c>
      <c r="AT757" s="17" t="n">
        <v>0</v>
      </c>
      <c r="AU757" s="17" t="n">
        <v>60</v>
      </c>
      <c r="AV757" s="17" t="n">
        <v>0</v>
      </c>
      <c r="AW757" s="17" t="n">
        <v>0</v>
      </c>
      <c r="AX757" s="18" t="n">
        <v>0</v>
      </c>
      <c r="AY757" s="16" t="n">
        <v>0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8" t="n">
        <v>0</v>
      </c>
      <c r="BJ757" s="16" t="n">
        <v>60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60</v>
      </c>
      <c r="BR757" s="17" t="n">
        <v>0</v>
      </c>
      <c r="BS757" s="17" t="n">
        <v>0</v>
      </c>
      <c r="BT757" s="18" t="n">
        <v>0</v>
      </c>
      <c r="BU757" s="17" t="inlineStr">
        <is>
          <t>Unclassified</t>
        </is>
      </c>
    </row>
    <row r="758" ht="20" customHeight="1">
      <c r="A758" s="15" t="inlineStr">
        <is>
          <t>00006537303</t>
        </is>
      </c>
      <c r="B758" s="15" t="inlineStr">
        <is>
          <t>SEGLUROMET 2.5-1000MG TABLET</t>
        </is>
      </c>
      <c r="C758" s="16" t="n">
        <v>60</v>
      </c>
      <c r="D758" s="16" t="n">
        <v>0</v>
      </c>
      <c r="E758" s="16" t="n">
        <v>0</v>
      </c>
      <c r="F758" s="16" t="n">
        <v>0</v>
      </c>
      <c r="G758" s="16" t="n">
        <v>60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0</v>
      </c>
      <c r="M758" s="17" t="n">
        <v>0</v>
      </c>
      <c r="N758" s="17" t="n">
        <v>60</v>
      </c>
      <c r="O758" s="17" t="n">
        <v>0</v>
      </c>
      <c r="P758" s="17" t="n">
        <v>0</v>
      </c>
      <c r="Q758" s="18" t="n">
        <v>0</v>
      </c>
      <c r="R758" s="16" t="n">
        <v>1</v>
      </c>
      <c r="S758" s="17" t="n">
        <v>0</v>
      </c>
      <c r="T758" s="17" t="n">
        <v>0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8" t="n">
        <v>0</v>
      </c>
      <c r="AC758" s="16" t="n">
        <v>-1</v>
      </c>
      <c r="AD758" s="17" t="n">
        <v>0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n">
        <v>0</v>
      </c>
      <c r="AJ758" s="17" t="n">
        <v>-1</v>
      </c>
      <c r="AK758" s="17" t="n">
        <v>0</v>
      </c>
      <c r="AL758" s="17" t="n">
        <v>0</v>
      </c>
      <c r="AM758" s="18" t="n">
        <v>0</v>
      </c>
      <c r="AN758" s="16" t="n">
        <v>353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7" t="n">
        <v>0</v>
      </c>
      <c r="AT758" s="17" t="n">
        <v>0</v>
      </c>
      <c r="AU758" s="17" t="n">
        <v>353</v>
      </c>
      <c r="AV758" s="17" t="n">
        <v>0</v>
      </c>
      <c r="AW758" s="17" t="n">
        <v>0</v>
      </c>
      <c r="AX758" s="18" t="n">
        <v>0</v>
      </c>
      <c r="AY758" s="16" t="n">
        <v>0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7" t="n">
        <v>0</v>
      </c>
      <c r="BG758" s="17" t="n">
        <v>0</v>
      </c>
      <c r="BH758" s="17" t="n">
        <v>0</v>
      </c>
      <c r="BI758" s="18" t="n">
        <v>0</v>
      </c>
      <c r="BJ758" s="16" t="n">
        <v>353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353</v>
      </c>
      <c r="BR758" s="17" t="n">
        <v>0</v>
      </c>
      <c r="BS758" s="17" t="n">
        <v>0</v>
      </c>
      <c r="BT758" s="18" t="n">
        <v>0</v>
      </c>
      <c r="BU758" s="17" t="inlineStr">
        <is>
          <t>Unclassified</t>
        </is>
      </c>
    </row>
    <row r="759" ht="20" customHeight="1">
      <c r="A759" s="15" t="inlineStr">
        <is>
          <t>83257001233</t>
        </is>
      </c>
      <c r="B759" s="15" t="inlineStr">
        <is>
          <t>SEMGLEE (YFGN) 100 UNIT/ML PEN-INJECTOR</t>
        </is>
      </c>
      <c r="C759" s="16" t="n">
        <v>15</v>
      </c>
      <c r="D759" s="16" t="n">
        <v>0</v>
      </c>
      <c r="E759" s="16" t="n">
        <v>0</v>
      </c>
      <c r="F759" s="16" t="n">
        <v>0</v>
      </c>
      <c r="G759" s="16" t="n">
        <v>27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27</v>
      </c>
      <c r="Q759" s="18" t="n">
        <v>0</v>
      </c>
      <c r="R759" s="16" t="n">
        <v>1.8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1.8</v>
      </c>
      <c r="AB759" s="18" t="n">
        <v>0</v>
      </c>
      <c r="AC759" s="16" t="n">
        <v>-1.8</v>
      </c>
      <c r="AD759" s="17" t="n">
        <v>0</v>
      </c>
      <c r="AE759" s="17" t="n">
        <v>0</v>
      </c>
      <c r="AF759" s="17" t="n">
        <v>0</v>
      </c>
      <c r="AG759" s="17" t="n">
        <v>0</v>
      </c>
      <c r="AH759" s="17" t="n">
        <v>0</v>
      </c>
      <c r="AI759" s="17" t="n">
        <v>0</v>
      </c>
      <c r="AJ759" s="17" t="n">
        <v>0</v>
      </c>
      <c r="AK759" s="17" t="n">
        <v>0</v>
      </c>
      <c r="AL759" s="17" t="n">
        <v>-1.8</v>
      </c>
      <c r="AM759" s="18" t="n">
        <v>0</v>
      </c>
      <c r="AN759" s="16" t="n">
        <v>673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0</v>
      </c>
      <c r="AW759" s="17" t="n">
        <v>673</v>
      </c>
      <c r="AX759" s="18" t="n">
        <v>0</v>
      </c>
      <c r="AY759" s="16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8" t="n">
        <v>0</v>
      </c>
      <c r="BJ759" s="16" t="n">
        <v>673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673</v>
      </c>
      <c r="BT759" s="18" t="n">
        <v>0</v>
      </c>
      <c r="BU759" s="17" t="inlineStr">
        <is>
          <t>Unclassified</t>
        </is>
      </c>
    </row>
    <row r="760" ht="20" customHeight="1">
      <c r="A760" s="15" t="inlineStr">
        <is>
          <t>00904725280</t>
        </is>
      </c>
      <c r="B760" s="15" t="inlineStr">
        <is>
          <t>SENNA 8.6 MG TABLET *NYM</t>
        </is>
      </c>
      <c r="C760" s="16" t="n">
        <v>1000</v>
      </c>
      <c r="D760" s="16" t="n">
        <v>0</v>
      </c>
      <c r="E760" s="16" t="n">
        <v>0</v>
      </c>
      <c r="F760" s="16" t="n">
        <v>0</v>
      </c>
      <c r="G760" s="16" t="n">
        <v>0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1150</v>
      </c>
      <c r="O760" s="17" t="n">
        <v>0</v>
      </c>
      <c r="P760" s="17" t="n">
        <v>0</v>
      </c>
      <c r="Q760" s="18" t="n">
        <v>0</v>
      </c>
      <c r="R760" s="16" t="n">
        <v>0</v>
      </c>
      <c r="S760" s="17" t="n">
        <v>0</v>
      </c>
      <c r="T760" s="17" t="n">
        <v>0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1.15</v>
      </c>
      <c r="Z760" s="17" t="n">
        <v>0</v>
      </c>
      <c r="AA760" s="17" t="n">
        <v>0</v>
      </c>
      <c r="AB760" s="18" t="n">
        <v>0</v>
      </c>
      <c r="AC760" s="16" t="n">
        <v>0</v>
      </c>
      <c r="AD760" s="17" t="n">
        <v>0</v>
      </c>
      <c r="AE760" s="17" t="n">
        <v>0</v>
      </c>
      <c r="AF760" s="17" t="n">
        <v>0</v>
      </c>
      <c r="AG760" s="17" t="n">
        <v>0</v>
      </c>
      <c r="AH760" s="17" t="n">
        <v>0</v>
      </c>
      <c r="AI760" s="17" t="n">
        <v>0</v>
      </c>
      <c r="AJ760" s="17" t="n">
        <v>-1.15</v>
      </c>
      <c r="AK760" s="17" t="n">
        <v>0</v>
      </c>
      <c r="AL760" s="17" t="n">
        <v>0</v>
      </c>
      <c r="AM760" s="18" t="n">
        <v>0</v>
      </c>
      <c r="AN760" s="16" t="n">
        <v>0</v>
      </c>
      <c r="AO760" s="17" t="n">
        <v>0</v>
      </c>
      <c r="AP760" s="17" t="n">
        <v>0</v>
      </c>
      <c r="AQ760" s="17" t="n">
        <v>0</v>
      </c>
      <c r="AR760" s="17" t="n">
        <v>0</v>
      </c>
      <c r="AS760" s="17" t="n">
        <v>0</v>
      </c>
      <c r="AT760" s="17" t="n">
        <v>0</v>
      </c>
      <c r="AU760" s="17" t="n">
        <v>168</v>
      </c>
      <c r="AV760" s="17" t="n">
        <v>0</v>
      </c>
      <c r="AW760" s="17" t="n">
        <v>0</v>
      </c>
      <c r="AX760" s="18" t="n">
        <v>0</v>
      </c>
      <c r="AY760" s="16" t="n">
        <v>0</v>
      </c>
      <c r="AZ760" s="17" t="n">
        <v>0</v>
      </c>
      <c r="BA760" s="17" t="n">
        <v>0</v>
      </c>
      <c r="BB760" s="17" t="n">
        <v>0</v>
      </c>
      <c r="BC760" s="17" t="n">
        <v>0</v>
      </c>
      <c r="BD760" s="17" t="n">
        <v>0</v>
      </c>
      <c r="BE760" s="17" t="n">
        <v>0</v>
      </c>
      <c r="BF760" s="17" t="n">
        <v>0</v>
      </c>
      <c r="BG760" s="17" t="n">
        <v>0</v>
      </c>
      <c r="BH760" s="17" t="n">
        <v>0</v>
      </c>
      <c r="BI760" s="18" t="n">
        <v>0</v>
      </c>
      <c r="BJ760" s="16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0</v>
      </c>
      <c r="BP760" s="17" t="n">
        <v>0</v>
      </c>
      <c r="BQ760" s="17" t="n">
        <v>168</v>
      </c>
      <c r="BR760" s="17" t="n">
        <v>0</v>
      </c>
      <c r="BS760" s="17" t="n">
        <v>0</v>
      </c>
      <c r="BT760" s="18" t="n">
        <v>0</v>
      </c>
      <c r="BU760" s="17" t="inlineStr">
        <is>
          <t>Unclassified</t>
        </is>
      </c>
    </row>
    <row r="761" ht="20" customHeight="1">
      <c r="A761" s="15" t="inlineStr">
        <is>
          <t>00536126659</t>
        </is>
      </c>
      <c r="B761" s="15" t="inlineStr">
        <is>
          <t>SENNA 8.8 MG/5ML ORAL LIQUID</t>
        </is>
      </c>
      <c r="C761" s="16" t="n">
        <v>237</v>
      </c>
      <c r="D761" s="16" t="n">
        <v>2</v>
      </c>
      <c r="E761" s="16" t="n">
        <v>2</v>
      </c>
      <c r="F761" s="16" t="n">
        <v>10</v>
      </c>
      <c r="G761" s="16" t="n">
        <v>0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387</v>
      </c>
      <c r="O761" s="17" t="n">
        <v>0</v>
      </c>
      <c r="P761" s="17" t="n">
        <v>0</v>
      </c>
      <c r="Q761" s="18" t="n">
        <v>0</v>
      </c>
      <c r="R761" s="16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1.633</v>
      </c>
      <c r="Z761" s="17" t="n">
        <v>0</v>
      </c>
      <c r="AA761" s="17" t="n">
        <v>0</v>
      </c>
      <c r="AB761" s="18" t="n">
        <v>0</v>
      </c>
      <c r="AC761" s="16" t="n">
        <v>2</v>
      </c>
      <c r="AD761" s="17" t="n">
        <v>2</v>
      </c>
      <c r="AE761" s="17" t="n">
        <v>2</v>
      </c>
      <c r="AF761" s="17" t="n">
        <v>2</v>
      </c>
      <c r="AG761" s="17" t="n">
        <v>2</v>
      </c>
      <c r="AH761" s="17" t="n">
        <v>2</v>
      </c>
      <c r="AI761" s="17" t="n">
        <v>2</v>
      </c>
      <c r="AJ761" s="17" t="n">
        <v>0.367</v>
      </c>
      <c r="AK761" s="17" t="n">
        <v>2</v>
      </c>
      <c r="AL761" s="17" t="n">
        <v>2</v>
      </c>
      <c r="AM761" s="18" t="n">
        <v>2</v>
      </c>
      <c r="AN761" s="16" t="n">
        <v>0</v>
      </c>
      <c r="AO761" s="17" t="n">
        <v>0</v>
      </c>
      <c r="AP761" s="17" t="n">
        <v>0</v>
      </c>
      <c r="AQ761" s="17" t="n">
        <v>0</v>
      </c>
      <c r="AR761" s="17" t="n">
        <v>0</v>
      </c>
      <c r="AS761" s="17" t="n">
        <v>0</v>
      </c>
      <c r="AT761" s="17" t="n">
        <v>0</v>
      </c>
      <c r="AU761" s="17" t="n">
        <v>34</v>
      </c>
      <c r="AV761" s="17" t="n">
        <v>0</v>
      </c>
      <c r="AW761" s="17" t="n">
        <v>0</v>
      </c>
      <c r="AX761" s="18" t="n">
        <v>0</v>
      </c>
      <c r="AY761" s="16" t="n">
        <v>0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16</v>
      </c>
      <c r="BG761" s="17" t="n">
        <v>0</v>
      </c>
      <c r="BH761" s="17" t="n">
        <v>0</v>
      </c>
      <c r="BI761" s="18" t="n">
        <v>0</v>
      </c>
      <c r="BJ761" s="16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18</v>
      </c>
      <c r="BR761" s="17" t="n">
        <v>0</v>
      </c>
      <c r="BS761" s="17" t="n">
        <v>0</v>
      </c>
      <c r="BT761" s="18" t="n">
        <v>0</v>
      </c>
      <c r="BU761" s="17" t="inlineStr">
        <is>
          <t>OTC Drug</t>
        </is>
      </c>
    </row>
    <row r="762" ht="20" customHeight="1">
      <c r="A762" s="15" t="inlineStr">
        <is>
          <t>65862001305</t>
        </is>
      </c>
      <c r="B762" s="15" t="inlineStr">
        <is>
          <t>SERTRALINE 100MG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330</v>
      </c>
      <c r="H762" s="17" t="n">
        <v>0</v>
      </c>
      <c r="I762" s="17" t="n">
        <v>0</v>
      </c>
      <c r="J762" s="17" t="n">
        <v>150</v>
      </c>
      <c r="K762" s="17" t="n">
        <v>0</v>
      </c>
      <c r="L762" s="17" t="n">
        <v>0</v>
      </c>
      <c r="M762" s="17" t="n">
        <v>0</v>
      </c>
      <c r="N762" s="17" t="n">
        <v>180</v>
      </c>
      <c r="O762" s="17" t="n">
        <v>0</v>
      </c>
      <c r="P762" s="17" t="n">
        <v>0</v>
      </c>
      <c r="Q762" s="18" t="n">
        <v>0</v>
      </c>
      <c r="R762" s="16" t="n">
        <v>0.66</v>
      </c>
      <c r="S762" s="17" t="n">
        <v>0</v>
      </c>
      <c r="T762" s="17" t="n">
        <v>0</v>
      </c>
      <c r="U762" s="17" t="n">
        <v>0.3</v>
      </c>
      <c r="V762" s="17" t="n">
        <v>0</v>
      </c>
      <c r="W762" s="17" t="n">
        <v>0</v>
      </c>
      <c r="X762" s="17" t="n">
        <v>0</v>
      </c>
      <c r="Y762" s="17" t="n">
        <v>0.36</v>
      </c>
      <c r="Z762" s="17" t="n">
        <v>0</v>
      </c>
      <c r="AA762" s="17" t="n">
        <v>0</v>
      </c>
      <c r="AB762" s="18" t="n">
        <v>0</v>
      </c>
      <c r="AC762" s="16" t="n">
        <v>-0.66</v>
      </c>
      <c r="AD762" s="17" t="n">
        <v>0</v>
      </c>
      <c r="AE762" s="17" t="n">
        <v>0</v>
      </c>
      <c r="AF762" s="17" t="n">
        <v>-0.3</v>
      </c>
      <c r="AG762" s="17" t="n">
        <v>0</v>
      </c>
      <c r="AH762" s="17" t="n">
        <v>0</v>
      </c>
      <c r="AI762" s="17" t="n">
        <v>0</v>
      </c>
      <c r="AJ762" s="17" t="n">
        <v>-0.36</v>
      </c>
      <c r="AK762" s="17" t="n">
        <v>0</v>
      </c>
      <c r="AL762" s="17" t="n">
        <v>0</v>
      </c>
      <c r="AM762" s="18" t="n">
        <v>0</v>
      </c>
      <c r="AN762" s="16" t="n">
        <v>35</v>
      </c>
      <c r="AO762" s="17" t="n">
        <v>0</v>
      </c>
      <c r="AP762" s="17" t="n">
        <v>0</v>
      </c>
      <c r="AQ762" s="17" t="n">
        <v>4</v>
      </c>
      <c r="AR762" s="17" t="n">
        <v>0</v>
      </c>
      <c r="AS762" s="17" t="n">
        <v>0</v>
      </c>
      <c r="AT762" s="17" t="n">
        <v>0</v>
      </c>
      <c r="AU762" s="17" t="n">
        <v>27</v>
      </c>
      <c r="AV762" s="17" t="n">
        <v>0</v>
      </c>
      <c r="AW762" s="17" t="n">
        <v>0</v>
      </c>
      <c r="AX762" s="18" t="n">
        <v>0</v>
      </c>
      <c r="AY762" s="16" t="n">
        <v>0</v>
      </c>
      <c r="AZ762" s="17" t="n">
        <v>0</v>
      </c>
      <c r="BA762" s="17" t="n">
        <v>0</v>
      </c>
      <c r="BB762" s="17" t="n">
        <v>0</v>
      </c>
      <c r="BC762" s="17" t="n">
        <v>0</v>
      </c>
      <c r="BD762" s="17" t="n">
        <v>0</v>
      </c>
      <c r="BE762" s="17" t="n">
        <v>0</v>
      </c>
      <c r="BF762" s="17" t="n">
        <v>0</v>
      </c>
      <c r="BG762" s="17" t="n">
        <v>0</v>
      </c>
      <c r="BH762" s="17" t="n">
        <v>0</v>
      </c>
      <c r="BI762" s="18" t="n">
        <v>0</v>
      </c>
      <c r="BJ762" s="16" t="n">
        <v>35</v>
      </c>
      <c r="BK762" s="17" t="n">
        <v>0</v>
      </c>
      <c r="BL762" s="17" t="n">
        <v>0</v>
      </c>
      <c r="BM762" s="17" t="n">
        <v>4</v>
      </c>
      <c r="BN762" s="17" t="n">
        <v>0</v>
      </c>
      <c r="BO762" s="17" t="n">
        <v>0</v>
      </c>
      <c r="BP762" s="17" t="n">
        <v>0</v>
      </c>
      <c r="BQ762" s="17" t="n">
        <v>27</v>
      </c>
      <c r="BR762" s="17" t="n">
        <v>0</v>
      </c>
      <c r="BS762" s="17" t="n">
        <v>0</v>
      </c>
      <c r="BT762" s="18" t="n">
        <v>0</v>
      </c>
      <c r="BU762" s="17" t="inlineStr">
        <is>
          <t>Unclassified</t>
        </is>
      </c>
    </row>
    <row r="763" ht="20" customHeight="1">
      <c r="A763" s="15" t="inlineStr">
        <is>
          <t>65862001105</t>
        </is>
      </c>
      <c r="B763" s="15" t="inlineStr">
        <is>
          <t>SERTRALINE 25MG TABLET</t>
        </is>
      </c>
      <c r="C763" s="16" t="n">
        <v>500</v>
      </c>
      <c r="D763" s="16" t="n">
        <v>0</v>
      </c>
      <c r="E763" s="16" t="n">
        <v>0</v>
      </c>
      <c r="F763" s="16" t="n">
        <v>0</v>
      </c>
      <c r="G763" s="16" t="n">
        <v>330</v>
      </c>
      <c r="H763" s="17" t="n">
        <v>0</v>
      </c>
      <c r="I763" s="17" t="n">
        <v>30</v>
      </c>
      <c r="J763" s="17" t="n">
        <v>210</v>
      </c>
      <c r="K763" s="17" t="n">
        <v>0</v>
      </c>
      <c r="L763" s="17" t="n">
        <v>0</v>
      </c>
      <c r="M763" s="17" t="n">
        <v>0</v>
      </c>
      <c r="N763" s="17" t="n">
        <v>90</v>
      </c>
      <c r="O763" s="17" t="n">
        <v>0</v>
      </c>
      <c r="P763" s="17" t="n">
        <v>0</v>
      </c>
      <c r="Q763" s="18" t="n">
        <v>0</v>
      </c>
      <c r="R763" s="16" t="n">
        <v>0.66</v>
      </c>
      <c r="S763" s="17" t="n">
        <v>0</v>
      </c>
      <c r="T763" s="17" t="n">
        <v>0.06</v>
      </c>
      <c r="U763" s="17" t="n">
        <v>0.42</v>
      </c>
      <c r="V763" s="17" t="n">
        <v>0</v>
      </c>
      <c r="W763" s="17" t="n">
        <v>0</v>
      </c>
      <c r="X763" s="17" t="n">
        <v>0</v>
      </c>
      <c r="Y763" s="17" t="n">
        <v>0.18</v>
      </c>
      <c r="Z763" s="17" t="n">
        <v>0</v>
      </c>
      <c r="AA763" s="17" t="n">
        <v>0</v>
      </c>
      <c r="AB763" s="18" t="n">
        <v>0</v>
      </c>
      <c r="AC763" s="16" t="n">
        <v>-0.66</v>
      </c>
      <c r="AD763" s="17" t="n">
        <v>0</v>
      </c>
      <c r="AE763" s="17" t="n">
        <v>-0.06</v>
      </c>
      <c r="AF763" s="17" t="n">
        <v>-0.42</v>
      </c>
      <c r="AG763" s="17" t="n">
        <v>0</v>
      </c>
      <c r="AH763" s="17" t="n">
        <v>0</v>
      </c>
      <c r="AI763" s="17" t="n">
        <v>0</v>
      </c>
      <c r="AJ763" s="17" t="n">
        <v>-0.18</v>
      </c>
      <c r="AK763" s="17" t="n">
        <v>0</v>
      </c>
      <c r="AL763" s="17" t="n">
        <v>0</v>
      </c>
      <c r="AM763" s="18" t="n">
        <v>0</v>
      </c>
      <c r="AN763" s="16" t="n">
        <v>38</v>
      </c>
      <c r="AO763" s="17" t="n">
        <v>0</v>
      </c>
      <c r="AP763" s="17" t="n">
        <v>2</v>
      </c>
      <c r="AQ763" s="17" t="n">
        <v>1</v>
      </c>
      <c r="AR763" s="17" t="n">
        <v>0</v>
      </c>
      <c r="AS763" s="17" t="n">
        <v>0</v>
      </c>
      <c r="AT763" s="17" t="n">
        <v>0</v>
      </c>
      <c r="AU763" s="17" t="n">
        <v>33</v>
      </c>
      <c r="AV763" s="17" t="n">
        <v>0</v>
      </c>
      <c r="AW763" s="17" t="n">
        <v>0</v>
      </c>
      <c r="AX763" s="18" t="n">
        <v>0</v>
      </c>
      <c r="AY763" s="16" t="n">
        <v>0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8" t="n">
        <v>0</v>
      </c>
      <c r="BJ763" s="16" t="n">
        <v>38</v>
      </c>
      <c r="BK763" s="17" t="n">
        <v>0</v>
      </c>
      <c r="BL763" s="17" t="n">
        <v>2</v>
      </c>
      <c r="BM763" s="17" t="n">
        <v>1</v>
      </c>
      <c r="BN763" s="17" t="n">
        <v>0</v>
      </c>
      <c r="BO763" s="17" t="n">
        <v>0</v>
      </c>
      <c r="BP763" s="17" t="n">
        <v>0</v>
      </c>
      <c r="BQ763" s="17" t="n">
        <v>33</v>
      </c>
      <c r="BR763" s="17" t="n">
        <v>0</v>
      </c>
      <c r="BS763" s="17" t="n">
        <v>0</v>
      </c>
      <c r="BT763" s="18" t="n">
        <v>0</v>
      </c>
      <c r="BU763" s="17" t="inlineStr">
        <is>
          <t>Unclassified</t>
        </is>
      </c>
    </row>
    <row r="764" ht="20" customHeight="1">
      <c r="A764" s="15" t="inlineStr">
        <is>
          <t>65862001205</t>
        </is>
      </c>
      <c r="B764" s="15" t="inlineStr">
        <is>
          <t>SERTRALINE 50MG TABLET</t>
        </is>
      </c>
      <c r="C764" s="16" t="n">
        <v>500</v>
      </c>
      <c r="D764" s="16" t="n">
        <v>2</v>
      </c>
      <c r="E764" s="16" t="n">
        <v>2</v>
      </c>
      <c r="F764" s="16" t="n">
        <v>13</v>
      </c>
      <c r="G764" s="16" t="n">
        <v>405</v>
      </c>
      <c r="H764" s="17" t="n">
        <v>0</v>
      </c>
      <c r="I764" s="17" t="n">
        <v>0</v>
      </c>
      <c r="J764" s="17" t="n">
        <v>195</v>
      </c>
      <c r="K764" s="17" t="n">
        <v>30</v>
      </c>
      <c r="L764" s="17" t="n">
        <v>0</v>
      </c>
      <c r="M764" s="17" t="n">
        <v>0</v>
      </c>
      <c r="N764" s="17" t="n">
        <v>180</v>
      </c>
      <c r="O764" s="17" t="n">
        <v>0</v>
      </c>
      <c r="P764" s="17" t="n">
        <v>0</v>
      </c>
      <c r="Q764" s="18" t="n">
        <v>0</v>
      </c>
      <c r="R764" s="16" t="n">
        <v>0.8100000000000001</v>
      </c>
      <c r="S764" s="17" t="n">
        <v>0</v>
      </c>
      <c r="T764" s="17" t="n">
        <v>0</v>
      </c>
      <c r="U764" s="17" t="n">
        <v>0.39</v>
      </c>
      <c r="V764" s="17" t="n">
        <v>0.06</v>
      </c>
      <c r="W764" s="17" t="n">
        <v>0</v>
      </c>
      <c r="X764" s="17" t="n">
        <v>0</v>
      </c>
      <c r="Y764" s="17" t="n">
        <v>0.36</v>
      </c>
      <c r="Z764" s="17" t="n">
        <v>0</v>
      </c>
      <c r="AA764" s="17" t="n">
        <v>0</v>
      </c>
      <c r="AB764" s="18" t="n">
        <v>0</v>
      </c>
      <c r="AC764" s="16" t="n">
        <v>1.19</v>
      </c>
      <c r="AD764" s="17" t="n">
        <v>2</v>
      </c>
      <c r="AE764" s="17" t="n">
        <v>2</v>
      </c>
      <c r="AF764" s="17" t="n">
        <v>1.61</v>
      </c>
      <c r="AG764" s="17" t="n">
        <v>1.94</v>
      </c>
      <c r="AH764" s="17" t="n">
        <v>2</v>
      </c>
      <c r="AI764" s="17" t="n">
        <v>2</v>
      </c>
      <c r="AJ764" s="17" t="n">
        <v>1.64</v>
      </c>
      <c r="AK764" s="17" t="n">
        <v>2</v>
      </c>
      <c r="AL764" s="17" t="n">
        <v>2</v>
      </c>
      <c r="AM764" s="18" t="n">
        <v>2</v>
      </c>
      <c r="AN764" s="16" t="n">
        <v>52</v>
      </c>
      <c r="AO764" s="17" t="n">
        <v>0</v>
      </c>
      <c r="AP764" s="17" t="n">
        <v>0</v>
      </c>
      <c r="AQ764" s="17" t="n">
        <v>5</v>
      </c>
      <c r="AR764" s="17" t="n">
        <v>0</v>
      </c>
      <c r="AS764" s="17" t="n">
        <v>0</v>
      </c>
      <c r="AT764" s="17" t="n">
        <v>0</v>
      </c>
      <c r="AU764" s="17" t="n">
        <v>46</v>
      </c>
      <c r="AV764" s="17" t="n">
        <v>0</v>
      </c>
      <c r="AW764" s="17" t="n">
        <v>0</v>
      </c>
      <c r="AX764" s="18" t="n">
        <v>0</v>
      </c>
      <c r="AY764" s="16" t="n">
        <v>11</v>
      </c>
      <c r="AZ764" s="17" t="n">
        <v>0</v>
      </c>
      <c r="BA764" s="17" t="n">
        <v>0</v>
      </c>
      <c r="BB764" s="17" t="n">
        <v>5</v>
      </c>
      <c r="BC764" s="17" t="n">
        <v>1</v>
      </c>
      <c r="BD764" s="17" t="n">
        <v>0</v>
      </c>
      <c r="BE764" s="17" t="n">
        <v>0</v>
      </c>
      <c r="BF764" s="17" t="n">
        <v>5</v>
      </c>
      <c r="BG764" s="17" t="n">
        <v>0</v>
      </c>
      <c r="BH764" s="17" t="n">
        <v>0</v>
      </c>
      <c r="BI764" s="18" t="n">
        <v>0</v>
      </c>
      <c r="BJ764" s="16" t="n">
        <v>41</v>
      </c>
      <c r="BK764" s="17" t="n">
        <v>0</v>
      </c>
      <c r="BL764" s="17" t="n">
        <v>0</v>
      </c>
      <c r="BM764" s="17" t="n">
        <v>0</v>
      </c>
      <c r="BN764" s="17" t="n">
        <v>-1</v>
      </c>
      <c r="BO764" s="17" t="n">
        <v>0</v>
      </c>
      <c r="BP764" s="17" t="n">
        <v>0</v>
      </c>
      <c r="BQ764" s="17" t="n">
        <v>41</v>
      </c>
      <c r="BR764" s="17" t="n">
        <v>0</v>
      </c>
      <c r="BS764" s="17" t="n">
        <v>0</v>
      </c>
      <c r="BT764" s="18" t="n">
        <v>0</v>
      </c>
      <c r="BU764" s="17" t="inlineStr">
        <is>
          <t>Generic Drug</t>
        </is>
      </c>
    </row>
    <row r="765" ht="20" customHeight="1">
      <c r="A765" s="15" t="inlineStr">
        <is>
          <t>58160082311</t>
        </is>
      </c>
      <c r="B765" s="15" t="inlineStr">
        <is>
          <t>SHINGRIX 50 MCG/0.5ML IM SUSP RECON</t>
        </is>
      </c>
      <c r="C765" s="16" t="n">
        <v>10</v>
      </c>
      <c r="D765" s="16" t="n">
        <v>0</v>
      </c>
      <c r="E765" s="16" t="n">
        <v>0</v>
      </c>
      <c r="F765" s="16" t="n">
        <v>0</v>
      </c>
      <c r="G765" s="16" t="n">
        <v>3</v>
      </c>
      <c r="H765" s="17" t="n">
        <v>0</v>
      </c>
      <c r="I765" s="17" t="n">
        <v>0</v>
      </c>
      <c r="J765" s="17" t="n">
        <v>0</v>
      </c>
      <c r="K765" s="17" t="n">
        <v>1</v>
      </c>
      <c r="L765" s="17" t="n">
        <v>0</v>
      </c>
      <c r="M765" s="17" t="n">
        <v>1</v>
      </c>
      <c r="N765" s="17" t="n">
        <v>1</v>
      </c>
      <c r="O765" s="17" t="n">
        <v>0</v>
      </c>
      <c r="P765" s="17" t="n">
        <v>0</v>
      </c>
      <c r="Q765" s="18" t="n">
        <v>0</v>
      </c>
      <c r="R765" s="16" t="n">
        <v>0.3</v>
      </c>
      <c r="S765" s="17" t="n">
        <v>0</v>
      </c>
      <c r="T765" s="17" t="n">
        <v>0</v>
      </c>
      <c r="U765" s="17" t="n">
        <v>0</v>
      </c>
      <c r="V765" s="17" t="n">
        <v>0.1</v>
      </c>
      <c r="W765" s="17" t="n">
        <v>0</v>
      </c>
      <c r="X765" s="17" t="n">
        <v>0.1</v>
      </c>
      <c r="Y765" s="17" t="n">
        <v>0.1</v>
      </c>
      <c r="Z765" s="17" t="n">
        <v>0</v>
      </c>
      <c r="AA765" s="17" t="n">
        <v>0</v>
      </c>
      <c r="AB765" s="18" t="n">
        <v>0</v>
      </c>
      <c r="AC765" s="16" t="n">
        <v>-0.3</v>
      </c>
      <c r="AD765" s="17" t="n">
        <v>0</v>
      </c>
      <c r="AE765" s="17" t="n">
        <v>0</v>
      </c>
      <c r="AF765" s="17" t="n">
        <v>0</v>
      </c>
      <c r="AG765" s="17" t="n">
        <v>-0.1</v>
      </c>
      <c r="AH765" s="17" t="n">
        <v>0</v>
      </c>
      <c r="AI765" s="17" t="n">
        <v>-0.1</v>
      </c>
      <c r="AJ765" s="17" t="n">
        <v>-0.1</v>
      </c>
      <c r="AK765" s="17" t="n">
        <v>0</v>
      </c>
      <c r="AL765" s="17" t="n">
        <v>0</v>
      </c>
      <c r="AM765" s="18" t="n">
        <v>0</v>
      </c>
      <c r="AN765" s="16" t="n">
        <v>676</v>
      </c>
      <c r="AO765" s="17" t="n">
        <v>0</v>
      </c>
      <c r="AP765" s="17" t="n">
        <v>0</v>
      </c>
      <c r="AQ765" s="17" t="n">
        <v>0</v>
      </c>
      <c r="AR765" s="17" t="n">
        <v>228</v>
      </c>
      <c r="AS765" s="17" t="n">
        <v>0</v>
      </c>
      <c r="AT765" s="17" t="n">
        <v>238</v>
      </c>
      <c r="AU765" s="17" t="n">
        <v>211</v>
      </c>
      <c r="AV765" s="17" t="n">
        <v>0</v>
      </c>
      <c r="AW765" s="17" t="n">
        <v>0</v>
      </c>
      <c r="AX765" s="18" t="n">
        <v>0</v>
      </c>
      <c r="AY765" s="16" t="n">
        <v>0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8" t="n">
        <v>0</v>
      </c>
      <c r="BJ765" s="16" t="n">
        <v>676</v>
      </c>
      <c r="BK765" s="17" t="n">
        <v>0</v>
      </c>
      <c r="BL765" s="17" t="n">
        <v>0</v>
      </c>
      <c r="BM765" s="17" t="n">
        <v>0</v>
      </c>
      <c r="BN765" s="17" t="n">
        <v>228</v>
      </c>
      <c r="BO765" s="17" t="n">
        <v>0</v>
      </c>
      <c r="BP765" s="17" t="n">
        <v>238</v>
      </c>
      <c r="BQ765" s="17" t="n">
        <v>211</v>
      </c>
      <c r="BR765" s="17" t="n">
        <v>0</v>
      </c>
      <c r="BS765" s="17" t="n">
        <v>0</v>
      </c>
      <c r="BT765" s="18" t="n">
        <v>0</v>
      </c>
      <c r="BU765" s="17" t="inlineStr">
        <is>
          <t>Unclassified</t>
        </is>
      </c>
    </row>
    <row r="766" ht="20" customHeight="1">
      <c r="A766" s="15" t="inlineStr">
        <is>
          <t>67877012405</t>
        </is>
      </c>
      <c r="B766" s="15" t="inlineStr">
        <is>
          <t>SILVER SULFADIAZINE 1 % EXTERNAL CREAM</t>
        </is>
      </c>
      <c r="C766" s="16" t="n">
        <v>50</v>
      </c>
      <c r="D766" s="16" t="n">
        <v>0</v>
      </c>
      <c r="E766" s="16" t="n">
        <v>0</v>
      </c>
      <c r="F766" s="16" t="n">
        <v>0</v>
      </c>
      <c r="G766" s="16" t="n">
        <v>150</v>
      </c>
      <c r="H766" s="17" t="n">
        <v>0</v>
      </c>
      <c r="I766" s="17" t="n">
        <v>0</v>
      </c>
      <c r="J766" s="17" t="n">
        <v>50</v>
      </c>
      <c r="K766" s="17" t="n">
        <v>0</v>
      </c>
      <c r="L766" s="17" t="n">
        <v>0</v>
      </c>
      <c r="M766" s="17" t="n">
        <v>50</v>
      </c>
      <c r="N766" s="17" t="n">
        <v>50</v>
      </c>
      <c r="O766" s="17" t="n">
        <v>0</v>
      </c>
      <c r="P766" s="17" t="n">
        <v>0</v>
      </c>
      <c r="Q766" s="18" t="n">
        <v>0</v>
      </c>
      <c r="R766" s="16" t="n">
        <v>3</v>
      </c>
      <c r="S766" s="17" t="n">
        <v>0</v>
      </c>
      <c r="T766" s="17" t="n">
        <v>0</v>
      </c>
      <c r="U766" s="17" t="n">
        <v>1</v>
      </c>
      <c r="V766" s="17" t="n">
        <v>0</v>
      </c>
      <c r="W766" s="17" t="n">
        <v>0</v>
      </c>
      <c r="X766" s="17" t="n">
        <v>1</v>
      </c>
      <c r="Y766" s="17" t="n">
        <v>1</v>
      </c>
      <c r="Z766" s="17" t="n">
        <v>0</v>
      </c>
      <c r="AA766" s="17" t="n">
        <v>0</v>
      </c>
      <c r="AB766" s="18" t="n">
        <v>0</v>
      </c>
      <c r="AC766" s="16" t="n">
        <v>-3</v>
      </c>
      <c r="AD766" s="17" t="n">
        <v>0</v>
      </c>
      <c r="AE766" s="17" t="n">
        <v>0</v>
      </c>
      <c r="AF766" s="17" t="n">
        <v>-1</v>
      </c>
      <c r="AG766" s="17" t="n">
        <v>0</v>
      </c>
      <c r="AH766" s="17" t="n">
        <v>0</v>
      </c>
      <c r="AI766" s="17" t="n">
        <v>-1</v>
      </c>
      <c r="AJ766" s="17" t="n">
        <v>-1</v>
      </c>
      <c r="AK766" s="17" t="n">
        <v>0</v>
      </c>
      <c r="AL766" s="17" t="n">
        <v>0</v>
      </c>
      <c r="AM766" s="18" t="n">
        <v>0</v>
      </c>
      <c r="AN766" s="16" t="n">
        <v>33</v>
      </c>
      <c r="AO766" s="17" t="n">
        <v>0</v>
      </c>
      <c r="AP766" s="17" t="n">
        <v>0</v>
      </c>
      <c r="AQ766" s="17" t="n">
        <v>2</v>
      </c>
      <c r="AR766" s="17" t="n">
        <v>0</v>
      </c>
      <c r="AS766" s="17" t="n">
        <v>0</v>
      </c>
      <c r="AT766" s="17" t="n">
        <v>9</v>
      </c>
      <c r="AU766" s="17" t="n">
        <v>18</v>
      </c>
      <c r="AV766" s="17" t="n">
        <v>0</v>
      </c>
      <c r="AW766" s="17" t="n">
        <v>0</v>
      </c>
      <c r="AX766" s="18" t="n">
        <v>0</v>
      </c>
      <c r="AY766" s="16" t="n">
        <v>0</v>
      </c>
      <c r="AZ766" s="17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7" t="n">
        <v>0</v>
      </c>
      <c r="BI766" s="18" t="n">
        <v>0</v>
      </c>
      <c r="BJ766" s="16" t="n">
        <v>33</v>
      </c>
      <c r="BK766" s="17" t="n">
        <v>0</v>
      </c>
      <c r="BL766" s="17" t="n">
        <v>0</v>
      </c>
      <c r="BM766" s="17" t="n">
        <v>2</v>
      </c>
      <c r="BN766" s="17" t="n">
        <v>0</v>
      </c>
      <c r="BO766" s="17" t="n">
        <v>0</v>
      </c>
      <c r="BP766" s="17" t="n">
        <v>9</v>
      </c>
      <c r="BQ766" s="17" t="n">
        <v>18</v>
      </c>
      <c r="BR766" s="17" t="n">
        <v>0</v>
      </c>
      <c r="BS766" s="17" t="n">
        <v>0</v>
      </c>
      <c r="BT766" s="18" t="n">
        <v>0</v>
      </c>
      <c r="BU766" s="17" t="inlineStr">
        <is>
          <t>Unclassified</t>
        </is>
      </c>
    </row>
    <row r="767" ht="20" customHeight="1">
      <c r="A767" s="15" t="inlineStr">
        <is>
          <t>00065414727</t>
        </is>
      </c>
      <c r="B767" s="15" t="inlineStr">
        <is>
          <t>SIMBRINZA 1-0.2 % OPHTHALMIC SUSPENSION</t>
        </is>
      </c>
      <c r="C767" s="16" t="n">
        <v>8</v>
      </c>
      <c r="D767" s="16" t="n">
        <v>0</v>
      </c>
      <c r="E767" s="16" t="n">
        <v>0</v>
      </c>
      <c r="F767" s="16" t="n">
        <v>0</v>
      </c>
      <c r="G767" s="16" t="n">
        <v>8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8</v>
      </c>
      <c r="P767" s="17" t="n">
        <v>0</v>
      </c>
      <c r="Q767" s="18" t="n">
        <v>0</v>
      </c>
      <c r="R767" s="16" t="n">
        <v>1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0</v>
      </c>
      <c r="Y767" s="17" t="n">
        <v>0</v>
      </c>
      <c r="Z767" s="17" t="n">
        <v>1</v>
      </c>
      <c r="AA767" s="17" t="n">
        <v>0</v>
      </c>
      <c r="AB767" s="18" t="n">
        <v>0</v>
      </c>
      <c r="AC767" s="16" t="n">
        <v>-1</v>
      </c>
      <c r="AD767" s="17" t="n">
        <v>0</v>
      </c>
      <c r="AE767" s="17" t="n">
        <v>0</v>
      </c>
      <c r="AF767" s="17" t="n">
        <v>0</v>
      </c>
      <c r="AG767" s="17" t="n">
        <v>0</v>
      </c>
      <c r="AH767" s="17" t="n">
        <v>0</v>
      </c>
      <c r="AI767" s="17" t="n">
        <v>0</v>
      </c>
      <c r="AJ767" s="17" t="n">
        <v>0</v>
      </c>
      <c r="AK767" s="17" t="n">
        <v>-1</v>
      </c>
      <c r="AL767" s="17" t="n">
        <v>0</v>
      </c>
      <c r="AM767" s="18" t="n">
        <v>0</v>
      </c>
      <c r="AN767" s="16" t="n">
        <v>219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219</v>
      </c>
      <c r="AW767" s="17" t="n">
        <v>0</v>
      </c>
      <c r="AX767" s="18" t="n">
        <v>0</v>
      </c>
      <c r="AY767" s="16" t="n">
        <v>0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8" t="n">
        <v>0</v>
      </c>
      <c r="BJ767" s="16" t="n">
        <v>219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219</v>
      </c>
      <c r="BS767" s="17" t="n">
        <v>0</v>
      </c>
      <c r="BT767" s="18" t="n">
        <v>0</v>
      </c>
      <c r="BU767" s="17" t="inlineStr">
        <is>
          <t>Unclassified</t>
        </is>
      </c>
    </row>
    <row r="768" ht="20" customHeight="1">
      <c r="A768" s="15" t="inlineStr">
        <is>
          <t>70377000215</t>
        </is>
      </c>
      <c r="B768" s="15" t="inlineStr">
        <is>
          <t>SIMVASTATIN 10MG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30</v>
      </c>
      <c r="K768" s="17" t="n">
        <v>0</v>
      </c>
      <c r="L768" s="17" t="n">
        <v>0</v>
      </c>
      <c r="M768" s="17" t="n">
        <v>0</v>
      </c>
      <c r="N768" s="17" t="n">
        <v>0</v>
      </c>
      <c r="O768" s="17" t="n">
        <v>0</v>
      </c>
      <c r="P768" s="17" t="n">
        <v>0</v>
      </c>
      <c r="Q768" s="18" t="n">
        <v>0</v>
      </c>
      <c r="R768" s="16" t="n">
        <v>0.03</v>
      </c>
      <c r="S768" s="17" t="n">
        <v>0</v>
      </c>
      <c r="T768" s="17" t="n">
        <v>0</v>
      </c>
      <c r="U768" s="17" t="n">
        <v>0.03</v>
      </c>
      <c r="V768" s="17" t="n">
        <v>0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8" t="n">
        <v>0</v>
      </c>
      <c r="AC768" s="16" t="n">
        <v>-0.03</v>
      </c>
      <c r="AD768" s="17" t="n">
        <v>0</v>
      </c>
      <c r="AE768" s="17" t="n">
        <v>0</v>
      </c>
      <c r="AF768" s="17" t="n">
        <v>-0.03</v>
      </c>
      <c r="AG768" s="17" t="n">
        <v>0</v>
      </c>
      <c r="AH768" s="17" t="n">
        <v>0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8" t="n">
        <v>0</v>
      </c>
      <c r="AN768" s="16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8" t="n">
        <v>0</v>
      </c>
      <c r="AY768" s="16" t="n">
        <v>0</v>
      </c>
      <c r="AZ768" s="17" t="n">
        <v>0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7" t="n">
        <v>0</v>
      </c>
      <c r="BI768" s="18" t="n">
        <v>0</v>
      </c>
      <c r="BJ768" s="16" t="n">
        <v>0</v>
      </c>
      <c r="BK768" s="17" t="n">
        <v>0</v>
      </c>
      <c r="BL768" s="17" t="n">
        <v>0</v>
      </c>
      <c r="BM768" s="17" t="n">
        <v>0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7" t="n">
        <v>0</v>
      </c>
      <c r="BT768" s="18" t="n">
        <v>0</v>
      </c>
      <c r="BU768" s="17" t="inlineStr">
        <is>
          <t>Unclassified</t>
        </is>
      </c>
    </row>
    <row r="769" ht="20" customHeight="1">
      <c r="A769" s="15" t="inlineStr">
        <is>
          <t>16729000517</t>
        </is>
      </c>
      <c r="B769" s="15" t="inlineStr">
        <is>
          <t>SIMVASTATIN 20MG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930</v>
      </c>
      <c r="H769" s="17" t="n">
        <v>0</v>
      </c>
      <c r="I769" s="17" t="n">
        <v>0</v>
      </c>
      <c r="J769" s="17" t="n">
        <v>510</v>
      </c>
      <c r="K769" s="17" t="n">
        <v>120</v>
      </c>
      <c r="L769" s="17" t="n">
        <v>0</v>
      </c>
      <c r="M769" s="17" t="n">
        <v>0</v>
      </c>
      <c r="N769" s="17" t="n">
        <v>90</v>
      </c>
      <c r="O769" s="17" t="n">
        <v>210</v>
      </c>
      <c r="P769" s="17" t="n">
        <v>0</v>
      </c>
      <c r="Q769" s="18" t="n">
        <v>0</v>
      </c>
      <c r="R769" s="16" t="n">
        <v>0.93</v>
      </c>
      <c r="S769" s="17" t="n">
        <v>0</v>
      </c>
      <c r="T769" s="17" t="n">
        <v>0</v>
      </c>
      <c r="U769" s="17" t="n">
        <v>0.51</v>
      </c>
      <c r="V769" s="17" t="n">
        <v>0.12</v>
      </c>
      <c r="W769" s="17" t="n">
        <v>0</v>
      </c>
      <c r="X769" s="17" t="n">
        <v>0</v>
      </c>
      <c r="Y769" s="17" t="n">
        <v>0.09</v>
      </c>
      <c r="Z769" s="17" t="n">
        <v>0.21</v>
      </c>
      <c r="AA769" s="17" t="n">
        <v>0</v>
      </c>
      <c r="AB769" s="18" t="n">
        <v>0</v>
      </c>
      <c r="AC769" s="16" t="n">
        <v>-0.93</v>
      </c>
      <c r="AD769" s="17" t="n">
        <v>0</v>
      </c>
      <c r="AE769" s="17" t="n">
        <v>0</v>
      </c>
      <c r="AF769" s="17" t="n">
        <v>-0.51</v>
      </c>
      <c r="AG769" s="17" t="n">
        <v>-0.12</v>
      </c>
      <c r="AH769" s="17" t="n">
        <v>0</v>
      </c>
      <c r="AI769" s="17" t="n">
        <v>0</v>
      </c>
      <c r="AJ769" s="17" t="n">
        <v>-0.09</v>
      </c>
      <c r="AK769" s="17" t="n">
        <v>-0.21</v>
      </c>
      <c r="AL769" s="17" t="n">
        <v>0</v>
      </c>
      <c r="AM769" s="18" t="n">
        <v>0</v>
      </c>
      <c r="AN769" s="16" t="n">
        <v>45</v>
      </c>
      <c r="AO769" s="17" t="n">
        <v>0</v>
      </c>
      <c r="AP769" s="17" t="n">
        <v>0</v>
      </c>
      <c r="AQ769" s="17" t="n">
        <v>7</v>
      </c>
      <c r="AR769" s="17" t="n">
        <v>2</v>
      </c>
      <c r="AS769" s="17" t="n">
        <v>0</v>
      </c>
      <c r="AT769" s="17" t="n">
        <v>0</v>
      </c>
      <c r="AU769" s="17" t="n">
        <v>12</v>
      </c>
      <c r="AV769" s="17" t="n">
        <v>20</v>
      </c>
      <c r="AW769" s="17" t="n">
        <v>0</v>
      </c>
      <c r="AX769" s="18" t="n">
        <v>0</v>
      </c>
      <c r="AY769" s="16" t="n">
        <v>0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8" t="n">
        <v>0</v>
      </c>
      <c r="BJ769" s="16" t="n">
        <v>45</v>
      </c>
      <c r="BK769" s="17" t="n">
        <v>0</v>
      </c>
      <c r="BL769" s="17" t="n">
        <v>0</v>
      </c>
      <c r="BM769" s="17" t="n">
        <v>7</v>
      </c>
      <c r="BN769" s="17" t="n">
        <v>2</v>
      </c>
      <c r="BO769" s="17" t="n">
        <v>0</v>
      </c>
      <c r="BP769" s="17" t="n">
        <v>0</v>
      </c>
      <c r="BQ769" s="17" t="n">
        <v>12</v>
      </c>
      <c r="BR769" s="17" t="n">
        <v>20</v>
      </c>
      <c r="BS769" s="17" t="n">
        <v>0</v>
      </c>
      <c r="BT769" s="18" t="n">
        <v>0</v>
      </c>
      <c r="BU769" s="17" t="inlineStr">
        <is>
          <t>Unclassified</t>
        </is>
      </c>
    </row>
    <row r="770" ht="20" customHeight="1">
      <c r="A770" s="15" t="inlineStr">
        <is>
          <t>16729000617</t>
        </is>
      </c>
      <c r="B770" s="15" t="inlineStr">
        <is>
          <t>SIMVASTATIN 40MG TABLET</t>
        </is>
      </c>
      <c r="C770" s="16" t="n">
        <v>1000</v>
      </c>
      <c r="D770" s="16" t="n">
        <v>0</v>
      </c>
      <c r="E770" s="16" t="n">
        <v>0</v>
      </c>
      <c r="F770" s="16" t="n">
        <v>0</v>
      </c>
      <c r="G770" s="16" t="n">
        <v>30</v>
      </c>
      <c r="H770" s="17" t="n">
        <v>0</v>
      </c>
      <c r="I770" s="17" t="n">
        <v>0</v>
      </c>
      <c r="J770" s="17" t="n">
        <v>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30</v>
      </c>
      <c r="P770" s="17" t="n">
        <v>0</v>
      </c>
      <c r="Q770" s="18" t="n">
        <v>0</v>
      </c>
      <c r="R770" s="16" t="n">
        <v>0.03</v>
      </c>
      <c r="S770" s="17" t="n">
        <v>0</v>
      </c>
      <c r="T770" s="17" t="n">
        <v>0</v>
      </c>
      <c r="U770" s="17" t="n">
        <v>0</v>
      </c>
      <c r="V770" s="17" t="n">
        <v>0</v>
      </c>
      <c r="W770" s="17" t="n">
        <v>0</v>
      </c>
      <c r="X770" s="17" t="n">
        <v>0</v>
      </c>
      <c r="Y770" s="17" t="n">
        <v>0</v>
      </c>
      <c r="Z770" s="17" t="n">
        <v>0.03</v>
      </c>
      <c r="AA770" s="17" t="n">
        <v>0</v>
      </c>
      <c r="AB770" s="18" t="n">
        <v>0</v>
      </c>
      <c r="AC770" s="16" t="n">
        <v>-0.03</v>
      </c>
      <c r="AD770" s="17" t="n">
        <v>0</v>
      </c>
      <c r="AE770" s="17" t="n">
        <v>0</v>
      </c>
      <c r="AF770" s="17" t="n">
        <v>0</v>
      </c>
      <c r="AG770" s="17" t="n">
        <v>0</v>
      </c>
      <c r="AH770" s="17" t="n">
        <v>0</v>
      </c>
      <c r="AI770" s="17" t="n">
        <v>0</v>
      </c>
      <c r="AJ770" s="17" t="n">
        <v>0</v>
      </c>
      <c r="AK770" s="17" t="n">
        <v>-0.03</v>
      </c>
      <c r="AL770" s="17" t="n">
        <v>0</v>
      </c>
      <c r="AM770" s="18" t="n">
        <v>0</v>
      </c>
      <c r="AN770" s="16" t="n">
        <v>2</v>
      </c>
      <c r="AO770" s="17" t="n">
        <v>0</v>
      </c>
      <c r="AP770" s="17" t="n">
        <v>0</v>
      </c>
      <c r="AQ770" s="17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8" t="n">
        <v>0</v>
      </c>
      <c r="AY770" s="16" t="n">
        <v>0</v>
      </c>
      <c r="AZ770" s="17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7" t="n">
        <v>0</v>
      </c>
      <c r="BI770" s="18" t="n">
        <v>0</v>
      </c>
      <c r="BJ770" s="16" t="n">
        <v>2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0</v>
      </c>
      <c r="BP770" s="17" t="n">
        <v>0</v>
      </c>
      <c r="BQ770" s="17" t="n">
        <v>0</v>
      </c>
      <c r="BR770" s="17" t="n">
        <v>0</v>
      </c>
      <c r="BS770" s="17" t="n">
        <v>0</v>
      </c>
      <c r="BT770" s="18" t="n">
        <v>0</v>
      </c>
      <c r="BU770" s="17" t="inlineStr">
        <is>
          <t>Unclassified</t>
        </is>
      </c>
    </row>
    <row r="771" ht="20" customHeight="1">
      <c r="A771" s="15" t="inlineStr">
        <is>
          <t>00536104710</t>
        </is>
      </c>
      <c r="B771" s="15" t="inlineStr">
        <is>
          <t>SODIUM BICARBONATE 650MG TABLET</t>
        </is>
      </c>
      <c r="C771" s="16" t="n">
        <v>1000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150</v>
      </c>
      <c r="O771" s="17" t="n">
        <v>0</v>
      </c>
      <c r="P771" s="17" t="n">
        <v>0</v>
      </c>
      <c r="Q771" s="18" t="n">
        <v>0</v>
      </c>
      <c r="R771" s="16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0.15</v>
      </c>
      <c r="Z771" s="17" t="n">
        <v>0</v>
      </c>
      <c r="AA771" s="17" t="n">
        <v>0</v>
      </c>
      <c r="AB771" s="18" t="n">
        <v>0</v>
      </c>
      <c r="AC771" s="16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-0.15</v>
      </c>
      <c r="AK771" s="17" t="n">
        <v>0</v>
      </c>
      <c r="AL771" s="17" t="n">
        <v>0</v>
      </c>
      <c r="AM771" s="18" t="n">
        <v>0</v>
      </c>
      <c r="AN771" s="16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7" t="n">
        <v>0</v>
      </c>
      <c r="AT771" s="17" t="n">
        <v>0</v>
      </c>
      <c r="AU771" s="17" t="n">
        <v>22</v>
      </c>
      <c r="AV771" s="17" t="n">
        <v>0</v>
      </c>
      <c r="AW771" s="17" t="n">
        <v>0</v>
      </c>
      <c r="AX771" s="18" t="n">
        <v>0</v>
      </c>
      <c r="AY771" s="16" t="n">
        <v>0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8" t="n">
        <v>0</v>
      </c>
      <c r="BJ771" s="16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22</v>
      </c>
      <c r="BR771" s="17" t="n">
        <v>0</v>
      </c>
      <c r="BS771" s="17" t="n">
        <v>0</v>
      </c>
      <c r="BT771" s="18" t="n">
        <v>0</v>
      </c>
      <c r="BU771" s="17" t="inlineStr">
        <is>
          <t>Unclassified</t>
        </is>
      </c>
    </row>
    <row r="772" ht="20" customHeight="1">
      <c r="A772" s="15" t="inlineStr">
        <is>
          <t>00536125391</t>
        </is>
      </c>
      <c r="B772" s="15" t="inlineStr">
        <is>
          <t>SODIUM CHLORIDE (HYPERTONIC) 5 % OPHTHALMIC OINTMENT</t>
        </is>
      </c>
      <c r="C772" s="16" t="n">
        <v>3.5</v>
      </c>
      <c r="D772" s="16" t="n">
        <v>0</v>
      </c>
      <c r="E772" s="16" t="n">
        <v>0</v>
      </c>
      <c r="F772" s="16" t="n">
        <v>0</v>
      </c>
      <c r="G772" s="16" t="n">
        <v>0</v>
      </c>
      <c r="H772" s="17" t="n">
        <v>0</v>
      </c>
      <c r="I772" s="17" t="n">
        <v>0</v>
      </c>
      <c r="J772" s="17" t="n">
        <v>0</v>
      </c>
      <c r="K772" s="17" t="n">
        <v>3.5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8" t="n">
        <v>0</v>
      </c>
      <c r="R772" s="16" t="n">
        <v>0</v>
      </c>
      <c r="S772" s="17" t="n">
        <v>0</v>
      </c>
      <c r="T772" s="17" t="n">
        <v>0</v>
      </c>
      <c r="U772" s="17" t="n">
        <v>0</v>
      </c>
      <c r="V772" s="17" t="n">
        <v>1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8" t="n">
        <v>0</v>
      </c>
      <c r="AC772" s="16" t="n">
        <v>0</v>
      </c>
      <c r="AD772" s="17" t="n">
        <v>0</v>
      </c>
      <c r="AE772" s="17" t="n">
        <v>0</v>
      </c>
      <c r="AF772" s="17" t="n">
        <v>0</v>
      </c>
      <c r="AG772" s="17" t="n">
        <v>-1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8" t="n">
        <v>0</v>
      </c>
      <c r="AN772" s="16" t="n">
        <v>0</v>
      </c>
      <c r="AO772" s="17" t="n">
        <v>0</v>
      </c>
      <c r="AP772" s="17" t="n">
        <v>0</v>
      </c>
      <c r="AQ772" s="17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8" t="n">
        <v>0</v>
      </c>
      <c r="AY772" s="16" t="n">
        <v>0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7" t="n">
        <v>0</v>
      </c>
      <c r="BG772" s="17" t="n">
        <v>0</v>
      </c>
      <c r="BH772" s="17" t="n">
        <v>0</v>
      </c>
      <c r="BI772" s="18" t="n">
        <v>0</v>
      </c>
      <c r="BJ772" s="16" t="n">
        <v>0</v>
      </c>
      <c r="BK772" s="17" t="n">
        <v>0</v>
      </c>
      <c r="BL772" s="17" t="n">
        <v>0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7" t="n">
        <v>0</v>
      </c>
      <c r="BT772" s="18" t="n">
        <v>0</v>
      </c>
      <c r="BU772" s="17" t="inlineStr">
        <is>
          <t>Unclassified</t>
        </is>
      </c>
    </row>
    <row r="773" ht="20" customHeight="1">
      <c r="A773" s="15" t="inlineStr">
        <is>
          <t>00536125494</t>
        </is>
      </c>
      <c r="B773" s="15" t="inlineStr">
        <is>
          <t>SODIUM CHLORIDE (HYPERTONIC) 5 % OPHTHALMIC SOLUTION</t>
        </is>
      </c>
      <c r="C773" s="16" t="n">
        <v>15</v>
      </c>
      <c r="D773" s="16" t="n">
        <v>0</v>
      </c>
      <c r="E773" s="16" t="n">
        <v>0</v>
      </c>
      <c r="F773" s="16" t="n">
        <v>0</v>
      </c>
      <c r="G773" s="16" t="n">
        <v>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15</v>
      </c>
      <c r="O773" s="17" t="n">
        <v>0</v>
      </c>
      <c r="P773" s="17" t="n">
        <v>0</v>
      </c>
      <c r="Q773" s="18" t="n">
        <v>0</v>
      </c>
      <c r="R773" s="16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1</v>
      </c>
      <c r="Z773" s="17" t="n">
        <v>0</v>
      </c>
      <c r="AA773" s="17" t="n">
        <v>0</v>
      </c>
      <c r="AB773" s="18" t="n">
        <v>0</v>
      </c>
      <c r="AC773" s="16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-1</v>
      </c>
      <c r="AK773" s="17" t="n">
        <v>0</v>
      </c>
      <c r="AL773" s="17" t="n">
        <v>0</v>
      </c>
      <c r="AM773" s="18" t="n">
        <v>0</v>
      </c>
      <c r="AN773" s="16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14</v>
      </c>
      <c r="AV773" s="17" t="n">
        <v>0</v>
      </c>
      <c r="AW773" s="17" t="n">
        <v>0</v>
      </c>
      <c r="AX773" s="18" t="n">
        <v>0</v>
      </c>
      <c r="AY773" s="16" t="n">
        <v>0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8" t="n">
        <v>0</v>
      </c>
      <c r="BJ773" s="16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14</v>
      </c>
      <c r="BR773" s="17" t="n">
        <v>0</v>
      </c>
      <c r="BS773" s="17" t="n">
        <v>0</v>
      </c>
      <c r="BT773" s="18" t="n">
        <v>0</v>
      </c>
      <c r="BU773" s="17" t="inlineStr">
        <is>
          <t>Unclassified</t>
        </is>
      </c>
    </row>
    <row r="774" ht="20" customHeight="1">
      <c r="A774" s="15" t="inlineStr">
        <is>
          <t>76204030003</t>
        </is>
      </c>
      <c r="B774" s="15" t="inlineStr">
        <is>
          <t>SODIUM CHLORIDE 0.9 % INHALATION NEBULIZATION SOLUTION</t>
        </is>
      </c>
      <c r="C774" s="16" t="n">
        <v>300</v>
      </c>
      <c r="D774" s="16" t="n">
        <v>0</v>
      </c>
      <c r="E774" s="16" t="n">
        <v>0</v>
      </c>
      <c r="F774" s="16" t="n">
        <v>0</v>
      </c>
      <c r="G774" s="16" t="n">
        <v>300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300</v>
      </c>
      <c r="O774" s="17" t="n">
        <v>0</v>
      </c>
      <c r="P774" s="17" t="n">
        <v>0</v>
      </c>
      <c r="Q774" s="18" t="n">
        <v>0</v>
      </c>
      <c r="R774" s="16" t="n">
        <v>1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1</v>
      </c>
      <c r="Z774" s="17" t="n">
        <v>0</v>
      </c>
      <c r="AA774" s="17" t="n">
        <v>0</v>
      </c>
      <c r="AB774" s="18" t="n">
        <v>0</v>
      </c>
      <c r="AC774" s="16" t="n">
        <v>-1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-1</v>
      </c>
      <c r="AK774" s="17" t="n">
        <v>0</v>
      </c>
      <c r="AL774" s="17" t="n">
        <v>0</v>
      </c>
      <c r="AM774" s="18" t="n">
        <v>0</v>
      </c>
      <c r="AN774" s="16" t="n">
        <v>20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0</v>
      </c>
      <c r="AU774" s="17" t="n">
        <v>20</v>
      </c>
      <c r="AV774" s="17" t="n">
        <v>0</v>
      </c>
      <c r="AW774" s="17" t="n">
        <v>0</v>
      </c>
      <c r="AX774" s="18" t="n">
        <v>0</v>
      </c>
      <c r="AY774" s="16" t="n">
        <v>0</v>
      </c>
      <c r="AZ774" s="17" t="n">
        <v>0</v>
      </c>
      <c r="BA774" s="17" t="n">
        <v>0</v>
      </c>
      <c r="BB774" s="17" t="n">
        <v>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7" t="n">
        <v>0</v>
      </c>
      <c r="BI774" s="18" t="n">
        <v>0</v>
      </c>
      <c r="BJ774" s="16" t="n">
        <v>20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20</v>
      </c>
      <c r="BR774" s="17" t="n">
        <v>0</v>
      </c>
      <c r="BS774" s="17" t="n">
        <v>0</v>
      </c>
      <c r="BT774" s="18" t="n">
        <v>0</v>
      </c>
      <c r="BU774" s="17" t="inlineStr">
        <is>
          <t>Unclassified</t>
        </is>
      </c>
    </row>
    <row r="775" ht="20" customHeight="1">
      <c r="A775" s="15" t="inlineStr">
        <is>
          <t>11527075043</t>
        </is>
      </c>
      <c r="B775" s="15" t="inlineStr">
        <is>
          <t>SODIUM FLUORIDE 5000 PPM 1.1 % DENTAL PASTE</t>
        </is>
      </c>
      <c r="C775" s="16" t="n">
        <v>100</v>
      </c>
      <c r="D775" s="16" t="n">
        <v>0</v>
      </c>
      <c r="E775" s="16" t="n">
        <v>0</v>
      </c>
      <c r="F775" s="16" t="n">
        <v>0</v>
      </c>
      <c r="G775" s="16" t="n">
        <v>100</v>
      </c>
      <c r="H775" s="17" t="n">
        <v>0</v>
      </c>
      <c r="I775" s="17" t="n">
        <v>0</v>
      </c>
      <c r="J775" s="17" t="n">
        <v>0</v>
      </c>
      <c r="K775" s="17" t="n">
        <v>100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8" t="n">
        <v>0</v>
      </c>
      <c r="R775" s="16" t="n">
        <v>1</v>
      </c>
      <c r="S775" s="17" t="n">
        <v>0</v>
      </c>
      <c r="T775" s="17" t="n">
        <v>0</v>
      </c>
      <c r="U775" s="17" t="n">
        <v>0</v>
      </c>
      <c r="V775" s="17" t="n">
        <v>1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8" t="n">
        <v>0</v>
      </c>
      <c r="AC775" s="16" t="n">
        <v>-1</v>
      </c>
      <c r="AD775" s="17" t="n">
        <v>0</v>
      </c>
      <c r="AE775" s="17" t="n">
        <v>0</v>
      </c>
      <c r="AF775" s="17" t="n">
        <v>0</v>
      </c>
      <c r="AG775" s="17" t="n">
        <v>-1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8" t="n">
        <v>0</v>
      </c>
      <c r="AN775" s="16" t="n">
        <v>13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8" t="n">
        <v>0</v>
      </c>
      <c r="AY775" s="16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8" t="n">
        <v>0</v>
      </c>
      <c r="BJ775" s="16" t="n">
        <v>13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8" t="n">
        <v>0</v>
      </c>
      <c r="BU775" s="17" t="inlineStr">
        <is>
          <t>Unclassified</t>
        </is>
      </c>
    </row>
    <row r="776" ht="20" customHeight="1">
      <c r="A776" s="15" t="inlineStr">
        <is>
          <t>68462038730</t>
        </is>
      </c>
      <c r="B776" s="15" t="inlineStr">
        <is>
          <t>SOLIFENACIN SUCCINATE 10MG TABLET</t>
        </is>
      </c>
      <c r="C776" s="16" t="n">
        <v>30</v>
      </c>
      <c r="D776" s="16" t="n">
        <v>0</v>
      </c>
      <c r="E776" s="16" t="n">
        <v>0</v>
      </c>
      <c r="F776" s="16" t="n">
        <v>0</v>
      </c>
      <c r="G776" s="16" t="n">
        <v>60</v>
      </c>
      <c r="H776" s="17" t="n">
        <v>0</v>
      </c>
      <c r="I776" s="17" t="n">
        <v>0</v>
      </c>
      <c r="J776" s="17" t="n">
        <v>60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8" t="n">
        <v>0</v>
      </c>
      <c r="R776" s="16" t="n">
        <v>2</v>
      </c>
      <c r="S776" s="17" t="n">
        <v>0</v>
      </c>
      <c r="T776" s="17" t="n">
        <v>0</v>
      </c>
      <c r="U776" s="17" t="n">
        <v>2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8" t="n">
        <v>0</v>
      </c>
      <c r="AC776" s="16" t="n">
        <v>-2</v>
      </c>
      <c r="AD776" s="17" t="n">
        <v>0</v>
      </c>
      <c r="AE776" s="17" t="n">
        <v>0</v>
      </c>
      <c r="AF776" s="17" t="n">
        <v>-2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8" t="n">
        <v>0</v>
      </c>
      <c r="AN776" s="16" t="n">
        <v>31</v>
      </c>
      <c r="AO776" s="17" t="n">
        <v>0</v>
      </c>
      <c r="AP776" s="17" t="n">
        <v>0</v>
      </c>
      <c r="AQ776" s="17" t="n">
        <v>30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0</v>
      </c>
      <c r="AW776" s="17" t="n">
        <v>0</v>
      </c>
      <c r="AX776" s="18" t="n">
        <v>0</v>
      </c>
      <c r="AY776" s="16" t="n">
        <v>0</v>
      </c>
      <c r="AZ776" s="17" t="n">
        <v>0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0</v>
      </c>
      <c r="BF776" s="17" t="n">
        <v>0</v>
      </c>
      <c r="BG776" s="17" t="n">
        <v>0</v>
      </c>
      <c r="BH776" s="17" t="n">
        <v>0</v>
      </c>
      <c r="BI776" s="18" t="n">
        <v>0</v>
      </c>
      <c r="BJ776" s="16" t="n">
        <v>31</v>
      </c>
      <c r="BK776" s="17" t="n">
        <v>0</v>
      </c>
      <c r="BL776" s="17" t="n">
        <v>0</v>
      </c>
      <c r="BM776" s="17" t="n">
        <v>30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7" t="n">
        <v>0</v>
      </c>
      <c r="BT776" s="18" t="n">
        <v>0</v>
      </c>
      <c r="BU776" s="17" t="inlineStr">
        <is>
          <t>Unclassified</t>
        </is>
      </c>
    </row>
    <row r="777" ht="20" customHeight="1">
      <c r="A777" s="15" t="inlineStr">
        <is>
          <t>00597007541</t>
        </is>
      </c>
      <c r="B777" s="15" t="inlineStr">
        <is>
          <t>SPIRIVA HANDIHALER 18MCG CAPSULE</t>
        </is>
      </c>
      <c r="C777" s="16" t="n">
        <v>30</v>
      </c>
      <c r="D777" s="16" t="n">
        <v>0</v>
      </c>
      <c r="E777" s="16" t="n">
        <v>0</v>
      </c>
      <c r="F777" s="16" t="n">
        <v>0</v>
      </c>
      <c r="G777" s="16" t="n">
        <v>90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90</v>
      </c>
      <c r="O777" s="17" t="n">
        <v>0</v>
      </c>
      <c r="P777" s="17" t="n">
        <v>0</v>
      </c>
      <c r="Q777" s="18" t="n">
        <v>0</v>
      </c>
      <c r="R777" s="16" t="n">
        <v>3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3</v>
      </c>
      <c r="Z777" s="17" t="n">
        <v>0</v>
      </c>
      <c r="AA777" s="17" t="n">
        <v>0</v>
      </c>
      <c r="AB777" s="18" t="n">
        <v>0</v>
      </c>
      <c r="AC777" s="16" t="n">
        <v>-3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-3</v>
      </c>
      <c r="AK777" s="17" t="n">
        <v>0</v>
      </c>
      <c r="AL777" s="17" t="n">
        <v>0</v>
      </c>
      <c r="AM777" s="18" t="n">
        <v>0</v>
      </c>
      <c r="AN777" s="16" t="n">
        <v>966</v>
      </c>
      <c r="AO777" s="17" t="n">
        <v>0</v>
      </c>
      <c r="AP777" s="17" t="n">
        <v>0</v>
      </c>
      <c r="AQ777" s="17" t="n">
        <v>0</v>
      </c>
      <c r="AR777" s="17" t="n">
        <v>0</v>
      </c>
      <c r="AS777" s="17" t="n">
        <v>0</v>
      </c>
      <c r="AT777" s="17" t="n">
        <v>0</v>
      </c>
      <c r="AU777" s="17" t="n">
        <v>965</v>
      </c>
      <c r="AV777" s="17" t="n">
        <v>0</v>
      </c>
      <c r="AW777" s="17" t="n">
        <v>0</v>
      </c>
      <c r="AX777" s="18" t="n">
        <v>0</v>
      </c>
      <c r="AY777" s="16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8" t="n">
        <v>0</v>
      </c>
      <c r="BJ777" s="16" t="n">
        <v>966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965</v>
      </c>
      <c r="BR777" s="17" t="n">
        <v>0</v>
      </c>
      <c r="BS777" s="17" t="n">
        <v>0</v>
      </c>
      <c r="BT777" s="18" t="n">
        <v>0</v>
      </c>
      <c r="BU777" s="17" t="inlineStr">
        <is>
          <t>Unclassified</t>
        </is>
      </c>
    </row>
    <row r="778" ht="20" customHeight="1">
      <c r="A778" s="15" t="inlineStr">
        <is>
          <t>00597010061</t>
        </is>
      </c>
      <c r="B778" s="15" t="inlineStr">
        <is>
          <t>SPIRIVA RESPIMAT 2.5MCG/ACT AEROSOL</t>
        </is>
      </c>
      <c r="C778" s="16" t="n">
        <v>4</v>
      </c>
      <c r="D778" s="16" t="n">
        <v>1</v>
      </c>
      <c r="E778" s="16" t="n">
        <v>1</v>
      </c>
      <c r="F778" s="16" t="n">
        <v>513</v>
      </c>
      <c r="G778" s="16" t="n">
        <v>4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n">
        <v>0</v>
      </c>
      <c r="M778" s="17" t="n">
        <v>0</v>
      </c>
      <c r="N778" s="17" t="n">
        <v>4</v>
      </c>
      <c r="O778" s="17" t="n">
        <v>0</v>
      </c>
      <c r="P778" s="17" t="n">
        <v>0</v>
      </c>
      <c r="Q778" s="18" t="n">
        <v>0</v>
      </c>
      <c r="R778" s="16" t="n">
        <v>1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1</v>
      </c>
      <c r="Z778" s="17" t="n">
        <v>0</v>
      </c>
      <c r="AA778" s="17" t="n">
        <v>0</v>
      </c>
      <c r="AB778" s="18" t="n">
        <v>0</v>
      </c>
      <c r="AC778" s="16" t="n">
        <v>0</v>
      </c>
      <c r="AD778" s="17" t="n">
        <v>1</v>
      </c>
      <c r="AE778" s="17" t="n">
        <v>1</v>
      </c>
      <c r="AF778" s="17" t="n">
        <v>1</v>
      </c>
      <c r="AG778" s="17" t="n">
        <v>1</v>
      </c>
      <c r="AH778" s="17" t="n">
        <v>1</v>
      </c>
      <c r="AI778" s="17" t="n">
        <v>1</v>
      </c>
      <c r="AJ778" s="17" t="n">
        <v>0</v>
      </c>
      <c r="AK778" s="17" t="n">
        <v>1</v>
      </c>
      <c r="AL778" s="17" t="n">
        <v>1</v>
      </c>
      <c r="AM778" s="18" t="n">
        <v>1</v>
      </c>
      <c r="AN778" s="16" t="n">
        <v>515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0</v>
      </c>
      <c r="AT778" s="17" t="n">
        <v>0</v>
      </c>
      <c r="AU778" s="17" t="n">
        <v>514</v>
      </c>
      <c r="AV778" s="17" t="n">
        <v>0</v>
      </c>
      <c r="AW778" s="17" t="n">
        <v>0</v>
      </c>
      <c r="AX778" s="18" t="n">
        <v>0</v>
      </c>
      <c r="AY778" s="16" t="n">
        <v>513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7" t="n">
        <v>513</v>
      </c>
      <c r="BG778" s="17" t="n">
        <v>0</v>
      </c>
      <c r="BH778" s="17" t="n">
        <v>0</v>
      </c>
      <c r="BI778" s="18" t="n">
        <v>0</v>
      </c>
      <c r="BJ778" s="16" t="n">
        <v>2</v>
      </c>
      <c r="BK778" s="17" t="n">
        <v>0</v>
      </c>
      <c r="BL778" s="17" t="n">
        <v>0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1</v>
      </c>
      <c r="BR778" s="17" t="n">
        <v>0</v>
      </c>
      <c r="BS778" s="17" t="n">
        <v>0</v>
      </c>
      <c r="BT778" s="18" t="n">
        <v>0</v>
      </c>
      <c r="BU778" s="17" t="inlineStr">
        <is>
          <t>Branded Drug</t>
        </is>
      </c>
    </row>
    <row r="779" ht="20" customHeight="1">
      <c r="A779" s="15" t="inlineStr">
        <is>
          <t>53746051501</t>
        </is>
      </c>
      <c r="B779" s="15" t="inlineStr">
        <is>
          <t>SPIRONOLACTONE 100MG TABLET</t>
        </is>
      </c>
      <c r="C779" s="16" t="n">
        <v>100</v>
      </c>
      <c r="D779" s="16" t="n">
        <v>0</v>
      </c>
      <c r="E779" s="16" t="n">
        <v>0</v>
      </c>
      <c r="F779" s="16" t="n">
        <v>0</v>
      </c>
      <c r="G779" s="16" t="n">
        <v>60</v>
      </c>
      <c r="H779" s="17" t="n">
        <v>0</v>
      </c>
      <c r="I779" s="17" t="n">
        <v>0</v>
      </c>
      <c r="J779" s="17" t="n">
        <v>30</v>
      </c>
      <c r="K779" s="17" t="n">
        <v>0</v>
      </c>
      <c r="L779" s="17" t="n">
        <v>0</v>
      </c>
      <c r="M779" s="17" t="n">
        <v>0</v>
      </c>
      <c r="N779" s="17" t="n">
        <v>30</v>
      </c>
      <c r="O779" s="17" t="n">
        <v>0</v>
      </c>
      <c r="P779" s="17" t="n">
        <v>0</v>
      </c>
      <c r="Q779" s="18" t="n">
        <v>0</v>
      </c>
      <c r="R779" s="16" t="n">
        <v>0.6</v>
      </c>
      <c r="S779" s="17" t="n">
        <v>0</v>
      </c>
      <c r="T779" s="17" t="n">
        <v>0</v>
      </c>
      <c r="U779" s="17" t="n">
        <v>0.3</v>
      </c>
      <c r="V779" s="17" t="n">
        <v>0</v>
      </c>
      <c r="W779" s="17" t="n">
        <v>0</v>
      </c>
      <c r="X779" s="17" t="n">
        <v>0</v>
      </c>
      <c r="Y779" s="17" t="n">
        <v>0.3</v>
      </c>
      <c r="Z779" s="17" t="n">
        <v>0</v>
      </c>
      <c r="AA779" s="17" t="n">
        <v>0</v>
      </c>
      <c r="AB779" s="18" t="n">
        <v>0</v>
      </c>
      <c r="AC779" s="16" t="n">
        <v>-0.6</v>
      </c>
      <c r="AD779" s="17" t="n">
        <v>0</v>
      </c>
      <c r="AE779" s="17" t="n">
        <v>0</v>
      </c>
      <c r="AF779" s="17" t="n">
        <v>-0.3</v>
      </c>
      <c r="AG779" s="17" t="n">
        <v>0</v>
      </c>
      <c r="AH779" s="17" t="n">
        <v>0</v>
      </c>
      <c r="AI779" s="17" t="n">
        <v>0</v>
      </c>
      <c r="AJ779" s="17" t="n">
        <v>-0.3</v>
      </c>
      <c r="AK779" s="17" t="n">
        <v>0</v>
      </c>
      <c r="AL779" s="17" t="n">
        <v>0</v>
      </c>
      <c r="AM779" s="18" t="n">
        <v>0</v>
      </c>
      <c r="AN779" s="16" t="n">
        <v>20</v>
      </c>
      <c r="AO779" s="17" t="n">
        <v>0</v>
      </c>
      <c r="AP779" s="17" t="n">
        <v>0</v>
      </c>
      <c r="AQ779" s="17" t="n">
        <v>0</v>
      </c>
      <c r="AR779" s="17" t="n">
        <v>0</v>
      </c>
      <c r="AS779" s="17" t="n">
        <v>0</v>
      </c>
      <c r="AT779" s="17" t="n">
        <v>0</v>
      </c>
      <c r="AU779" s="17" t="n">
        <v>14</v>
      </c>
      <c r="AV779" s="17" t="n">
        <v>0</v>
      </c>
      <c r="AW779" s="17" t="n">
        <v>0</v>
      </c>
      <c r="AX779" s="18" t="n">
        <v>0</v>
      </c>
      <c r="AY779" s="16" t="n">
        <v>0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8" t="n">
        <v>0</v>
      </c>
      <c r="BJ779" s="16" t="n">
        <v>20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14</v>
      </c>
      <c r="BR779" s="17" t="n">
        <v>0</v>
      </c>
      <c r="BS779" s="17" t="n">
        <v>0</v>
      </c>
      <c r="BT779" s="18" t="n">
        <v>0</v>
      </c>
      <c r="BU779" s="17" t="inlineStr">
        <is>
          <t>Unclassified</t>
        </is>
      </c>
    </row>
    <row r="780" ht="20" customHeight="1">
      <c r="A780" s="15" t="inlineStr">
        <is>
          <t>68382066010</t>
        </is>
      </c>
      <c r="B780" s="15" t="inlineStr">
        <is>
          <t>SPIRONOLACTONE 25MG TABLET</t>
        </is>
      </c>
      <c r="C780" s="16" t="n">
        <v>1000</v>
      </c>
      <c r="D780" s="16" t="n">
        <v>0</v>
      </c>
      <c r="E780" s="16" t="n">
        <v>0</v>
      </c>
      <c r="F780" s="16" t="n">
        <v>0</v>
      </c>
      <c r="G780" s="16" t="n">
        <v>975</v>
      </c>
      <c r="H780" s="17" t="n">
        <v>0</v>
      </c>
      <c r="I780" s="17" t="n">
        <v>0</v>
      </c>
      <c r="J780" s="17" t="n">
        <v>510</v>
      </c>
      <c r="K780" s="17" t="n">
        <v>45</v>
      </c>
      <c r="L780" s="17" t="n">
        <v>0</v>
      </c>
      <c r="M780" s="17" t="n">
        <v>120</v>
      </c>
      <c r="N780" s="17" t="n">
        <v>300</v>
      </c>
      <c r="O780" s="17" t="n">
        <v>0</v>
      </c>
      <c r="P780" s="17" t="n">
        <v>0</v>
      </c>
      <c r="Q780" s="18" t="n">
        <v>0</v>
      </c>
      <c r="R780" s="16" t="n">
        <v>0.975</v>
      </c>
      <c r="S780" s="17" t="n">
        <v>0</v>
      </c>
      <c r="T780" s="17" t="n">
        <v>0</v>
      </c>
      <c r="U780" s="17" t="n">
        <v>0.51</v>
      </c>
      <c r="V780" s="17" t="n">
        <v>0.045</v>
      </c>
      <c r="W780" s="17" t="n">
        <v>0</v>
      </c>
      <c r="X780" s="17" t="n">
        <v>0.12</v>
      </c>
      <c r="Y780" s="17" t="n">
        <v>0.3</v>
      </c>
      <c r="Z780" s="17" t="n">
        <v>0</v>
      </c>
      <c r="AA780" s="17" t="n">
        <v>0</v>
      </c>
      <c r="AB780" s="18" t="n">
        <v>0</v>
      </c>
      <c r="AC780" s="16" t="n">
        <v>-0.975</v>
      </c>
      <c r="AD780" s="17" t="n">
        <v>0</v>
      </c>
      <c r="AE780" s="17" t="n">
        <v>0</v>
      </c>
      <c r="AF780" s="17" t="n">
        <v>-0.51</v>
      </c>
      <c r="AG780" s="17" t="n">
        <v>-0.045</v>
      </c>
      <c r="AH780" s="17" t="n">
        <v>0</v>
      </c>
      <c r="AI780" s="17" t="n">
        <v>-0.12</v>
      </c>
      <c r="AJ780" s="17" t="n">
        <v>-0.3</v>
      </c>
      <c r="AK780" s="17" t="n">
        <v>0</v>
      </c>
      <c r="AL780" s="17" t="n">
        <v>0</v>
      </c>
      <c r="AM780" s="18" t="n">
        <v>0</v>
      </c>
      <c r="AN780" s="16" t="n">
        <v>90</v>
      </c>
      <c r="AO780" s="17" t="n">
        <v>0</v>
      </c>
      <c r="AP780" s="17" t="n">
        <v>0</v>
      </c>
      <c r="AQ780" s="17" t="n">
        <v>20</v>
      </c>
      <c r="AR780" s="17" t="n">
        <v>3</v>
      </c>
      <c r="AS780" s="17" t="n">
        <v>0</v>
      </c>
      <c r="AT780" s="17" t="n">
        <v>9</v>
      </c>
      <c r="AU780" s="17" t="n">
        <v>54</v>
      </c>
      <c r="AV780" s="17" t="n">
        <v>0</v>
      </c>
      <c r="AW780" s="17" t="n">
        <v>0</v>
      </c>
      <c r="AX780" s="18" t="n">
        <v>0</v>
      </c>
      <c r="AY780" s="16" t="n">
        <v>0</v>
      </c>
      <c r="AZ780" s="17" t="n">
        <v>0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0</v>
      </c>
      <c r="BF780" s="17" t="n">
        <v>0</v>
      </c>
      <c r="BG780" s="17" t="n">
        <v>0</v>
      </c>
      <c r="BH780" s="17" t="n">
        <v>0</v>
      </c>
      <c r="BI780" s="18" t="n">
        <v>0</v>
      </c>
      <c r="BJ780" s="16" t="n">
        <v>90</v>
      </c>
      <c r="BK780" s="17" t="n">
        <v>0</v>
      </c>
      <c r="BL780" s="17" t="n">
        <v>0</v>
      </c>
      <c r="BM780" s="17" t="n">
        <v>20</v>
      </c>
      <c r="BN780" s="17" t="n">
        <v>3</v>
      </c>
      <c r="BO780" s="17" t="n">
        <v>0</v>
      </c>
      <c r="BP780" s="17" t="n">
        <v>9</v>
      </c>
      <c r="BQ780" s="17" t="n">
        <v>54</v>
      </c>
      <c r="BR780" s="17" t="n">
        <v>0</v>
      </c>
      <c r="BS780" s="17" t="n">
        <v>0</v>
      </c>
      <c r="BT780" s="18" t="n">
        <v>0</v>
      </c>
      <c r="BU780" s="17" t="inlineStr">
        <is>
          <t>Unclassified</t>
        </is>
      </c>
    </row>
    <row r="781" ht="20" customHeight="1">
      <c r="A781" s="15" t="inlineStr">
        <is>
          <t>68382066105</t>
        </is>
      </c>
      <c r="B781" s="15" t="inlineStr">
        <is>
          <t>SPIRONOLACTONE 50MG TABLET</t>
        </is>
      </c>
      <c r="C781" s="16" t="n">
        <v>500</v>
      </c>
      <c r="D781" s="16" t="n">
        <v>0</v>
      </c>
      <c r="E781" s="16" t="n">
        <v>0</v>
      </c>
      <c r="F781" s="16" t="n">
        <v>0</v>
      </c>
      <c r="G781" s="16" t="n">
        <v>120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120</v>
      </c>
      <c r="O781" s="17" t="n">
        <v>0</v>
      </c>
      <c r="P781" s="17" t="n">
        <v>0</v>
      </c>
      <c r="Q781" s="18" t="n">
        <v>0</v>
      </c>
      <c r="R781" s="16" t="n">
        <v>0.24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0.24</v>
      </c>
      <c r="Z781" s="17" t="n">
        <v>0</v>
      </c>
      <c r="AA781" s="17" t="n">
        <v>0</v>
      </c>
      <c r="AB781" s="18" t="n">
        <v>0</v>
      </c>
      <c r="AC781" s="16" t="n">
        <v>-0.24</v>
      </c>
      <c r="AD781" s="17" t="n">
        <v>0</v>
      </c>
      <c r="AE781" s="17" t="n">
        <v>0</v>
      </c>
      <c r="AF781" s="17" t="n">
        <v>0</v>
      </c>
      <c r="AG781" s="17" t="n">
        <v>0</v>
      </c>
      <c r="AH781" s="17" t="n">
        <v>0</v>
      </c>
      <c r="AI781" s="17" t="n">
        <v>0</v>
      </c>
      <c r="AJ781" s="17" t="n">
        <v>-0.24</v>
      </c>
      <c r="AK781" s="17" t="n">
        <v>0</v>
      </c>
      <c r="AL781" s="17" t="n">
        <v>0</v>
      </c>
      <c r="AM781" s="18" t="n">
        <v>0</v>
      </c>
      <c r="AN781" s="16" t="n">
        <v>30</v>
      </c>
      <c r="AO781" s="17" t="n">
        <v>0</v>
      </c>
      <c r="AP781" s="17" t="n">
        <v>0</v>
      </c>
      <c r="AQ781" s="17" t="n">
        <v>0</v>
      </c>
      <c r="AR781" s="17" t="n">
        <v>0</v>
      </c>
      <c r="AS781" s="17" t="n">
        <v>0</v>
      </c>
      <c r="AT781" s="17" t="n">
        <v>0</v>
      </c>
      <c r="AU781" s="17" t="n">
        <v>29</v>
      </c>
      <c r="AV781" s="17" t="n">
        <v>0</v>
      </c>
      <c r="AW781" s="17" t="n">
        <v>0</v>
      </c>
      <c r="AX781" s="18" t="n">
        <v>0</v>
      </c>
      <c r="AY781" s="16" t="n">
        <v>0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8" t="n">
        <v>0</v>
      </c>
      <c r="BJ781" s="16" t="n">
        <v>30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29</v>
      </c>
      <c r="BR781" s="17" t="n">
        <v>0</v>
      </c>
      <c r="BS781" s="17" t="n">
        <v>0</v>
      </c>
      <c r="BT781" s="18" t="n">
        <v>0</v>
      </c>
      <c r="BU781" s="17" t="inlineStr">
        <is>
          <t>Unclassified</t>
        </is>
      </c>
    </row>
    <row r="782" ht="20" customHeight="1">
      <c r="A782" s="15" t="inlineStr">
        <is>
          <t>82182010614</t>
        </is>
      </c>
      <c r="B782" s="15" t="inlineStr">
        <is>
          <t>SUCRALFATE 1 GM/10ML ORAL SUSPENSION</t>
        </is>
      </c>
      <c r="C782" s="16" t="n">
        <v>420</v>
      </c>
      <c r="D782" s="16" t="n">
        <v>0</v>
      </c>
      <c r="E782" s="16" t="n">
        <v>0</v>
      </c>
      <c r="F782" s="16" t="n">
        <v>0</v>
      </c>
      <c r="G782" s="16" t="n">
        <v>1260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1260</v>
      </c>
      <c r="O782" s="17" t="n">
        <v>0</v>
      </c>
      <c r="P782" s="17" t="n">
        <v>0</v>
      </c>
      <c r="Q782" s="18" t="n">
        <v>0</v>
      </c>
      <c r="R782" s="16" t="n">
        <v>3</v>
      </c>
      <c r="S782" s="17" t="n">
        <v>0</v>
      </c>
      <c r="T782" s="17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3</v>
      </c>
      <c r="Z782" s="17" t="n">
        <v>0</v>
      </c>
      <c r="AA782" s="17" t="n">
        <v>0</v>
      </c>
      <c r="AB782" s="18" t="n">
        <v>0</v>
      </c>
      <c r="AC782" s="16" t="n">
        <v>-3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-3</v>
      </c>
      <c r="AK782" s="17" t="n">
        <v>0</v>
      </c>
      <c r="AL782" s="17" t="n">
        <v>0</v>
      </c>
      <c r="AM782" s="18" t="n">
        <v>0</v>
      </c>
      <c r="AN782" s="16" t="n">
        <v>168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0</v>
      </c>
      <c r="AT782" s="17" t="n">
        <v>0</v>
      </c>
      <c r="AU782" s="17" t="n">
        <v>168</v>
      </c>
      <c r="AV782" s="17" t="n">
        <v>0</v>
      </c>
      <c r="AW782" s="17" t="n">
        <v>0</v>
      </c>
      <c r="AX782" s="18" t="n">
        <v>0</v>
      </c>
      <c r="AY782" s="16" t="n">
        <v>0</v>
      </c>
      <c r="AZ782" s="17" t="n">
        <v>0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0</v>
      </c>
      <c r="BF782" s="17" t="n">
        <v>0</v>
      </c>
      <c r="BG782" s="17" t="n">
        <v>0</v>
      </c>
      <c r="BH782" s="17" t="n">
        <v>0</v>
      </c>
      <c r="BI782" s="18" t="n">
        <v>0</v>
      </c>
      <c r="BJ782" s="16" t="n">
        <v>168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168</v>
      </c>
      <c r="BR782" s="17" t="n">
        <v>0</v>
      </c>
      <c r="BS782" s="17" t="n">
        <v>0</v>
      </c>
      <c r="BT782" s="18" t="n">
        <v>0</v>
      </c>
      <c r="BU782" s="17" t="inlineStr">
        <is>
          <t>Unclassified</t>
        </is>
      </c>
    </row>
    <row r="783" ht="20" customHeight="1">
      <c r="A783" s="15" t="inlineStr">
        <is>
          <t>57237023301</t>
        </is>
      </c>
      <c r="B783" s="15" t="inlineStr">
        <is>
          <t>SULFAMETHOXAZOLE-TRIMETHOPRIM 800-160MG TABLET</t>
        </is>
      </c>
      <c r="C783" s="16" t="n">
        <v>100</v>
      </c>
      <c r="D783" s="16" t="n">
        <v>1</v>
      </c>
      <c r="E783" s="16" t="n">
        <v>1</v>
      </c>
      <c r="F783" s="16" t="n">
        <v>6</v>
      </c>
      <c r="G783" s="16" t="n">
        <v>48</v>
      </c>
      <c r="H783" s="17" t="n">
        <v>0</v>
      </c>
      <c r="I783" s="17" t="n">
        <v>0</v>
      </c>
      <c r="J783" s="17" t="n">
        <v>20</v>
      </c>
      <c r="K783" s="17" t="n">
        <v>0</v>
      </c>
      <c r="L783" s="17" t="n">
        <v>0</v>
      </c>
      <c r="M783" s="17" t="n">
        <v>0</v>
      </c>
      <c r="N783" s="17" t="n">
        <v>28</v>
      </c>
      <c r="O783" s="17" t="n">
        <v>0</v>
      </c>
      <c r="P783" s="17" t="n">
        <v>0</v>
      </c>
      <c r="Q783" s="18" t="n">
        <v>0</v>
      </c>
      <c r="R783" s="16" t="n">
        <v>0.48</v>
      </c>
      <c r="S783" s="17" t="n">
        <v>0</v>
      </c>
      <c r="T783" s="17" t="n">
        <v>0</v>
      </c>
      <c r="U783" s="17" t="n">
        <v>0.2</v>
      </c>
      <c r="V783" s="17" t="n">
        <v>0</v>
      </c>
      <c r="W783" s="17" t="n">
        <v>0</v>
      </c>
      <c r="X783" s="17" t="n">
        <v>0</v>
      </c>
      <c r="Y783" s="17" t="n">
        <v>0.28</v>
      </c>
      <c r="Z783" s="17" t="n">
        <v>0</v>
      </c>
      <c r="AA783" s="17" t="n">
        <v>0</v>
      </c>
      <c r="AB783" s="18" t="n">
        <v>0</v>
      </c>
      <c r="AC783" s="16" t="n">
        <v>0.52</v>
      </c>
      <c r="AD783" s="17" t="n">
        <v>1</v>
      </c>
      <c r="AE783" s="17" t="n">
        <v>1</v>
      </c>
      <c r="AF783" s="17" t="n">
        <v>0.8</v>
      </c>
      <c r="AG783" s="17" t="n">
        <v>1</v>
      </c>
      <c r="AH783" s="17" t="n">
        <v>1</v>
      </c>
      <c r="AI783" s="17" t="n">
        <v>1</v>
      </c>
      <c r="AJ783" s="17" t="n">
        <v>0.72</v>
      </c>
      <c r="AK783" s="17" t="n">
        <v>1</v>
      </c>
      <c r="AL783" s="17" t="n">
        <v>1</v>
      </c>
      <c r="AM783" s="18" t="n">
        <v>1</v>
      </c>
      <c r="AN783" s="16" t="n">
        <v>23</v>
      </c>
      <c r="AO783" s="17" t="n">
        <v>0</v>
      </c>
      <c r="AP783" s="17" t="n">
        <v>0</v>
      </c>
      <c r="AQ783" s="17" t="n">
        <v>1</v>
      </c>
      <c r="AR783" s="17" t="n">
        <v>0</v>
      </c>
      <c r="AS783" s="17" t="n">
        <v>0</v>
      </c>
      <c r="AT783" s="17" t="n">
        <v>0</v>
      </c>
      <c r="AU783" s="17" t="n">
        <v>20</v>
      </c>
      <c r="AV783" s="17" t="n">
        <v>0</v>
      </c>
      <c r="AW783" s="17" t="n">
        <v>0</v>
      </c>
      <c r="AX783" s="18" t="n">
        <v>0</v>
      </c>
      <c r="AY783" s="16" t="n">
        <v>3</v>
      </c>
      <c r="AZ783" s="17" t="n">
        <v>0</v>
      </c>
      <c r="BA783" s="17" t="n">
        <v>0</v>
      </c>
      <c r="BB783" s="17" t="n">
        <v>1</v>
      </c>
      <c r="BC783" s="17" t="n">
        <v>0</v>
      </c>
      <c r="BD783" s="17" t="n">
        <v>0</v>
      </c>
      <c r="BE783" s="17" t="n">
        <v>0</v>
      </c>
      <c r="BF783" s="17" t="n">
        <v>2</v>
      </c>
      <c r="BG783" s="17" t="n">
        <v>0</v>
      </c>
      <c r="BH783" s="17" t="n">
        <v>0</v>
      </c>
      <c r="BI783" s="18" t="n">
        <v>0</v>
      </c>
      <c r="BJ783" s="16" t="n">
        <v>20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19</v>
      </c>
      <c r="BR783" s="17" t="n">
        <v>0</v>
      </c>
      <c r="BS783" s="17" t="n">
        <v>0</v>
      </c>
      <c r="BT783" s="18" t="n">
        <v>0</v>
      </c>
      <c r="BU783" s="17" t="inlineStr">
        <is>
          <t>Generic Drug</t>
        </is>
      </c>
    </row>
    <row r="784" ht="20" customHeight="1">
      <c r="A784" s="15" t="inlineStr">
        <is>
          <t>65862014836</t>
        </is>
      </c>
      <c r="B784" s="15" t="inlineStr">
        <is>
          <t xml:space="preserve">SUMATRIPTAN SUCCINATE 100MG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18</v>
      </c>
      <c r="H784" s="17" t="n">
        <v>0</v>
      </c>
      <c r="I784" s="17" t="n">
        <v>0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18</v>
      </c>
      <c r="O784" s="17" t="n">
        <v>0</v>
      </c>
      <c r="P784" s="17" t="n">
        <v>0</v>
      </c>
      <c r="Q784" s="18" t="n">
        <v>0</v>
      </c>
      <c r="R784" s="16" t="n">
        <v>2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2</v>
      </c>
      <c r="Z784" s="17" t="n">
        <v>0</v>
      </c>
      <c r="AA784" s="17" t="n">
        <v>0</v>
      </c>
      <c r="AB784" s="18" t="n">
        <v>0</v>
      </c>
      <c r="AC784" s="16" t="n">
        <v>-2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-2</v>
      </c>
      <c r="AK784" s="17" t="n">
        <v>0</v>
      </c>
      <c r="AL784" s="17" t="n">
        <v>0</v>
      </c>
      <c r="AM784" s="18" t="n">
        <v>0</v>
      </c>
      <c r="AN784" s="16" t="n">
        <v>19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0</v>
      </c>
      <c r="AU784" s="17" t="n">
        <v>18</v>
      </c>
      <c r="AV784" s="17" t="n">
        <v>0</v>
      </c>
      <c r="AW784" s="17" t="n">
        <v>0</v>
      </c>
      <c r="AX784" s="18" t="n">
        <v>0</v>
      </c>
      <c r="AY784" s="16" t="n">
        <v>0</v>
      </c>
      <c r="AZ784" s="17" t="n">
        <v>0</v>
      </c>
      <c r="BA784" s="17" t="n">
        <v>0</v>
      </c>
      <c r="BB784" s="17" t="n">
        <v>0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7" t="n">
        <v>0</v>
      </c>
      <c r="BI784" s="18" t="n">
        <v>0</v>
      </c>
      <c r="BJ784" s="16" t="n">
        <v>19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0</v>
      </c>
      <c r="BP784" s="17" t="n">
        <v>0</v>
      </c>
      <c r="BQ784" s="17" t="n">
        <v>18</v>
      </c>
      <c r="BR784" s="17" t="n">
        <v>0</v>
      </c>
      <c r="BS784" s="17" t="n">
        <v>0</v>
      </c>
      <c r="BT784" s="18" t="n">
        <v>0</v>
      </c>
      <c r="BU784" s="17" t="inlineStr">
        <is>
          <t>Unclassified</t>
        </is>
      </c>
    </row>
    <row r="785" ht="20" customHeight="1">
      <c r="A785" s="15" t="inlineStr">
        <is>
          <t>65862014636</t>
        </is>
      </c>
      <c r="B785" s="15" t="inlineStr">
        <is>
          <t>SUMATRIPTAN SUCCINATE 25 MG ORAL TABLET</t>
        </is>
      </c>
      <c r="C785" s="16" t="n">
        <v>9</v>
      </c>
      <c r="D785" s="16" t="n">
        <v>0</v>
      </c>
      <c r="E785" s="16" t="n">
        <v>0</v>
      </c>
      <c r="F785" s="16" t="n">
        <v>0</v>
      </c>
      <c r="G785" s="16" t="n">
        <v>12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0</v>
      </c>
      <c r="N785" s="17" t="n">
        <v>0</v>
      </c>
      <c r="O785" s="17" t="n">
        <v>12</v>
      </c>
      <c r="P785" s="17" t="n">
        <v>0</v>
      </c>
      <c r="Q785" s="18" t="n">
        <v>0</v>
      </c>
      <c r="R785" s="16" t="n">
        <v>1.333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0</v>
      </c>
      <c r="Y785" s="17" t="n">
        <v>0</v>
      </c>
      <c r="Z785" s="17" t="n">
        <v>1.333</v>
      </c>
      <c r="AA785" s="17" t="n">
        <v>0</v>
      </c>
      <c r="AB785" s="18" t="n">
        <v>0</v>
      </c>
      <c r="AC785" s="16" t="n">
        <v>-1.333</v>
      </c>
      <c r="AD785" s="17" t="n">
        <v>0</v>
      </c>
      <c r="AE785" s="17" t="n">
        <v>0</v>
      </c>
      <c r="AF785" s="17" t="n">
        <v>0</v>
      </c>
      <c r="AG785" s="17" t="n">
        <v>0</v>
      </c>
      <c r="AH785" s="17" t="n">
        <v>0</v>
      </c>
      <c r="AI785" s="17" t="n">
        <v>0</v>
      </c>
      <c r="AJ785" s="17" t="n">
        <v>0</v>
      </c>
      <c r="AK785" s="17" t="n">
        <v>-1.333</v>
      </c>
      <c r="AL785" s="17" t="n">
        <v>0</v>
      </c>
      <c r="AM785" s="18" t="n">
        <v>0</v>
      </c>
      <c r="AN785" s="16" t="n">
        <v>14</v>
      </c>
      <c r="AO785" s="17" t="n">
        <v>0</v>
      </c>
      <c r="AP785" s="17" t="n">
        <v>0</v>
      </c>
      <c r="AQ785" s="17" t="n">
        <v>0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13</v>
      </c>
      <c r="AW785" s="17" t="n">
        <v>0</v>
      </c>
      <c r="AX785" s="18" t="n">
        <v>0</v>
      </c>
      <c r="AY785" s="16" t="n">
        <v>0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8" t="n">
        <v>0</v>
      </c>
      <c r="BJ785" s="16" t="n">
        <v>14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13</v>
      </c>
      <c r="BS785" s="17" t="n">
        <v>0</v>
      </c>
      <c r="BT785" s="18" t="n">
        <v>0</v>
      </c>
      <c r="BU785" s="17" t="inlineStr">
        <is>
          <t>Unclassified</t>
        </is>
      </c>
    </row>
    <row r="786" ht="20" customHeight="1">
      <c r="A786" s="15" t="inlineStr">
        <is>
          <t>65862014736</t>
        </is>
      </c>
      <c r="B786" s="15" t="inlineStr">
        <is>
          <t xml:space="preserve">SUMATRIPTAN SUCCINATE 50MG TAB </t>
        </is>
      </c>
      <c r="C786" s="16" t="n">
        <v>9</v>
      </c>
      <c r="D786" s="16" t="n">
        <v>0</v>
      </c>
      <c r="E786" s="16" t="n">
        <v>0</v>
      </c>
      <c r="F786" s="16" t="n">
        <v>0</v>
      </c>
      <c r="G786" s="16" t="n">
        <v>9</v>
      </c>
      <c r="H786" s="17" t="n">
        <v>0</v>
      </c>
      <c r="I786" s="17" t="n">
        <v>0</v>
      </c>
      <c r="J786" s="17" t="n">
        <v>9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8" t="n">
        <v>0</v>
      </c>
      <c r="R786" s="16" t="n">
        <v>1</v>
      </c>
      <c r="S786" s="17" t="n">
        <v>0</v>
      </c>
      <c r="T786" s="17" t="n">
        <v>0</v>
      </c>
      <c r="U786" s="17" t="n">
        <v>1</v>
      </c>
      <c r="V786" s="17" t="n">
        <v>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8" t="n">
        <v>0</v>
      </c>
      <c r="AC786" s="16" t="n">
        <v>-1</v>
      </c>
      <c r="AD786" s="17" t="n">
        <v>0</v>
      </c>
      <c r="AE786" s="17" t="n">
        <v>0</v>
      </c>
      <c r="AF786" s="17" t="n">
        <v>-1</v>
      </c>
      <c r="AG786" s="17" t="n">
        <v>0</v>
      </c>
      <c r="AH786" s="17" t="n">
        <v>0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8" t="n">
        <v>0</v>
      </c>
      <c r="AN786" s="16" t="n">
        <v>3</v>
      </c>
      <c r="AO786" s="17" t="n">
        <v>0</v>
      </c>
      <c r="AP786" s="17" t="n">
        <v>0</v>
      </c>
      <c r="AQ786" s="17" t="n">
        <v>3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8" t="n">
        <v>0</v>
      </c>
      <c r="AY786" s="16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7" t="n">
        <v>0</v>
      </c>
      <c r="BG786" s="17" t="n">
        <v>0</v>
      </c>
      <c r="BH786" s="17" t="n">
        <v>0</v>
      </c>
      <c r="BI786" s="18" t="n">
        <v>0</v>
      </c>
      <c r="BJ786" s="16" t="n">
        <v>3</v>
      </c>
      <c r="BK786" s="17" t="n">
        <v>0</v>
      </c>
      <c r="BL786" s="17" t="n">
        <v>0</v>
      </c>
      <c r="BM786" s="17" t="n">
        <v>3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7" t="n">
        <v>0</v>
      </c>
      <c r="BT786" s="18" t="n">
        <v>0</v>
      </c>
      <c r="BU786" s="17" t="inlineStr">
        <is>
          <t>Unclassified</t>
        </is>
      </c>
    </row>
    <row r="787" ht="20" customHeight="1">
      <c r="A787" s="15" t="inlineStr">
        <is>
          <t>81968035101</t>
        </is>
      </c>
      <c r="B787" s="15" t="inlineStr">
        <is>
          <t>SUNOSI 150 MG ORAL TABLET</t>
        </is>
      </c>
      <c r="C787" s="16" t="n">
        <v>30</v>
      </c>
      <c r="D787" s="16" t="n">
        <v>1</v>
      </c>
      <c r="E787" s="16" t="n">
        <v>1</v>
      </c>
      <c r="F787" s="16" t="n">
        <v>953</v>
      </c>
      <c r="G787" s="16" t="n">
        <v>30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30</v>
      </c>
      <c r="P787" s="17" t="n">
        <v>0</v>
      </c>
      <c r="Q787" s="18" t="n">
        <v>0</v>
      </c>
      <c r="R787" s="16" t="n">
        <v>1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0</v>
      </c>
      <c r="Y787" s="17" t="n">
        <v>0</v>
      </c>
      <c r="Z787" s="17" t="n">
        <v>1</v>
      </c>
      <c r="AA787" s="17" t="n">
        <v>0</v>
      </c>
      <c r="AB787" s="18" t="n">
        <v>0</v>
      </c>
      <c r="AC787" s="16" t="n">
        <v>0</v>
      </c>
      <c r="AD787" s="17" t="n">
        <v>1</v>
      </c>
      <c r="AE787" s="17" t="n">
        <v>1</v>
      </c>
      <c r="AF787" s="17" t="n">
        <v>1</v>
      </c>
      <c r="AG787" s="17" t="n">
        <v>1</v>
      </c>
      <c r="AH787" s="17" t="n">
        <v>1</v>
      </c>
      <c r="AI787" s="17" t="n">
        <v>1</v>
      </c>
      <c r="AJ787" s="17" t="n">
        <v>1</v>
      </c>
      <c r="AK787" s="17" t="n">
        <v>0</v>
      </c>
      <c r="AL787" s="17" t="n">
        <v>1</v>
      </c>
      <c r="AM787" s="18" t="n">
        <v>1</v>
      </c>
      <c r="AN787" s="16" t="n">
        <v>950</v>
      </c>
      <c r="AO787" s="17" t="n">
        <v>0</v>
      </c>
      <c r="AP787" s="17" t="n">
        <v>0</v>
      </c>
      <c r="AQ787" s="17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847</v>
      </c>
      <c r="AW787" s="17" t="n">
        <v>0</v>
      </c>
      <c r="AX787" s="18" t="n">
        <v>0</v>
      </c>
      <c r="AY787" s="16" t="n">
        <v>953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953</v>
      </c>
      <c r="BH787" s="17" t="n">
        <v>0</v>
      </c>
      <c r="BI787" s="18" t="n">
        <v>0</v>
      </c>
      <c r="BJ787" s="16" t="n">
        <v>-3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-106</v>
      </c>
      <c r="BS787" s="17" t="n">
        <v>0</v>
      </c>
      <c r="BT787" s="18" t="n">
        <v>0</v>
      </c>
      <c r="BU787" s="17" t="inlineStr">
        <is>
          <t>Branded Drug</t>
        </is>
      </c>
    </row>
    <row r="788" ht="20" customHeight="1">
      <c r="A788" s="15" t="inlineStr">
        <is>
          <t>00186037020</t>
        </is>
      </c>
      <c r="B788" s="15" t="inlineStr">
        <is>
          <t>SYMBICORT 160-4.5MCG/ACT AEROSOL</t>
        </is>
      </c>
      <c r="C788" s="16" t="n">
        <v>10.2</v>
      </c>
      <c r="D788" s="16" t="n">
        <v>0</v>
      </c>
      <c r="E788" s="16" t="n">
        <v>0</v>
      </c>
      <c r="F788" s="16" t="n">
        <v>0</v>
      </c>
      <c r="G788" s="16" t="n">
        <v>71.40000000000001</v>
      </c>
      <c r="H788" s="17" t="n">
        <v>0</v>
      </c>
      <c r="I788" s="17" t="n">
        <v>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71.40000000000001</v>
      </c>
      <c r="O788" s="17" t="n">
        <v>0</v>
      </c>
      <c r="P788" s="17" t="n">
        <v>0</v>
      </c>
      <c r="Q788" s="18" t="n">
        <v>0</v>
      </c>
      <c r="R788" s="16" t="n">
        <v>7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7" t="n">
        <v>0</v>
      </c>
      <c r="Y788" s="17" t="n">
        <v>7</v>
      </c>
      <c r="Z788" s="17" t="n">
        <v>0</v>
      </c>
      <c r="AA788" s="17" t="n">
        <v>0</v>
      </c>
      <c r="AB788" s="18" t="n">
        <v>0</v>
      </c>
      <c r="AC788" s="16" t="n">
        <v>-7</v>
      </c>
      <c r="AD788" s="17" t="n">
        <v>0</v>
      </c>
      <c r="AE788" s="17" t="n">
        <v>0</v>
      </c>
      <c r="AF788" s="17" t="n">
        <v>0</v>
      </c>
      <c r="AG788" s="17" t="n">
        <v>0</v>
      </c>
      <c r="AH788" s="17" t="n">
        <v>0</v>
      </c>
      <c r="AI788" s="17" t="n">
        <v>0</v>
      </c>
      <c r="AJ788" s="17" t="n">
        <v>-7</v>
      </c>
      <c r="AK788" s="17" t="n">
        <v>0</v>
      </c>
      <c r="AL788" s="17" t="n">
        <v>0</v>
      </c>
      <c r="AM788" s="18" t="n">
        <v>0</v>
      </c>
      <c r="AN788" s="16" t="n">
        <v>1644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7" t="n">
        <v>0</v>
      </c>
      <c r="AT788" s="17" t="n">
        <v>0</v>
      </c>
      <c r="AU788" s="17" t="n">
        <v>1643</v>
      </c>
      <c r="AV788" s="17" t="n">
        <v>0</v>
      </c>
      <c r="AW788" s="17" t="n">
        <v>0</v>
      </c>
      <c r="AX788" s="18" t="n">
        <v>0</v>
      </c>
      <c r="AY788" s="16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7" t="n">
        <v>0</v>
      </c>
      <c r="BI788" s="18" t="n">
        <v>0</v>
      </c>
      <c r="BJ788" s="16" t="n">
        <v>1644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1643</v>
      </c>
      <c r="BR788" s="17" t="n">
        <v>0</v>
      </c>
      <c r="BS788" s="17" t="n">
        <v>0</v>
      </c>
      <c r="BT788" s="18" t="n">
        <v>0</v>
      </c>
      <c r="BU788" s="17" t="inlineStr">
        <is>
          <t>Unclassified</t>
        </is>
      </c>
    </row>
    <row r="789" ht="20" customHeight="1">
      <c r="A789" s="15" t="inlineStr">
        <is>
          <t>00186037220</t>
        </is>
      </c>
      <c r="B789" s="15" t="inlineStr">
        <is>
          <t>SYMBICORT 80-4.5MCG/ACT AEROSOL</t>
        </is>
      </c>
      <c r="C789" s="16" t="n">
        <v>10.2</v>
      </c>
      <c r="D789" s="16" t="n">
        <v>0</v>
      </c>
      <c r="E789" s="16" t="n">
        <v>0</v>
      </c>
      <c r="F789" s="16" t="n">
        <v>0</v>
      </c>
      <c r="G789" s="16" t="n">
        <v>20.4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20.4</v>
      </c>
      <c r="O789" s="17" t="n">
        <v>0</v>
      </c>
      <c r="P789" s="17" t="n">
        <v>0</v>
      </c>
      <c r="Q789" s="18" t="n">
        <v>0</v>
      </c>
      <c r="R789" s="16" t="n">
        <v>2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2</v>
      </c>
      <c r="Z789" s="17" t="n">
        <v>0</v>
      </c>
      <c r="AA789" s="17" t="n">
        <v>0</v>
      </c>
      <c r="AB789" s="18" t="n">
        <v>0</v>
      </c>
      <c r="AC789" s="16" t="n">
        <v>-2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0</v>
      </c>
      <c r="AJ789" s="17" t="n">
        <v>-2</v>
      </c>
      <c r="AK789" s="17" t="n">
        <v>0</v>
      </c>
      <c r="AL789" s="17" t="n">
        <v>0</v>
      </c>
      <c r="AM789" s="18" t="n">
        <v>0</v>
      </c>
      <c r="AN789" s="16" t="n">
        <v>413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413</v>
      </c>
      <c r="AV789" s="17" t="n">
        <v>0</v>
      </c>
      <c r="AW789" s="17" t="n">
        <v>0</v>
      </c>
      <c r="AX789" s="18" t="n">
        <v>0</v>
      </c>
      <c r="AY789" s="16" t="n">
        <v>0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8" t="n">
        <v>0</v>
      </c>
      <c r="BJ789" s="16" t="n">
        <v>413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413</v>
      </c>
      <c r="BR789" s="17" t="n">
        <v>0</v>
      </c>
      <c r="BS789" s="17" t="n">
        <v>0</v>
      </c>
      <c r="BT789" s="18" t="n">
        <v>0</v>
      </c>
      <c r="BU789" s="17" t="inlineStr">
        <is>
          <t>Unclassified</t>
        </is>
      </c>
    </row>
    <row r="790" ht="20" customHeight="1">
      <c r="A790" s="15" t="inlineStr">
        <is>
          <t>59676080030</t>
        </is>
      </c>
      <c r="B790" s="15" t="inlineStr">
        <is>
          <t>SYMTUZA 800-150-200-10MG TABLET</t>
        </is>
      </c>
      <c r="C790" s="16" t="n">
        <v>30</v>
      </c>
      <c r="D790" s="16" t="n">
        <v>0</v>
      </c>
      <c r="E790" s="16" t="n">
        <v>0</v>
      </c>
      <c r="F790" s="16" t="n">
        <v>0</v>
      </c>
      <c r="G790" s="16" t="n">
        <v>30</v>
      </c>
      <c r="H790" s="17" t="n">
        <v>0</v>
      </c>
      <c r="I790" s="17" t="n">
        <v>0</v>
      </c>
      <c r="J790" s="17" t="n">
        <v>30</v>
      </c>
      <c r="K790" s="17" t="n">
        <v>0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8" t="n">
        <v>0</v>
      </c>
      <c r="R790" s="16" t="n">
        <v>1</v>
      </c>
      <c r="S790" s="17" t="n">
        <v>0</v>
      </c>
      <c r="T790" s="17" t="n">
        <v>0</v>
      </c>
      <c r="U790" s="17" t="n">
        <v>1</v>
      </c>
      <c r="V790" s="17" t="n">
        <v>0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8" t="n">
        <v>0</v>
      </c>
      <c r="AC790" s="16" t="n">
        <v>-1</v>
      </c>
      <c r="AD790" s="17" t="n">
        <v>0</v>
      </c>
      <c r="AE790" s="17" t="n">
        <v>0</v>
      </c>
      <c r="AF790" s="17" t="n">
        <v>-1</v>
      </c>
      <c r="AG790" s="17" t="n">
        <v>0</v>
      </c>
      <c r="AH790" s="17" t="n">
        <v>0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8" t="n">
        <v>0</v>
      </c>
      <c r="AN790" s="16" t="n">
        <v>4488</v>
      </c>
      <c r="AO790" s="17" t="n">
        <v>0</v>
      </c>
      <c r="AP790" s="17" t="n">
        <v>0</v>
      </c>
      <c r="AQ790" s="17" t="n">
        <v>4483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8" t="n">
        <v>0</v>
      </c>
      <c r="AY790" s="16" t="n">
        <v>0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0</v>
      </c>
      <c r="BH790" s="17" t="n">
        <v>0</v>
      </c>
      <c r="BI790" s="18" t="n">
        <v>0</v>
      </c>
      <c r="BJ790" s="16" t="n">
        <v>4488</v>
      </c>
      <c r="BK790" s="17" t="n">
        <v>0</v>
      </c>
      <c r="BL790" s="17" t="n">
        <v>0</v>
      </c>
      <c r="BM790" s="17" t="n">
        <v>4483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7" t="n">
        <v>0</v>
      </c>
      <c r="BT790" s="18" t="n">
        <v>0</v>
      </c>
      <c r="BU790" s="17" t="inlineStr">
        <is>
          <t>Unclassified</t>
        </is>
      </c>
    </row>
    <row r="791" ht="20" customHeight="1">
      <c r="A791" s="15" t="inlineStr">
        <is>
          <t>00597017560</t>
        </is>
      </c>
      <c r="B791" s="15" t="inlineStr">
        <is>
          <t>SYNJARDY 5-1000 MG TABLET</t>
        </is>
      </c>
      <c r="C791" s="16" t="n">
        <v>60</v>
      </c>
      <c r="D791" s="16" t="n">
        <v>0</v>
      </c>
      <c r="E791" s="16" t="n">
        <v>0</v>
      </c>
      <c r="F791" s="16" t="n">
        <v>0</v>
      </c>
      <c r="G791" s="16" t="n">
        <v>60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60</v>
      </c>
      <c r="O791" s="17" t="n">
        <v>0</v>
      </c>
      <c r="P791" s="17" t="n">
        <v>0</v>
      </c>
      <c r="Q791" s="18" t="n">
        <v>0</v>
      </c>
      <c r="R791" s="16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0</v>
      </c>
      <c r="Y791" s="17" t="n">
        <v>1</v>
      </c>
      <c r="Z791" s="17" t="n">
        <v>0</v>
      </c>
      <c r="AA791" s="17" t="n">
        <v>0</v>
      </c>
      <c r="AB791" s="18" t="n">
        <v>0</v>
      </c>
      <c r="AC791" s="16" t="n">
        <v>-1</v>
      </c>
      <c r="AD791" s="17" t="n">
        <v>0</v>
      </c>
      <c r="AE791" s="17" t="n">
        <v>0</v>
      </c>
      <c r="AF791" s="17" t="n">
        <v>0</v>
      </c>
      <c r="AG791" s="17" t="n">
        <v>0</v>
      </c>
      <c r="AH791" s="17" t="n">
        <v>0</v>
      </c>
      <c r="AI791" s="17" t="n">
        <v>0</v>
      </c>
      <c r="AJ791" s="17" t="n">
        <v>-1</v>
      </c>
      <c r="AK791" s="17" t="n">
        <v>0</v>
      </c>
      <c r="AL791" s="17" t="n">
        <v>0</v>
      </c>
      <c r="AM791" s="18" t="n">
        <v>0</v>
      </c>
      <c r="AN791" s="16" t="n">
        <v>346</v>
      </c>
      <c r="AO791" s="17" t="n">
        <v>0</v>
      </c>
      <c r="AP791" s="17" t="n">
        <v>0</v>
      </c>
      <c r="AQ791" s="17" t="n">
        <v>0</v>
      </c>
      <c r="AR791" s="17" t="n">
        <v>0</v>
      </c>
      <c r="AS791" s="17" t="n">
        <v>0</v>
      </c>
      <c r="AT791" s="17" t="n">
        <v>0</v>
      </c>
      <c r="AU791" s="17" t="n">
        <v>346</v>
      </c>
      <c r="AV791" s="17" t="n">
        <v>0</v>
      </c>
      <c r="AW791" s="17" t="n">
        <v>0</v>
      </c>
      <c r="AX791" s="18" t="n">
        <v>0</v>
      </c>
      <c r="AY791" s="16" t="n">
        <v>0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8" t="n">
        <v>0</v>
      </c>
      <c r="BJ791" s="16" t="n">
        <v>346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346</v>
      </c>
      <c r="BR791" s="17" t="n">
        <v>0</v>
      </c>
      <c r="BS791" s="17" t="n">
        <v>0</v>
      </c>
      <c r="BT791" s="18" t="n">
        <v>0</v>
      </c>
      <c r="BU791" s="17" t="inlineStr">
        <is>
          <t>Unclassified</t>
        </is>
      </c>
    </row>
    <row r="792" ht="20" customHeight="1">
      <c r="A792" s="15" t="inlineStr">
        <is>
          <t>00597030045</t>
        </is>
      </c>
      <c r="B792" s="15" t="inlineStr">
        <is>
          <t>SYNJARDY XR 12.5-1000 MG TABLET ER</t>
        </is>
      </c>
      <c r="C792" s="16" t="n">
        <v>60</v>
      </c>
      <c r="D792" s="16" t="n">
        <v>5</v>
      </c>
      <c r="E792" s="16" t="n">
        <v>5</v>
      </c>
      <c r="F792" s="16" t="n">
        <v>340</v>
      </c>
      <c r="G792" s="16" t="n">
        <v>90</v>
      </c>
      <c r="H792" s="17" t="n">
        <v>0</v>
      </c>
      <c r="I792" s="17" t="n">
        <v>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90</v>
      </c>
      <c r="Q792" s="18" t="n">
        <v>0</v>
      </c>
      <c r="R792" s="16" t="n">
        <v>1.5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1.5</v>
      </c>
      <c r="AB792" s="18" t="n">
        <v>0</v>
      </c>
      <c r="AC792" s="16" t="n">
        <v>3.5</v>
      </c>
      <c r="AD792" s="17" t="n">
        <v>5</v>
      </c>
      <c r="AE792" s="17" t="n">
        <v>5</v>
      </c>
      <c r="AF792" s="17" t="n">
        <v>5</v>
      </c>
      <c r="AG792" s="17" t="n">
        <v>5</v>
      </c>
      <c r="AH792" s="17" t="n">
        <v>5</v>
      </c>
      <c r="AI792" s="17" t="n">
        <v>5</v>
      </c>
      <c r="AJ792" s="17" t="n">
        <v>5</v>
      </c>
      <c r="AK792" s="17" t="n">
        <v>5</v>
      </c>
      <c r="AL792" s="17" t="n">
        <v>3.5</v>
      </c>
      <c r="AM792" s="18" t="n">
        <v>5</v>
      </c>
      <c r="AN792" s="16" t="n">
        <v>456</v>
      </c>
      <c r="AO792" s="17" t="n">
        <v>0</v>
      </c>
      <c r="AP792" s="17" t="n">
        <v>0</v>
      </c>
      <c r="AQ792" s="17" t="n">
        <v>0</v>
      </c>
      <c r="AR792" s="17" t="n">
        <v>0</v>
      </c>
      <c r="AS792" s="17" t="n">
        <v>0</v>
      </c>
      <c r="AT792" s="17" t="n">
        <v>0</v>
      </c>
      <c r="AU792" s="17" t="n">
        <v>0</v>
      </c>
      <c r="AV792" s="17" t="n">
        <v>0</v>
      </c>
      <c r="AW792" s="17" t="n">
        <v>456</v>
      </c>
      <c r="AX792" s="18" t="n">
        <v>0</v>
      </c>
      <c r="AY792" s="16" t="n">
        <v>510</v>
      </c>
      <c r="AZ792" s="17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7" t="n">
        <v>510</v>
      </c>
      <c r="BI792" s="18" t="n">
        <v>0</v>
      </c>
      <c r="BJ792" s="16" t="n">
        <v>-54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7" t="n">
        <v>-54</v>
      </c>
      <c r="BT792" s="18" t="n">
        <v>0</v>
      </c>
      <c r="BU792" s="17" t="inlineStr">
        <is>
          <t>Branded Drug</t>
        </is>
      </c>
    </row>
    <row r="793" ht="20" customHeight="1">
      <c r="A793" s="15" t="inlineStr">
        <is>
          <t>00597029588</t>
        </is>
      </c>
      <c r="B793" s="15" t="inlineStr">
        <is>
          <t>SYNJARDY XR 25-1000MG TABLET</t>
        </is>
      </c>
      <c r="C793" s="16" t="n">
        <v>30</v>
      </c>
      <c r="D793" s="16" t="n">
        <v>0</v>
      </c>
      <c r="E793" s="16" t="n">
        <v>0</v>
      </c>
      <c r="F793" s="16" t="n">
        <v>0</v>
      </c>
      <c r="G793" s="16" t="n">
        <v>30</v>
      </c>
      <c r="H793" s="17" t="n">
        <v>0</v>
      </c>
      <c r="I793" s="17" t="n">
        <v>0</v>
      </c>
      <c r="J793" s="17" t="n">
        <v>30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8" t="n">
        <v>0</v>
      </c>
      <c r="R793" s="16" t="n">
        <v>1</v>
      </c>
      <c r="S793" s="17" t="n">
        <v>0</v>
      </c>
      <c r="T793" s="17" t="n">
        <v>0</v>
      </c>
      <c r="U793" s="17" t="n">
        <v>1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8" t="n">
        <v>0</v>
      </c>
      <c r="AC793" s="16" t="n">
        <v>-1</v>
      </c>
      <c r="AD793" s="17" t="n">
        <v>0</v>
      </c>
      <c r="AE793" s="17" t="n">
        <v>0</v>
      </c>
      <c r="AF793" s="17" t="n">
        <v>-1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8" t="n">
        <v>0</v>
      </c>
      <c r="AN793" s="16" t="n">
        <v>333</v>
      </c>
      <c r="AO793" s="17" t="n">
        <v>0</v>
      </c>
      <c r="AP793" s="17" t="n">
        <v>0</v>
      </c>
      <c r="AQ793" s="17" t="n">
        <v>328</v>
      </c>
      <c r="AR793" s="17" t="n">
        <v>0</v>
      </c>
      <c r="AS793" s="17" t="n">
        <v>0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8" t="n">
        <v>0</v>
      </c>
      <c r="AY793" s="16" t="n">
        <v>0</v>
      </c>
      <c r="AZ793" s="17" t="n">
        <v>0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8" t="n">
        <v>0</v>
      </c>
      <c r="BJ793" s="16" t="n">
        <v>333</v>
      </c>
      <c r="BK793" s="17" t="n">
        <v>0</v>
      </c>
      <c r="BL793" s="17" t="n">
        <v>0</v>
      </c>
      <c r="BM793" s="17" t="n">
        <v>328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8" t="n">
        <v>0</v>
      </c>
      <c r="BU793" s="17" t="inlineStr">
        <is>
          <t>Unclassified</t>
        </is>
      </c>
    </row>
    <row r="794" ht="20" customHeight="1">
      <c r="A794" s="15" t="inlineStr">
        <is>
          <t>00074706890</t>
        </is>
      </c>
      <c r="B794" s="15" t="inlineStr">
        <is>
          <t>SYNTHROID 125 MCG ORAL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30</v>
      </c>
      <c r="H794" s="17" t="n">
        <v>0</v>
      </c>
      <c r="I794" s="17" t="n">
        <v>0</v>
      </c>
      <c r="J794" s="17" t="n">
        <v>30</v>
      </c>
      <c r="K794" s="17" t="n">
        <v>0</v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8" t="n">
        <v>0</v>
      </c>
      <c r="R794" s="16" t="n">
        <v>0.333</v>
      </c>
      <c r="S794" s="17" t="n">
        <v>0</v>
      </c>
      <c r="T794" s="17" t="n">
        <v>0</v>
      </c>
      <c r="U794" s="17" t="n">
        <v>0.333</v>
      </c>
      <c r="V794" s="17" t="n">
        <v>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8" t="n">
        <v>0</v>
      </c>
      <c r="AC794" s="16" t="n">
        <v>0.667</v>
      </c>
      <c r="AD794" s="17" t="n">
        <v>1</v>
      </c>
      <c r="AE794" s="17" t="n">
        <v>1</v>
      </c>
      <c r="AF794" s="17" t="n">
        <v>0.667</v>
      </c>
      <c r="AG794" s="17" t="n">
        <v>1</v>
      </c>
      <c r="AH794" s="17" t="n">
        <v>1</v>
      </c>
      <c r="AI794" s="17" t="n">
        <v>1</v>
      </c>
      <c r="AJ794" s="17" t="n">
        <v>1</v>
      </c>
      <c r="AK794" s="17" t="n">
        <v>1</v>
      </c>
      <c r="AL794" s="17" t="n">
        <v>1</v>
      </c>
      <c r="AM794" s="18" t="n">
        <v>1</v>
      </c>
      <c r="AN794" s="16" t="n">
        <v>50</v>
      </c>
      <c r="AO794" s="17" t="n">
        <v>0</v>
      </c>
      <c r="AP794" s="17" t="n">
        <v>0</v>
      </c>
      <c r="AQ794" s="17" t="n">
        <v>50</v>
      </c>
      <c r="AR794" s="17" t="n">
        <v>0</v>
      </c>
      <c r="AS794" s="17" t="n">
        <v>0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8" t="n">
        <v>0</v>
      </c>
      <c r="AY794" s="16" t="n">
        <v>51</v>
      </c>
      <c r="AZ794" s="17" t="n">
        <v>0</v>
      </c>
      <c r="BA794" s="17" t="n">
        <v>0</v>
      </c>
      <c r="BB794" s="17" t="n">
        <v>51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7" t="n">
        <v>0</v>
      </c>
      <c r="BI794" s="18" t="n">
        <v>0</v>
      </c>
      <c r="BJ794" s="16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7" t="n">
        <v>0</v>
      </c>
      <c r="BT794" s="18" t="n">
        <v>0</v>
      </c>
      <c r="BU794" s="17" t="inlineStr">
        <is>
          <t>Branded Drug</t>
        </is>
      </c>
    </row>
    <row r="795" ht="20" customHeight="1">
      <c r="A795" s="15" t="inlineStr">
        <is>
          <t>00074434190</t>
        </is>
      </c>
      <c r="B795" s="15" t="inlineStr">
        <is>
          <t>SYNTHROID 25 MCG ORAL TABLET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0</v>
      </c>
      <c r="J795" s="17" t="n">
        <v>90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8" t="n">
        <v>0</v>
      </c>
      <c r="R795" s="16" t="n">
        <v>1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8" t="n">
        <v>0</v>
      </c>
      <c r="AC795" s="16" t="n">
        <v>0</v>
      </c>
      <c r="AD795" s="17" t="n">
        <v>1</v>
      </c>
      <c r="AE795" s="17" t="n">
        <v>1</v>
      </c>
      <c r="AF795" s="17" t="n">
        <v>0</v>
      </c>
      <c r="AG795" s="17" t="n">
        <v>1</v>
      </c>
      <c r="AH795" s="17" t="n">
        <v>1</v>
      </c>
      <c r="AI795" s="17" t="n">
        <v>1</v>
      </c>
      <c r="AJ795" s="17" t="n">
        <v>1</v>
      </c>
      <c r="AK795" s="17" t="n">
        <v>1</v>
      </c>
      <c r="AL795" s="17" t="n">
        <v>1</v>
      </c>
      <c r="AM795" s="18" t="n">
        <v>1</v>
      </c>
      <c r="AN795" s="16" t="n">
        <v>146</v>
      </c>
      <c r="AO795" s="17" t="n">
        <v>0</v>
      </c>
      <c r="AP795" s="17" t="n">
        <v>0</v>
      </c>
      <c r="AQ795" s="17" t="n">
        <v>146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8" t="n">
        <v>0</v>
      </c>
      <c r="AY795" s="16" t="n">
        <v>152</v>
      </c>
      <c r="AZ795" s="17" t="n">
        <v>0</v>
      </c>
      <c r="BA795" s="17" t="n">
        <v>0</v>
      </c>
      <c r="BB795" s="17" t="n">
        <v>152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8" t="n">
        <v>0</v>
      </c>
      <c r="BJ795" s="16" t="n">
        <v>-6</v>
      </c>
      <c r="BK795" s="17" t="n">
        <v>0</v>
      </c>
      <c r="BL795" s="17" t="n">
        <v>0</v>
      </c>
      <c r="BM795" s="17" t="n">
        <v>-6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8" t="n">
        <v>0</v>
      </c>
      <c r="BU795" s="17" t="inlineStr">
        <is>
          <t>Branded Drug</t>
        </is>
      </c>
    </row>
    <row r="796" ht="20" customHeight="1">
      <c r="A796" s="15" t="inlineStr">
        <is>
          <t>00074455290</t>
        </is>
      </c>
      <c r="B796" s="15" t="inlineStr">
        <is>
          <t>SYNTHROID 50MCG TABLET</t>
        </is>
      </c>
      <c r="C796" s="16" t="n">
        <v>90</v>
      </c>
      <c r="D796" s="16" t="n">
        <v>1</v>
      </c>
      <c r="E796" s="16" t="n">
        <v>1</v>
      </c>
      <c r="F796" s="16" t="n">
        <v>152</v>
      </c>
      <c r="G796" s="16" t="n">
        <v>90</v>
      </c>
      <c r="H796" s="17" t="n">
        <v>0</v>
      </c>
      <c r="I796" s="17" t="n">
        <v>0</v>
      </c>
      <c r="J796" s="17" t="n">
        <v>90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8" t="n">
        <v>0</v>
      </c>
      <c r="R796" s="16" t="n">
        <v>1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8" t="n">
        <v>0</v>
      </c>
      <c r="AC796" s="16" t="n">
        <v>0</v>
      </c>
      <c r="AD796" s="17" t="n">
        <v>1</v>
      </c>
      <c r="AE796" s="17" t="n">
        <v>1</v>
      </c>
      <c r="AF796" s="17" t="n">
        <v>0</v>
      </c>
      <c r="AG796" s="17" t="n">
        <v>1</v>
      </c>
      <c r="AH796" s="17" t="n">
        <v>1</v>
      </c>
      <c r="AI796" s="17" t="n">
        <v>1</v>
      </c>
      <c r="AJ796" s="17" t="n">
        <v>1</v>
      </c>
      <c r="AK796" s="17" t="n">
        <v>1</v>
      </c>
      <c r="AL796" s="17" t="n">
        <v>1</v>
      </c>
      <c r="AM796" s="18" t="n">
        <v>1</v>
      </c>
      <c r="AN796" s="16" t="n">
        <v>146</v>
      </c>
      <c r="AO796" s="17" t="n">
        <v>0</v>
      </c>
      <c r="AP796" s="17" t="n">
        <v>0</v>
      </c>
      <c r="AQ796" s="17" t="n">
        <v>141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8" t="n">
        <v>0</v>
      </c>
      <c r="AY796" s="16" t="n">
        <v>152</v>
      </c>
      <c r="AZ796" s="17" t="n">
        <v>0</v>
      </c>
      <c r="BA796" s="17" t="n">
        <v>0</v>
      </c>
      <c r="BB796" s="17" t="n">
        <v>152</v>
      </c>
      <c r="BC796" s="17" t="n">
        <v>0</v>
      </c>
      <c r="BD796" s="17" t="n">
        <v>0</v>
      </c>
      <c r="BE796" s="17" t="n">
        <v>0</v>
      </c>
      <c r="BF796" s="17" t="n">
        <v>0</v>
      </c>
      <c r="BG796" s="17" t="n">
        <v>0</v>
      </c>
      <c r="BH796" s="17" t="n">
        <v>0</v>
      </c>
      <c r="BI796" s="18" t="n">
        <v>0</v>
      </c>
      <c r="BJ796" s="16" t="n">
        <v>-6</v>
      </c>
      <c r="BK796" s="17" t="n">
        <v>0</v>
      </c>
      <c r="BL796" s="17" t="n">
        <v>0</v>
      </c>
      <c r="BM796" s="17" t="n">
        <v>-11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7" t="n">
        <v>0</v>
      </c>
      <c r="BT796" s="18" t="n">
        <v>0</v>
      </c>
      <c r="BU796" s="17" t="inlineStr">
        <is>
          <t>Branded Drug</t>
        </is>
      </c>
    </row>
    <row r="797" ht="20" customHeight="1">
      <c r="A797" s="15" t="inlineStr">
        <is>
          <t>00074518290</t>
        </is>
      </c>
      <c r="B797" s="15" t="inlineStr">
        <is>
          <t xml:space="preserve">SYNTHROID 75MCG TABLET </t>
        </is>
      </c>
      <c r="C797" s="16" t="n">
        <v>90</v>
      </c>
      <c r="D797" s="16" t="n">
        <v>1</v>
      </c>
      <c r="E797" s="16" t="n">
        <v>1</v>
      </c>
      <c r="F797" s="16" t="n">
        <v>152</v>
      </c>
      <c r="G797" s="16" t="n">
        <v>90</v>
      </c>
      <c r="H797" s="17" t="n">
        <v>0</v>
      </c>
      <c r="I797" s="17" t="n">
        <v>0</v>
      </c>
      <c r="J797" s="17" t="n">
        <v>90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8" t="n">
        <v>0</v>
      </c>
      <c r="R797" s="16" t="n">
        <v>1</v>
      </c>
      <c r="S797" s="17" t="n">
        <v>0</v>
      </c>
      <c r="T797" s="17" t="n">
        <v>0</v>
      </c>
      <c r="U797" s="17" t="n">
        <v>1</v>
      </c>
      <c r="V797" s="17" t="n">
        <v>0</v>
      </c>
      <c r="W797" s="17" t="n">
        <v>0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8" t="n">
        <v>0</v>
      </c>
      <c r="AC797" s="16" t="n">
        <v>0</v>
      </c>
      <c r="AD797" s="17" t="n">
        <v>1</v>
      </c>
      <c r="AE797" s="17" t="n">
        <v>1</v>
      </c>
      <c r="AF797" s="17" t="n">
        <v>0</v>
      </c>
      <c r="AG797" s="17" t="n">
        <v>1</v>
      </c>
      <c r="AH797" s="17" t="n">
        <v>1</v>
      </c>
      <c r="AI797" s="17" t="n">
        <v>1</v>
      </c>
      <c r="AJ797" s="17" t="n">
        <v>1</v>
      </c>
      <c r="AK797" s="17" t="n">
        <v>1</v>
      </c>
      <c r="AL797" s="17" t="n">
        <v>1</v>
      </c>
      <c r="AM797" s="18" t="n">
        <v>1</v>
      </c>
      <c r="AN797" s="16" t="n">
        <v>148</v>
      </c>
      <c r="AO797" s="17" t="n">
        <v>0</v>
      </c>
      <c r="AP797" s="17" t="n">
        <v>0</v>
      </c>
      <c r="AQ797" s="17" t="n">
        <v>57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8" t="n">
        <v>0</v>
      </c>
      <c r="AY797" s="16" t="n">
        <v>152</v>
      </c>
      <c r="AZ797" s="17" t="n">
        <v>0</v>
      </c>
      <c r="BA797" s="17" t="n">
        <v>0</v>
      </c>
      <c r="BB797" s="17" t="n">
        <v>152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8" t="n">
        <v>0</v>
      </c>
      <c r="BJ797" s="16" t="n">
        <v>-4</v>
      </c>
      <c r="BK797" s="17" t="n">
        <v>0</v>
      </c>
      <c r="BL797" s="17" t="n">
        <v>0</v>
      </c>
      <c r="BM797" s="17" t="n">
        <v>-95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8" t="n">
        <v>0</v>
      </c>
      <c r="BU797" s="17" t="inlineStr">
        <is>
          <t>Branded Drug</t>
        </is>
      </c>
    </row>
    <row r="798" ht="20" customHeight="1">
      <c r="A798" s="15" t="inlineStr">
        <is>
          <t>00065048110</t>
        </is>
      </c>
      <c r="B798" s="15" t="inlineStr">
        <is>
          <t>SYSTANE COMPLETE 0.6 % OPHTHALMIC SOLUTION</t>
        </is>
      </c>
      <c r="C798" s="16" t="n">
        <v>10</v>
      </c>
      <c r="D798" s="16" t="n">
        <v>0</v>
      </c>
      <c r="E798" s="16" t="n">
        <v>0</v>
      </c>
      <c r="F798" s="16" t="n">
        <v>0</v>
      </c>
      <c r="G798" s="16" t="n">
        <v>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10</v>
      </c>
      <c r="O798" s="17" t="n">
        <v>0</v>
      </c>
      <c r="P798" s="17" t="n">
        <v>0</v>
      </c>
      <c r="Q798" s="18" t="n">
        <v>0</v>
      </c>
      <c r="R798" s="16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1</v>
      </c>
      <c r="Z798" s="17" t="n">
        <v>0</v>
      </c>
      <c r="AA798" s="17" t="n">
        <v>0</v>
      </c>
      <c r="AB798" s="18" t="n">
        <v>0</v>
      </c>
      <c r="AC798" s="16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0</v>
      </c>
      <c r="AI798" s="17" t="n">
        <v>0</v>
      </c>
      <c r="AJ798" s="17" t="n">
        <v>-1</v>
      </c>
      <c r="AK798" s="17" t="n">
        <v>0</v>
      </c>
      <c r="AL798" s="17" t="n">
        <v>0</v>
      </c>
      <c r="AM798" s="18" t="n">
        <v>0</v>
      </c>
      <c r="AN798" s="16" t="n">
        <v>0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12</v>
      </c>
      <c r="AV798" s="17" t="n">
        <v>0</v>
      </c>
      <c r="AW798" s="17" t="n">
        <v>0</v>
      </c>
      <c r="AX798" s="18" t="n">
        <v>0</v>
      </c>
      <c r="AY798" s="16" t="n">
        <v>0</v>
      </c>
      <c r="AZ798" s="17" t="n">
        <v>0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0</v>
      </c>
      <c r="BF798" s="17" t="n">
        <v>0</v>
      </c>
      <c r="BG798" s="17" t="n">
        <v>0</v>
      </c>
      <c r="BH798" s="17" t="n">
        <v>0</v>
      </c>
      <c r="BI798" s="18" t="n">
        <v>0</v>
      </c>
      <c r="BJ798" s="16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12</v>
      </c>
      <c r="BR798" s="17" t="n">
        <v>0</v>
      </c>
      <c r="BS798" s="17" t="n">
        <v>0</v>
      </c>
      <c r="BT798" s="18" t="n">
        <v>0</v>
      </c>
      <c r="BU798" s="17" t="inlineStr">
        <is>
          <t>Unclassified</t>
        </is>
      </c>
    </row>
    <row r="799" ht="20" customHeight="1">
      <c r="A799" s="15" t="inlineStr">
        <is>
          <t>00065043133</t>
        </is>
      </c>
      <c r="B799" s="15" t="inlineStr">
        <is>
          <t>SYSTANE PRESERVATIVE FREE 0.4-0.3 % OPHTHALMIC SOLUTION</t>
        </is>
      </c>
      <c r="C799" s="16" t="n">
        <v>30</v>
      </c>
      <c r="D799" s="16" t="n">
        <v>5</v>
      </c>
      <c r="E799" s="16" t="n">
        <v>5</v>
      </c>
      <c r="F799" s="16" t="n">
        <v>12</v>
      </c>
      <c r="G799" s="16" t="n">
        <v>360</v>
      </c>
      <c r="H799" s="17" t="n">
        <v>0</v>
      </c>
      <c r="I799" s="17" t="n">
        <v>0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360</v>
      </c>
      <c r="O799" s="17" t="n">
        <v>0</v>
      </c>
      <c r="P799" s="17" t="n">
        <v>0</v>
      </c>
      <c r="Q799" s="18" t="n">
        <v>0</v>
      </c>
      <c r="R799" s="16" t="n">
        <v>12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12</v>
      </c>
      <c r="Z799" s="17" t="n">
        <v>0</v>
      </c>
      <c r="AA799" s="17" t="n">
        <v>0</v>
      </c>
      <c r="AB799" s="18" t="n">
        <v>0</v>
      </c>
      <c r="AC799" s="16" t="n">
        <v>-7</v>
      </c>
      <c r="AD799" s="17" t="n">
        <v>5</v>
      </c>
      <c r="AE799" s="17" t="n">
        <v>5</v>
      </c>
      <c r="AF799" s="17" t="n">
        <v>5</v>
      </c>
      <c r="AG799" s="17" t="n">
        <v>5</v>
      </c>
      <c r="AH799" s="17" t="n">
        <v>5</v>
      </c>
      <c r="AI799" s="17" t="n">
        <v>5</v>
      </c>
      <c r="AJ799" s="17" t="n">
        <v>-7</v>
      </c>
      <c r="AK799" s="17" t="n">
        <v>5</v>
      </c>
      <c r="AL799" s="17" t="n">
        <v>5</v>
      </c>
      <c r="AM799" s="18" t="n">
        <v>5</v>
      </c>
      <c r="AN799" s="16" t="n">
        <v>162</v>
      </c>
      <c r="AO799" s="17" t="n">
        <v>0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161</v>
      </c>
      <c r="AV799" s="17" t="n">
        <v>0</v>
      </c>
      <c r="AW799" s="17" t="n">
        <v>0</v>
      </c>
      <c r="AX799" s="18" t="n">
        <v>0</v>
      </c>
      <c r="AY799" s="16" t="n">
        <v>144</v>
      </c>
      <c r="AZ799" s="17" t="n">
        <v>0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144</v>
      </c>
      <c r="BG799" s="17" t="n">
        <v>0</v>
      </c>
      <c r="BH799" s="17" t="n">
        <v>0</v>
      </c>
      <c r="BI799" s="18" t="n">
        <v>0</v>
      </c>
      <c r="BJ799" s="16" t="n">
        <v>18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17</v>
      </c>
      <c r="BR799" s="17" t="n">
        <v>0</v>
      </c>
      <c r="BS799" s="17" t="n">
        <v>0</v>
      </c>
      <c r="BT799" s="18" t="n">
        <v>0</v>
      </c>
      <c r="BU799" s="17" t="inlineStr">
        <is>
          <t>OTC Drug</t>
        </is>
      </c>
    </row>
    <row r="800" ht="20" customHeight="1">
      <c r="A800" s="15" t="inlineStr">
        <is>
          <t>00168041730</t>
        </is>
      </c>
      <c r="B800" s="15" t="inlineStr">
        <is>
          <t>TACROLIMUS 0.03 % EXTERNAL OINTMENT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30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0</v>
      </c>
      <c r="N800" s="17" t="n">
        <v>30</v>
      </c>
      <c r="O800" s="17" t="n">
        <v>0</v>
      </c>
      <c r="P800" s="17" t="n">
        <v>0</v>
      </c>
      <c r="Q800" s="18" t="n">
        <v>0</v>
      </c>
      <c r="R800" s="16" t="n">
        <v>1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1</v>
      </c>
      <c r="Z800" s="17" t="n">
        <v>0</v>
      </c>
      <c r="AA800" s="17" t="n">
        <v>0</v>
      </c>
      <c r="AB800" s="18" t="n">
        <v>0</v>
      </c>
      <c r="AC800" s="16" t="n">
        <v>-1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-1</v>
      </c>
      <c r="AK800" s="17" t="n">
        <v>0</v>
      </c>
      <c r="AL800" s="17" t="n">
        <v>0</v>
      </c>
      <c r="AM800" s="18" t="n">
        <v>0</v>
      </c>
      <c r="AN800" s="16" t="n">
        <v>32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32</v>
      </c>
      <c r="AV800" s="17" t="n">
        <v>0</v>
      </c>
      <c r="AW800" s="17" t="n">
        <v>0</v>
      </c>
      <c r="AX800" s="18" t="n">
        <v>0</v>
      </c>
      <c r="AY800" s="16" t="n">
        <v>0</v>
      </c>
      <c r="AZ800" s="17" t="n">
        <v>0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7" t="n">
        <v>0</v>
      </c>
      <c r="BI800" s="18" t="n">
        <v>0</v>
      </c>
      <c r="BJ800" s="16" t="n">
        <v>32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32</v>
      </c>
      <c r="BR800" s="17" t="n">
        <v>0</v>
      </c>
      <c r="BS800" s="17" t="n">
        <v>0</v>
      </c>
      <c r="BT800" s="18" t="n">
        <v>0</v>
      </c>
      <c r="BU800" s="17" t="inlineStr">
        <is>
          <t>Unclassified</t>
        </is>
      </c>
    </row>
    <row r="801" ht="20" customHeight="1">
      <c r="A801" s="15" t="inlineStr">
        <is>
          <t>00168041630</t>
        </is>
      </c>
      <c r="B801" s="15" t="inlineStr">
        <is>
          <t>TACROLIMUS 0.1 % OINTMENT</t>
        </is>
      </c>
      <c r="C801" s="16" t="n">
        <v>30</v>
      </c>
      <c r="D801" s="16" t="n">
        <v>0</v>
      </c>
      <c r="E801" s="16" t="n">
        <v>0</v>
      </c>
      <c r="F801" s="16" t="n">
        <v>0</v>
      </c>
      <c r="G801" s="16" t="n">
        <v>90</v>
      </c>
      <c r="H801" s="17" t="n">
        <v>0</v>
      </c>
      <c r="I801" s="17" t="n">
        <v>0</v>
      </c>
      <c r="J801" s="17" t="n">
        <v>60</v>
      </c>
      <c r="K801" s="17" t="n">
        <v>0</v>
      </c>
      <c r="L801" s="17" t="n">
        <v>0</v>
      </c>
      <c r="M801" s="17" t="n">
        <v>0</v>
      </c>
      <c r="N801" s="17" t="n">
        <v>30</v>
      </c>
      <c r="O801" s="17" t="n">
        <v>0</v>
      </c>
      <c r="P801" s="17" t="n">
        <v>0</v>
      </c>
      <c r="Q801" s="18" t="n">
        <v>0</v>
      </c>
      <c r="R801" s="16" t="n">
        <v>3</v>
      </c>
      <c r="S801" s="17" t="n">
        <v>0</v>
      </c>
      <c r="T801" s="17" t="n">
        <v>0</v>
      </c>
      <c r="U801" s="17" t="n">
        <v>2</v>
      </c>
      <c r="V801" s="17" t="n">
        <v>0</v>
      </c>
      <c r="W801" s="17" t="n">
        <v>0</v>
      </c>
      <c r="X801" s="17" t="n">
        <v>0</v>
      </c>
      <c r="Y801" s="17" t="n">
        <v>1</v>
      </c>
      <c r="Z801" s="17" t="n">
        <v>0</v>
      </c>
      <c r="AA801" s="17" t="n">
        <v>0</v>
      </c>
      <c r="AB801" s="18" t="n">
        <v>0</v>
      </c>
      <c r="AC801" s="16" t="n">
        <v>-3</v>
      </c>
      <c r="AD801" s="17" t="n">
        <v>0</v>
      </c>
      <c r="AE801" s="17" t="n">
        <v>0</v>
      </c>
      <c r="AF801" s="17" t="n">
        <v>-2</v>
      </c>
      <c r="AG801" s="17" t="n">
        <v>0</v>
      </c>
      <c r="AH801" s="17" t="n">
        <v>0</v>
      </c>
      <c r="AI801" s="17" t="n">
        <v>0</v>
      </c>
      <c r="AJ801" s="17" t="n">
        <v>-1</v>
      </c>
      <c r="AK801" s="17" t="n">
        <v>0</v>
      </c>
      <c r="AL801" s="17" t="n">
        <v>0</v>
      </c>
      <c r="AM801" s="18" t="n">
        <v>0</v>
      </c>
      <c r="AN801" s="16" t="n">
        <v>274</v>
      </c>
      <c r="AO801" s="17" t="n">
        <v>0</v>
      </c>
      <c r="AP801" s="17" t="n">
        <v>0</v>
      </c>
      <c r="AQ801" s="17" t="n">
        <v>234</v>
      </c>
      <c r="AR801" s="17" t="n">
        <v>0</v>
      </c>
      <c r="AS801" s="17" t="n">
        <v>0</v>
      </c>
      <c r="AT801" s="17" t="n">
        <v>0</v>
      </c>
      <c r="AU801" s="17" t="n">
        <v>40</v>
      </c>
      <c r="AV801" s="17" t="n">
        <v>0</v>
      </c>
      <c r="AW801" s="17" t="n">
        <v>0</v>
      </c>
      <c r="AX801" s="18" t="n">
        <v>0</v>
      </c>
      <c r="AY801" s="16" t="n">
        <v>0</v>
      </c>
      <c r="AZ801" s="17" t="n">
        <v>0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8" t="n">
        <v>0</v>
      </c>
      <c r="BJ801" s="16" t="n">
        <v>274</v>
      </c>
      <c r="BK801" s="17" t="n">
        <v>0</v>
      </c>
      <c r="BL801" s="17" t="n">
        <v>0</v>
      </c>
      <c r="BM801" s="17" t="n">
        <v>234</v>
      </c>
      <c r="BN801" s="17" t="n">
        <v>0</v>
      </c>
      <c r="BO801" s="17" t="n">
        <v>0</v>
      </c>
      <c r="BP801" s="17" t="n">
        <v>0</v>
      </c>
      <c r="BQ801" s="17" t="n">
        <v>40</v>
      </c>
      <c r="BR801" s="17" t="n">
        <v>0</v>
      </c>
      <c r="BS801" s="17" t="n">
        <v>0</v>
      </c>
      <c r="BT801" s="18" t="n">
        <v>0</v>
      </c>
      <c r="BU801" s="17" t="inlineStr">
        <is>
          <t>Unclassified</t>
        </is>
      </c>
    </row>
    <row r="802" ht="20" customHeight="1">
      <c r="A802" s="15" t="inlineStr">
        <is>
          <t>47335001183</t>
        </is>
      </c>
      <c r="B802" s="15" t="inlineStr">
        <is>
          <t>TADALAFIL 10MG TABLET</t>
        </is>
      </c>
      <c r="C802" s="16" t="n">
        <v>30</v>
      </c>
      <c r="D802" s="16" t="n">
        <v>0</v>
      </c>
      <c r="E802" s="16" t="n">
        <v>0</v>
      </c>
      <c r="F802" s="16" t="n">
        <v>0</v>
      </c>
      <c r="G802" s="16" t="n">
        <v>6</v>
      </c>
      <c r="H802" s="17" t="n">
        <v>0</v>
      </c>
      <c r="I802" s="17" t="n">
        <v>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6</v>
      </c>
      <c r="P802" s="17" t="n">
        <v>0</v>
      </c>
      <c r="Q802" s="18" t="n">
        <v>0</v>
      </c>
      <c r="R802" s="16" t="n">
        <v>0.2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0.2</v>
      </c>
      <c r="AA802" s="17" t="n">
        <v>0</v>
      </c>
      <c r="AB802" s="18" t="n">
        <v>0</v>
      </c>
      <c r="AC802" s="16" t="n">
        <v>-0.2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-0.2</v>
      </c>
      <c r="AL802" s="17" t="n">
        <v>0</v>
      </c>
      <c r="AM802" s="18" t="n">
        <v>0</v>
      </c>
      <c r="AN802" s="16" t="n">
        <v>3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8" t="n">
        <v>0</v>
      </c>
      <c r="AY802" s="16" t="n">
        <v>0</v>
      </c>
      <c r="AZ802" s="17" t="n">
        <v>0</v>
      </c>
      <c r="BA802" s="17" t="n">
        <v>0</v>
      </c>
      <c r="BB802" s="17" t="n">
        <v>0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7" t="n">
        <v>0</v>
      </c>
      <c r="BI802" s="18" t="n">
        <v>0</v>
      </c>
      <c r="BJ802" s="16" t="n">
        <v>3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0</v>
      </c>
      <c r="BQ802" s="17" t="n">
        <v>0</v>
      </c>
      <c r="BR802" s="17" t="n">
        <v>0</v>
      </c>
      <c r="BS802" s="17" t="n">
        <v>0</v>
      </c>
      <c r="BT802" s="18" t="n">
        <v>0</v>
      </c>
      <c r="BU802" s="17" t="inlineStr">
        <is>
          <t>Unclassified</t>
        </is>
      </c>
    </row>
    <row r="803" ht="20" customHeight="1">
      <c r="A803" s="15" t="inlineStr">
        <is>
          <t>65862059805</t>
        </is>
      </c>
      <c r="B803" s="15" t="inlineStr">
        <is>
          <t>TAMSULOSIN 0.4MG CAPSULE</t>
        </is>
      </c>
      <c r="C803" s="16" t="n">
        <v>500</v>
      </c>
      <c r="D803" s="16" t="n">
        <v>0</v>
      </c>
      <c r="E803" s="16" t="n">
        <v>0</v>
      </c>
      <c r="F803" s="16" t="n">
        <v>0</v>
      </c>
      <c r="G803" s="16" t="n">
        <v>2465</v>
      </c>
      <c r="H803" s="17" t="n">
        <v>0</v>
      </c>
      <c r="I803" s="17" t="n">
        <v>0</v>
      </c>
      <c r="J803" s="17" t="n">
        <v>1380</v>
      </c>
      <c r="K803" s="17" t="n">
        <v>575</v>
      </c>
      <c r="L803" s="17" t="n">
        <v>0</v>
      </c>
      <c r="M803" s="17" t="n">
        <v>300</v>
      </c>
      <c r="N803" s="17" t="n">
        <v>210</v>
      </c>
      <c r="O803" s="17" t="n">
        <v>0</v>
      </c>
      <c r="P803" s="17" t="n">
        <v>0</v>
      </c>
      <c r="Q803" s="18" t="n">
        <v>0</v>
      </c>
      <c r="R803" s="16" t="n">
        <v>4.93</v>
      </c>
      <c r="S803" s="17" t="n">
        <v>0</v>
      </c>
      <c r="T803" s="17" t="n">
        <v>0</v>
      </c>
      <c r="U803" s="17" t="n">
        <v>2.76</v>
      </c>
      <c r="V803" s="17" t="n">
        <v>1.15</v>
      </c>
      <c r="W803" s="17" t="n">
        <v>0</v>
      </c>
      <c r="X803" s="17" t="n">
        <v>0.6</v>
      </c>
      <c r="Y803" s="17" t="n">
        <v>0.42</v>
      </c>
      <c r="Z803" s="17" t="n">
        <v>0</v>
      </c>
      <c r="AA803" s="17" t="n">
        <v>0</v>
      </c>
      <c r="AB803" s="18" t="n">
        <v>0</v>
      </c>
      <c r="AC803" s="16" t="n">
        <v>-4.93</v>
      </c>
      <c r="AD803" s="17" t="n">
        <v>0</v>
      </c>
      <c r="AE803" s="17" t="n">
        <v>0</v>
      </c>
      <c r="AF803" s="17" t="n">
        <v>-2.76</v>
      </c>
      <c r="AG803" s="17" t="n">
        <v>-1.15</v>
      </c>
      <c r="AH803" s="17" t="n">
        <v>0</v>
      </c>
      <c r="AI803" s="17" t="n">
        <v>-0.6</v>
      </c>
      <c r="AJ803" s="17" t="n">
        <v>-0.42</v>
      </c>
      <c r="AK803" s="17" t="n">
        <v>0</v>
      </c>
      <c r="AL803" s="17" t="n">
        <v>0</v>
      </c>
      <c r="AM803" s="18" t="n">
        <v>0</v>
      </c>
      <c r="AN803" s="16" t="n">
        <v>212</v>
      </c>
      <c r="AO803" s="17" t="n">
        <v>0</v>
      </c>
      <c r="AP803" s="17" t="n">
        <v>0</v>
      </c>
      <c r="AQ803" s="17" t="n">
        <v>109</v>
      </c>
      <c r="AR803" s="17" t="n">
        <v>30</v>
      </c>
      <c r="AS803" s="17" t="n">
        <v>0</v>
      </c>
      <c r="AT803" s="17" t="n">
        <v>17</v>
      </c>
      <c r="AU803" s="17" t="n">
        <v>26</v>
      </c>
      <c r="AV803" s="17" t="n">
        <v>0</v>
      </c>
      <c r="AW803" s="17" t="n">
        <v>0</v>
      </c>
      <c r="AX803" s="18" t="n">
        <v>0</v>
      </c>
      <c r="AY803" s="16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8" t="n">
        <v>0</v>
      </c>
      <c r="BJ803" s="16" t="n">
        <v>212</v>
      </c>
      <c r="BK803" s="17" t="n">
        <v>0</v>
      </c>
      <c r="BL803" s="17" t="n">
        <v>0</v>
      </c>
      <c r="BM803" s="17" t="n">
        <v>109</v>
      </c>
      <c r="BN803" s="17" t="n">
        <v>30</v>
      </c>
      <c r="BO803" s="17" t="n">
        <v>0</v>
      </c>
      <c r="BP803" s="17" t="n">
        <v>17</v>
      </c>
      <c r="BQ803" s="17" t="n">
        <v>26</v>
      </c>
      <c r="BR803" s="17" t="n">
        <v>0</v>
      </c>
      <c r="BS803" s="17" t="n">
        <v>0</v>
      </c>
      <c r="BT803" s="18" t="n">
        <v>0</v>
      </c>
      <c r="BU803" s="17" t="inlineStr">
        <is>
          <t>Unclassified</t>
        </is>
      </c>
    </row>
    <row r="804" ht="20" customHeight="1">
      <c r="A804" s="15" t="inlineStr">
        <is>
          <t>23155073601</t>
        </is>
      </c>
      <c r="B804" s="15" t="inlineStr">
        <is>
          <t>TERAZOSIN 2MG CAPSULE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30</v>
      </c>
      <c r="H804" s="17" t="n">
        <v>0</v>
      </c>
      <c r="I804" s="17" t="n">
        <v>0</v>
      </c>
      <c r="J804" s="17" t="n">
        <v>30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8" t="n">
        <v>0</v>
      </c>
      <c r="R804" s="16" t="n">
        <v>0.3</v>
      </c>
      <c r="S804" s="17" t="n">
        <v>0</v>
      </c>
      <c r="T804" s="17" t="n">
        <v>0</v>
      </c>
      <c r="U804" s="17" t="n">
        <v>0.3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8" t="n">
        <v>0</v>
      </c>
      <c r="AC804" s="16" t="n">
        <v>-0.3</v>
      </c>
      <c r="AD804" s="17" t="n">
        <v>0</v>
      </c>
      <c r="AE804" s="17" t="n">
        <v>0</v>
      </c>
      <c r="AF804" s="17" t="n">
        <v>-0.3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8" t="n">
        <v>0</v>
      </c>
      <c r="AN804" s="16" t="n">
        <v>3</v>
      </c>
      <c r="AO804" s="17" t="n">
        <v>0</v>
      </c>
      <c r="AP804" s="17" t="n">
        <v>0</v>
      </c>
      <c r="AQ804" s="17" t="n">
        <v>3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8" t="n">
        <v>0</v>
      </c>
      <c r="AY804" s="16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7" t="n">
        <v>0</v>
      </c>
      <c r="BG804" s="17" t="n">
        <v>0</v>
      </c>
      <c r="BH804" s="17" t="n">
        <v>0</v>
      </c>
      <c r="BI804" s="18" t="n">
        <v>0</v>
      </c>
      <c r="BJ804" s="16" t="n">
        <v>3</v>
      </c>
      <c r="BK804" s="17" t="n">
        <v>0</v>
      </c>
      <c r="BL804" s="17" t="n">
        <v>0</v>
      </c>
      <c r="BM804" s="17" t="n">
        <v>3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7" t="n">
        <v>0</v>
      </c>
      <c r="BT804" s="18" t="n">
        <v>0</v>
      </c>
      <c r="BU804" s="17" t="inlineStr">
        <is>
          <t>Unclassified</t>
        </is>
      </c>
    </row>
    <row r="805" ht="20" customHeight="1">
      <c r="A805" s="15" t="inlineStr">
        <is>
          <t>24689088201</t>
        </is>
      </c>
      <c r="B805" s="15" t="inlineStr">
        <is>
          <t>TERAZOSIN HCL 5 MG ORAL CAPSULE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60</v>
      </c>
      <c r="H805" s="17" t="n">
        <v>0</v>
      </c>
      <c r="I805" s="17" t="n">
        <v>0</v>
      </c>
      <c r="J805" s="17" t="n">
        <v>60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8" t="n">
        <v>0</v>
      </c>
      <c r="R805" s="16" t="n">
        <v>0.6</v>
      </c>
      <c r="S805" s="17" t="n">
        <v>0</v>
      </c>
      <c r="T805" s="17" t="n">
        <v>0</v>
      </c>
      <c r="U805" s="17" t="n">
        <v>0.6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8" t="n">
        <v>0</v>
      </c>
      <c r="AC805" s="16" t="n">
        <v>-0.6</v>
      </c>
      <c r="AD805" s="17" t="n">
        <v>0</v>
      </c>
      <c r="AE805" s="17" t="n">
        <v>0</v>
      </c>
      <c r="AF805" s="17" t="n">
        <v>-0.6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8" t="n">
        <v>0</v>
      </c>
      <c r="AN805" s="16" t="n">
        <v>4</v>
      </c>
      <c r="AO805" s="17" t="n">
        <v>0</v>
      </c>
      <c r="AP805" s="17" t="n">
        <v>0</v>
      </c>
      <c r="AQ805" s="17" t="n">
        <v>4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8" t="n">
        <v>0</v>
      </c>
      <c r="AY805" s="16" t="n">
        <v>0</v>
      </c>
      <c r="AZ805" s="17" t="n">
        <v>0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8" t="n">
        <v>0</v>
      </c>
      <c r="BJ805" s="16" t="n">
        <v>4</v>
      </c>
      <c r="BK805" s="17" t="n">
        <v>0</v>
      </c>
      <c r="BL805" s="17" t="n">
        <v>0</v>
      </c>
      <c r="BM805" s="17" t="n">
        <v>4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8" t="n">
        <v>0</v>
      </c>
      <c r="BU805" s="17" t="inlineStr">
        <is>
          <t>Unclassified</t>
        </is>
      </c>
    </row>
    <row r="806" ht="20" customHeight="1">
      <c r="A806" s="15" t="inlineStr">
        <is>
          <t>51672208002</t>
        </is>
      </c>
      <c r="B806" s="15" t="inlineStr">
        <is>
          <t>TERBINAFINE HCL 1% CREAM</t>
        </is>
      </c>
      <c r="C806" s="16" t="n">
        <v>30</v>
      </c>
      <c r="D806" s="16" t="n">
        <v>0</v>
      </c>
      <c r="E806" s="16" t="n">
        <v>0</v>
      </c>
      <c r="F806" s="16" t="n">
        <v>0</v>
      </c>
      <c r="G806" s="16" t="n">
        <v>0</v>
      </c>
      <c r="H806" s="17" t="n">
        <v>0</v>
      </c>
      <c r="I806" s="17" t="n">
        <v>0</v>
      </c>
      <c r="J806" s="17" t="n">
        <v>0</v>
      </c>
      <c r="K806" s="17" t="n">
        <v>0</v>
      </c>
      <c r="L806" s="17" t="n">
        <v>0</v>
      </c>
      <c r="M806" s="17" t="n">
        <v>0</v>
      </c>
      <c r="N806" s="17" t="n">
        <v>30</v>
      </c>
      <c r="O806" s="17" t="n">
        <v>0</v>
      </c>
      <c r="P806" s="17" t="n">
        <v>0</v>
      </c>
      <c r="Q806" s="18" t="n">
        <v>0</v>
      </c>
      <c r="R806" s="16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1</v>
      </c>
      <c r="Z806" s="17" t="n">
        <v>0</v>
      </c>
      <c r="AA806" s="17" t="n">
        <v>0</v>
      </c>
      <c r="AB806" s="18" t="n">
        <v>0</v>
      </c>
      <c r="AC806" s="16" t="n">
        <v>0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-1</v>
      </c>
      <c r="AK806" s="17" t="n">
        <v>0</v>
      </c>
      <c r="AL806" s="17" t="n">
        <v>0</v>
      </c>
      <c r="AM806" s="18" t="n">
        <v>0</v>
      </c>
      <c r="AN806" s="16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19</v>
      </c>
      <c r="AV806" s="17" t="n">
        <v>0</v>
      </c>
      <c r="AW806" s="17" t="n">
        <v>0</v>
      </c>
      <c r="AX806" s="18" t="n">
        <v>0</v>
      </c>
      <c r="AY806" s="16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7" t="n">
        <v>0</v>
      </c>
      <c r="BG806" s="17" t="n">
        <v>0</v>
      </c>
      <c r="BH806" s="17" t="n">
        <v>0</v>
      </c>
      <c r="BI806" s="18" t="n">
        <v>0</v>
      </c>
      <c r="BJ806" s="16" t="n">
        <v>0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19</v>
      </c>
      <c r="BR806" s="17" t="n">
        <v>0</v>
      </c>
      <c r="BS806" s="17" t="n">
        <v>0</v>
      </c>
      <c r="BT806" s="18" t="n">
        <v>0</v>
      </c>
      <c r="BU806" s="17" t="inlineStr">
        <is>
          <t>Unclassified</t>
        </is>
      </c>
    </row>
    <row r="807" ht="20" customHeight="1">
      <c r="A807" s="15" t="inlineStr">
        <is>
          <t>51672130406</t>
        </is>
      </c>
      <c r="B807" s="15" t="inlineStr">
        <is>
          <t>TERCONAZOLE 0.4% CREAM</t>
        </is>
      </c>
      <c r="C807" s="16" t="n">
        <v>45</v>
      </c>
      <c r="D807" s="16" t="n">
        <v>0</v>
      </c>
      <c r="E807" s="16" t="n">
        <v>0</v>
      </c>
      <c r="F807" s="16" t="n">
        <v>0</v>
      </c>
      <c r="G807" s="16" t="n">
        <v>45</v>
      </c>
      <c r="H807" s="17" t="n">
        <v>0</v>
      </c>
      <c r="I807" s="17" t="n">
        <v>0</v>
      </c>
      <c r="J807" s="17" t="n">
        <v>45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8" t="n">
        <v>0</v>
      </c>
      <c r="R807" s="16" t="n">
        <v>1</v>
      </c>
      <c r="S807" s="17" t="n">
        <v>0</v>
      </c>
      <c r="T807" s="17" t="n">
        <v>0</v>
      </c>
      <c r="U807" s="17" t="n">
        <v>1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8" t="n">
        <v>0</v>
      </c>
      <c r="AC807" s="16" t="n">
        <v>-1</v>
      </c>
      <c r="AD807" s="17" t="n">
        <v>0</v>
      </c>
      <c r="AE807" s="17" t="n">
        <v>0</v>
      </c>
      <c r="AF807" s="17" t="n">
        <v>-1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8" t="n">
        <v>0</v>
      </c>
      <c r="AN807" s="16" t="n">
        <v>14</v>
      </c>
      <c r="AO807" s="17" t="n">
        <v>0</v>
      </c>
      <c r="AP807" s="17" t="n">
        <v>0</v>
      </c>
      <c r="AQ807" s="17" t="n">
        <v>13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8" t="n">
        <v>0</v>
      </c>
      <c r="AY807" s="16" t="n">
        <v>0</v>
      </c>
      <c r="AZ807" s="17" t="n">
        <v>0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8" t="n">
        <v>0</v>
      </c>
      <c r="BJ807" s="16" t="n">
        <v>14</v>
      </c>
      <c r="BK807" s="17" t="n">
        <v>0</v>
      </c>
      <c r="BL807" s="17" t="n">
        <v>0</v>
      </c>
      <c r="BM807" s="17" t="n">
        <v>13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8" t="n">
        <v>0</v>
      </c>
      <c r="BU807" s="17" t="inlineStr">
        <is>
          <t>Unclassified</t>
        </is>
      </c>
    </row>
    <row r="808" ht="20" customHeight="1">
      <c r="A808" s="15" t="inlineStr">
        <is>
          <t>00168034720</t>
        </is>
      </c>
      <c r="B808" s="15" t="inlineStr">
        <is>
          <t>TERCONAZOLE 0.8 % VAGINAL CREAM</t>
        </is>
      </c>
      <c r="C808" s="16" t="n">
        <v>20</v>
      </c>
      <c r="D808" s="16" t="n">
        <v>3</v>
      </c>
      <c r="E808" s="16" t="n">
        <v>3</v>
      </c>
      <c r="F808" s="16" t="n">
        <v>18</v>
      </c>
      <c r="G808" s="16" t="n">
        <v>40</v>
      </c>
      <c r="H808" s="17" t="n">
        <v>0</v>
      </c>
      <c r="I808" s="17" t="n">
        <v>0</v>
      </c>
      <c r="J808" s="17" t="n">
        <v>20</v>
      </c>
      <c r="K808" s="17" t="n">
        <v>0</v>
      </c>
      <c r="L808" s="17" t="n">
        <v>0</v>
      </c>
      <c r="M808" s="17" t="n">
        <v>0</v>
      </c>
      <c r="N808" s="17" t="n">
        <v>20</v>
      </c>
      <c r="O808" s="17" t="n">
        <v>0</v>
      </c>
      <c r="P808" s="17" t="n">
        <v>0</v>
      </c>
      <c r="Q808" s="18" t="n">
        <v>0</v>
      </c>
      <c r="R808" s="16" t="n">
        <v>2</v>
      </c>
      <c r="S808" s="17" t="n">
        <v>0</v>
      </c>
      <c r="T808" s="17" t="n">
        <v>0</v>
      </c>
      <c r="U808" s="17" t="n">
        <v>1</v>
      </c>
      <c r="V808" s="17" t="n">
        <v>0</v>
      </c>
      <c r="W808" s="17" t="n">
        <v>0</v>
      </c>
      <c r="X808" s="17" t="n">
        <v>0</v>
      </c>
      <c r="Y808" s="17" t="n">
        <v>1</v>
      </c>
      <c r="Z808" s="17" t="n">
        <v>0</v>
      </c>
      <c r="AA808" s="17" t="n">
        <v>0</v>
      </c>
      <c r="AB808" s="18" t="n">
        <v>0</v>
      </c>
      <c r="AC808" s="16" t="n">
        <v>1</v>
      </c>
      <c r="AD808" s="17" t="n">
        <v>3</v>
      </c>
      <c r="AE808" s="17" t="n">
        <v>3</v>
      </c>
      <c r="AF808" s="17" t="n">
        <v>2</v>
      </c>
      <c r="AG808" s="17" t="n">
        <v>3</v>
      </c>
      <c r="AH808" s="17" t="n">
        <v>3</v>
      </c>
      <c r="AI808" s="17" t="n">
        <v>3</v>
      </c>
      <c r="AJ808" s="17" t="n">
        <v>2</v>
      </c>
      <c r="AK808" s="17" t="n">
        <v>3</v>
      </c>
      <c r="AL808" s="17" t="n">
        <v>3</v>
      </c>
      <c r="AM808" s="18" t="n">
        <v>3</v>
      </c>
      <c r="AN808" s="16" t="n">
        <v>52</v>
      </c>
      <c r="AO808" s="17" t="n">
        <v>0</v>
      </c>
      <c r="AP808" s="17" t="n">
        <v>0</v>
      </c>
      <c r="AQ808" s="17" t="n">
        <v>22</v>
      </c>
      <c r="AR808" s="17" t="n">
        <v>0</v>
      </c>
      <c r="AS808" s="17" t="n">
        <v>0</v>
      </c>
      <c r="AT808" s="17" t="n">
        <v>0</v>
      </c>
      <c r="AU808" s="17" t="n">
        <v>30</v>
      </c>
      <c r="AV808" s="17" t="n">
        <v>0</v>
      </c>
      <c r="AW808" s="17" t="n">
        <v>0</v>
      </c>
      <c r="AX808" s="18" t="n">
        <v>0</v>
      </c>
      <c r="AY808" s="16" t="n">
        <v>36</v>
      </c>
      <c r="AZ808" s="17" t="n">
        <v>0</v>
      </c>
      <c r="BA808" s="17" t="n">
        <v>0</v>
      </c>
      <c r="BB808" s="17" t="n">
        <v>18</v>
      </c>
      <c r="BC808" s="17" t="n">
        <v>0</v>
      </c>
      <c r="BD808" s="17" t="n">
        <v>0</v>
      </c>
      <c r="BE808" s="17" t="n">
        <v>0</v>
      </c>
      <c r="BF808" s="17" t="n">
        <v>18</v>
      </c>
      <c r="BG808" s="17" t="n">
        <v>0</v>
      </c>
      <c r="BH808" s="17" t="n">
        <v>0</v>
      </c>
      <c r="BI808" s="18" t="n">
        <v>0</v>
      </c>
      <c r="BJ808" s="16" t="n">
        <v>16</v>
      </c>
      <c r="BK808" s="17" t="n">
        <v>0</v>
      </c>
      <c r="BL808" s="17" t="n">
        <v>0</v>
      </c>
      <c r="BM808" s="17" t="n">
        <v>4</v>
      </c>
      <c r="BN808" s="17" t="n">
        <v>0</v>
      </c>
      <c r="BO808" s="17" t="n">
        <v>0</v>
      </c>
      <c r="BP808" s="17" t="n">
        <v>0</v>
      </c>
      <c r="BQ808" s="17" t="n">
        <v>12</v>
      </c>
      <c r="BR808" s="17" t="n">
        <v>0</v>
      </c>
      <c r="BS808" s="17" t="n">
        <v>0</v>
      </c>
      <c r="BT808" s="18" t="n">
        <v>0</v>
      </c>
      <c r="BU808" s="17" t="inlineStr">
        <is>
          <t>Generic Drug</t>
        </is>
      </c>
    </row>
    <row r="809" ht="20" customHeight="1">
      <c r="A809" s="15" t="inlineStr">
        <is>
          <t>55150027701</t>
        </is>
      </c>
      <c r="B809" s="15" t="inlineStr">
        <is>
          <t>TESTOSTERONE CYPIONATE 200 MG/ML INTRAMUSCULAR SOLUTION</t>
        </is>
      </c>
      <c r="C809" s="16" t="n">
        <v>1</v>
      </c>
      <c r="D809" s="16" t="n">
        <v>2</v>
      </c>
      <c r="E809" s="16" t="n">
        <v>2</v>
      </c>
      <c r="F809" s="16" t="n">
        <v>16</v>
      </c>
      <c r="G809" s="16" t="n">
        <v>2</v>
      </c>
      <c r="H809" s="17" t="n">
        <v>0</v>
      </c>
      <c r="I809" s="17" t="n">
        <v>0</v>
      </c>
      <c r="J809" s="17" t="n">
        <v>2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8" t="n">
        <v>0</v>
      </c>
      <c r="R809" s="16" t="n">
        <v>2</v>
      </c>
      <c r="S809" s="17" t="n">
        <v>0</v>
      </c>
      <c r="T809" s="17" t="n">
        <v>0</v>
      </c>
      <c r="U809" s="17" t="n">
        <v>2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8" t="n">
        <v>0</v>
      </c>
      <c r="AC809" s="16" t="n">
        <v>0</v>
      </c>
      <c r="AD809" s="17" t="n">
        <v>2</v>
      </c>
      <c r="AE809" s="17" t="n">
        <v>2</v>
      </c>
      <c r="AF809" s="17" t="n">
        <v>0</v>
      </c>
      <c r="AG809" s="17" t="n">
        <v>2</v>
      </c>
      <c r="AH809" s="17" t="n">
        <v>2</v>
      </c>
      <c r="AI809" s="17" t="n">
        <v>2</v>
      </c>
      <c r="AJ809" s="17" t="n">
        <v>2</v>
      </c>
      <c r="AK809" s="17" t="n">
        <v>2</v>
      </c>
      <c r="AL809" s="17" t="n">
        <v>2</v>
      </c>
      <c r="AM809" s="18" t="n">
        <v>2</v>
      </c>
      <c r="AN809" s="16" t="n">
        <v>20</v>
      </c>
      <c r="AO809" s="17" t="n">
        <v>0</v>
      </c>
      <c r="AP809" s="17" t="n">
        <v>0</v>
      </c>
      <c r="AQ809" s="17" t="n">
        <v>19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8" t="n">
        <v>0</v>
      </c>
      <c r="AY809" s="16" t="n">
        <v>32</v>
      </c>
      <c r="AZ809" s="17" t="n">
        <v>0</v>
      </c>
      <c r="BA809" s="17" t="n">
        <v>0</v>
      </c>
      <c r="BB809" s="17" t="n">
        <v>32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8" t="n">
        <v>0</v>
      </c>
      <c r="BJ809" s="16" t="n">
        <v>-12</v>
      </c>
      <c r="BK809" s="17" t="n">
        <v>0</v>
      </c>
      <c r="BL809" s="17" t="n">
        <v>0</v>
      </c>
      <c r="BM809" s="17" t="n">
        <v>-13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8" t="n">
        <v>0</v>
      </c>
      <c r="BU809" s="17" t="inlineStr">
        <is>
          <t>Generic Drug</t>
        </is>
      </c>
    </row>
    <row r="810" ht="20" customHeight="1">
      <c r="A810" s="15" t="inlineStr">
        <is>
          <t>00480268806</t>
        </is>
      </c>
      <c r="B810" s="15" t="inlineStr">
        <is>
          <t>TICAGRELOR 60 MG ORAL TABLET</t>
        </is>
      </c>
      <c r="C810" s="16" t="n">
        <v>60</v>
      </c>
      <c r="D810" s="16" t="n">
        <v>0</v>
      </c>
      <c r="E810" s="16" t="n">
        <v>0</v>
      </c>
      <c r="F810" s="16" t="n">
        <v>0</v>
      </c>
      <c r="G810" s="16" t="n">
        <v>60</v>
      </c>
      <c r="H810" s="17" t="n">
        <v>0</v>
      </c>
      <c r="I810" s="17" t="n">
        <v>0</v>
      </c>
      <c r="J810" s="17" t="n">
        <v>60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8" t="n">
        <v>0</v>
      </c>
      <c r="R810" s="16" t="n">
        <v>1</v>
      </c>
      <c r="S810" s="17" t="n">
        <v>0</v>
      </c>
      <c r="T810" s="17" t="n">
        <v>0</v>
      </c>
      <c r="U810" s="17" t="n">
        <v>1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8" t="n">
        <v>0</v>
      </c>
      <c r="AC810" s="16" t="n">
        <v>-1</v>
      </c>
      <c r="AD810" s="17" t="n">
        <v>0</v>
      </c>
      <c r="AE810" s="17" t="n">
        <v>0</v>
      </c>
      <c r="AF810" s="17" t="n">
        <v>-1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8" t="n">
        <v>0</v>
      </c>
      <c r="AN810" s="16" t="n">
        <v>238</v>
      </c>
      <c r="AO810" s="17" t="n">
        <v>0</v>
      </c>
      <c r="AP810" s="17" t="n">
        <v>0</v>
      </c>
      <c r="AQ810" s="17" t="n">
        <v>238</v>
      </c>
      <c r="AR810" s="17" t="n">
        <v>0</v>
      </c>
      <c r="AS810" s="17" t="n">
        <v>0</v>
      </c>
      <c r="AT810" s="17" t="n">
        <v>0</v>
      </c>
      <c r="AU810" s="17" t="n">
        <v>0</v>
      </c>
      <c r="AV810" s="17" t="n">
        <v>0</v>
      </c>
      <c r="AW810" s="17" t="n">
        <v>0</v>
      </c>
      <c r="AX810" s="18" t="n">
        <v>0</v>
      </c>
      <c r="AY810" s="16" t="n">
        <v>0</v>
      </c>
      <c r="AZ810" s="17" t="n">
        <v>0</v>
      </c>
      <c r="BA810" s="17" t="n">
        <v>0</v>
      </c>
      <c r="BB810" s="17" t="n">
        <v>0</v>
      </c>
      <c r="BC810" s="17" t="n">
        <v>0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7" t="n">
        <v>0</v>
      </c>
      <c r="BI810" s="18" t="n">
        <v>0</v>
      </c>
      <c r="BJ810" s="16" t="n">
        <v>238</v>
      </c>
      <c r="BK810" s="17" t="n">
        <v>0</v>
      </c>
      <c r="BL810" s="17" t="n">
        <v>0</v>
      </c>
      <c r="BM810" s="17" t="n">
        <v>238</v>
      </c>
      <c r="BN810" s="17" t="n">
        <v>0</v>
      </c>
      <c r="BO810" s="17" t="n">
        <v>0</v>
      </c>
      <c r="BP810" s="17" t="n">
        <v>0</v>
      </c>
      <c r="BQ810" s="17" t="n">
        <v>0</v>
      </c>
      <c r="BR810" s="17" t="n">
        <v>0</v>
      </c>
      <c r="BS810" s="17" t="n">
        <v>0</v>
      </c>
      <c r="BT810" s="18" t="n">
        <v>0</v>
      </c>
      <c r="BU810" s="17" t="inlineStr">
        <is>
          <t>Unclassified</t>
        </is>
      </c>
    </row>
    <row r="811" ht="20" customHeight="1">
      <c r="A811" s="15" t="inlineStr">
        <is>
          <t>67877049160</t>
        </is>
      </c>
      <c r="B811" s="15" t="inlineStr">
        <is>
          <t>TICAGRELOR 90 MG ORAL TABLET</t>
        </is>
      </c>
      <c r="C811" s="16" t="n">
        <v>60</v>
      </c>
      <c r="D811" s="16" t="n">
        <v>10</v>
      </c>
      <c r="E811" s="16" t="n">
        <v>10</v>
      </c>
      <c r="F811" s="16" t="n">
        <v>15</v>
      </c>
      <c r="G811" s="16" t="n">
        <v>480</v>
      </c>
      <c r="H811" s="17" t="n">
        <v>0</v>
      </c>
      <c r="I811" s="17" t="n">
        <v>0</v>
      </c>
      <c r="J811" s="17" t="n">
        <v>420</v>
      </c>
      <c r="K811" s="17" t="n">
        <v>0</v>
      </c>
      <c r="L811" s="17" t="n">
        <v>0</v>
      </c>
      <c r="M811" s="17" t="n">
        <v>0</v>
      </c>
      <c r="N811" s="17" t="n">
        <v>60</v>
      </c>
      <c r="O811" s="17" t="n">
        <v>0</v>
      </c>
      <c r="P811" s="17" t="n">
        <v>0</v>
      </c>
      <c r="Q811" s="18" t="n">
        <v>0</v>
      </c>
      <c r="R811" s="16" t="n">
        <v>8</v>
      </c>
      <c r="S811" s="17" t="n">
        <v>0</v>
      </c>
      <c r="T811" s="17" t="n">
        <v>0</v>
      </c>
      <c r="U811" s="17" t="n">
        <v>7</v>
      </c>
      <c r="V811" s="17" t="n">
        <v>0</v>
      </c>
      <c r="W811" s="17" t="n">
        <v>0</v>
      </c>
      <c r="X811" s="17" t="n">
        <v>0</v>
      </c>
      <c r="Y811" s="17" t="n">
        <v>1</v>
      </c>
      <c r="Z811" s="17" t="n">
        <v>0</v>
      </c>
      <c r="AA811" s="17" t="n">
        <v>0</v>
      </c>
      <c r="AB811" s="18" t="n">
        <v>0</v>
      </c>
      <c r="AC811" s="16" t="n">
        <v>2</v>
      </c>
      <c r="AD811" s="17" t="n">
        <v>10</v>
      </c>
      <c r="AE811" s="17" t="n">
        <v>10</v>
      </c>
      <c r="AF811" s="17" t="n">
        <v>3</v>
      </c>
      <c r="AG811" s="17" t="n">
        <v>10</v>
      </c>
      <c r="AH811" s="17" t="n">
        <v>10</v>
      </c>
      <c r="AI811" s="17" t="n">
        <v>10</v>
      </c>
      <c r="AJ811" s="17" t="n">
        <v>9</v>
      </c>
      <c r="AK811" s="17" t="n">
        <v>10</v>
      </c>
      <c r="AL811" s="17" t="n">
        <v>10</v>
      </c>
      <c r="AM811" s="18" t="n">
        <v>10</v>
      </c>
      <c r="AN811" s="16" t="n">
        <v>348</v>
      </c>
      <c r="AO811" s="17" t="n">
        <v>0</v>
      </c>
      <c r="AP811" s="17" t="n">
        <v>0</v>
      </c>
      <c r="AQ811" s="17" t="n">
        <v>316</v>
      </c>
      <c r="AR811" s="17" t="n">
        <v>0</v>
      </c>
      <c r="AS811" s="17" t="n">
        <v>0</v>
      </c>
      <c r="AT811" s="17" t="n">
        <v>0</v>
      </c>
      <c r="AU811" s="17" t="n">
        <v>31</v>
      </c>
      <c r="AV811" s="17" t="n">
        <v>0</v>
      </c>
      <c r="AW811" s="17" t="n">
        <v>0</v>
      </c>
      <c r="AX811" s="18" t="n">
        <v>0</v>
      </c>
      <c r="AY811" s="16" t="n">
        <v>120</v>
      </c>
      <c r="AZ811" s="17" t="n">
        <v>0</v>
      </c>
      <c r="BA811" s="17" t="n">
        <v>0</v>
      </c>
      <c r="BB811" s="17" t="n">
        <v>105</v>
      </c>
      <c r="BC811" s="17" t="n">
        <v>0</v>
      </c>
      <c r="BD811" s="17" t="n">
        <v>0</v>
      </c>
      <c r="BE811" s="17" t="n">
        <v>0</v>
      </c>
      <c r="BF811" s="17" t="n">
        <v>15</v>
      </c>
      <c r="BG811" s="17" t="n">
        <v>0</v>
      </c>
      <c r="BH811" s="17" t="n">
        <v>0</v>
      </c>
      <c r="BI811" s="18" t="n">
        <v>0</v>
      </c>
      <c r="BJ811" s="16" t="n">
        <v>228</v>
      </c>
      <c r="BK811" s="17" t="n">
        <v>0</v>
      </c>
      <c r="BL811" s="17" t="n">
        <v>0</v>
      </c>
      <c r="BM811" s="17" t="n">
        <v>211</v>
      </c>
      <c r="BN811" s="17" t="n">
        <v>0</v>
      </c>
      <c r="BO811" s="17" t="n">
        <v>0</v>
      </c>
      <c r="BP811" s="17" t="n">
        <v>0</v>
      </c>
      <c r="BQ811" s="17" t="n">
        <v>16</v>
      </c>
      <c r="BR811" s="17" t="n">
        <v>0</v>
      </c>
      <c r="BS811" s="17" t="n">
        <v>0</v>
      </c>
      <c r="BT811" s="18" t="n">
        <v>0</v>
      </c>
      <c r="BU811" s="17" t="inlineStr">
        <is>
          <t>Generic Drug</t>
        </is>
      </c>
    </row>
    <row r="812" ht="20" customHeight="1">
      <c r="A812" s="15" t="inlineStr">
        <is>
          <t>61314022705</t>
        </is>
      </c>
      <c r="B812" s="15" t="inlineStr">
        <is>
          <t>TIMOLOL MALEATE 0.5% SOLUTION</t>
        </is>
      </c>
      <c r="C812" s="16" t="n">
        <v>5</v>
      </c>
      <c r="D812" s="16" t="n">
        <v>6</v>
      </c>
      <c r="E812" s="16" t="n">
        <v>6</v>
      </c>
      <c r="F812" s="16" t="n">
        <v>4</v>
      </c>
      <c r="G812" s="16" t="n">
        <v>15</v>
      </c>
      <c r="H812" s="17" t="n">
        <v>0</v>
      </c>
      <c r="I812" s="17" t="n">
        <v>0</v>
      </c>
      <c r="J812" s="17" t="n">
        <v>10</v>
      </c>
      <c r="K812" s="17" t="n">
        <v>5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8" t="n">
        <v>0</v>
      </c>
      <c r="R812" s="16" t="n">
        <v>3</v>
      </c>
      <c r="S812" s="17" t="n">
        <v>0</v>
      </c>
      <c r="T812" s="17" t="n">
        <v>0</v>
      </c>
      <c r="U812" s="17" t="n">
        <v>2</v>
      </c>
      <c r="V812" s="17" t="n">
        <v>1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8" t="n">
        <v>0</v>
      </c>
      <c r="AC812" s="16" t="n">
        <v>3</v>
      </c>
      <c r="AD812" s="17" t="n">
        <v>6</v>
      </c>
      <c r="AE812" s="17" t="n">
        <v>6</v>
      </c>
      <c r="AF812" s="17" t="n">
        <v>4</v>
      </c>
      <c r="AG812" s="17" t="n">
        <v>5</v>
      </c>
      <c r="AH812" s="17" t="n">
        <v>6</v>
      </c>
      <c r="AI812" s="17" t="n">
        <v>6</v>
      </c>
      <c r="AJ812" s="17" t="n">
        <v>6</v>
      </c>
      <c r="AK812" s="17" t="n">
        <v>6</v>
      </c>
      <c r="AL812" s="17" t="n">
        <v>6</v>
      </c>
      <c r="AM812" s="18" t="n">
        <v>6</v>
      </c>
      <c r="AN812" s="16" t="n">
        <v>21</v>
      </c>
      <c r="AO812" s="17" t="n">
        <v>0</v>
      </c>
      <c r="AP812" s="17" t="n">
        <v>0</v>
      </c>
      <c r="AQ812" s="17" t="n">
        <v>15</v>
      </c>
      <c r="AR812" s="17" t="n">
        <v>5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8" t="n">
        <v>0</v>
      </c>
      <c r="AY812" s="16" t="n">
        <v>12</v>
      </c>
      <c r="AZ812" s="17" t="n">
        <v>0</v>
      </c>
      <c r="BA812" s="17" t="n">
        <v>0</v>
      </c>
      <c r="BB812" s="17" t="n">
        <v>8</v>
      </c>
      <c r="BC812" s="17" t="n">
        <v>4</v>
      </c>
      <c r="BD812" s="17" t="n">
        <v>0</v>
      </c>
      <c r="BE812" s="17" t="n">
        <v>0</v>
      </c>
      <c r="BF812" s="17" t="n">
        <v>0</v>
      </c>
      <c r="BG812" s="17" t="n">
        <v>0</v>
      </c>
      <c r="BH812" s="17" t="n">
        <v>0</v>
      </c>
      <c r="BI812" s="18" t="n">
        <v>0</v>
      </c>
      <c r="BJ812" s="16" t="n">
        <v>9</v>
      </c>
      <c r="BK812" s="17" t="n">
        <v>0</v>
      </c>
      <c r="BL812" s="17" t="n">
        <v>0</v>
      </c>
      <c r="BM812" s="17" t="n">
        <v>7</v>
      </c>
      <c r="BN812" s="17" t="n">
        <v>1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7" t="n">
        <v>0</v>
      </c>
      <c r="BT812" s="18" t="n">
        <v>0</v>
      </c>
      <c r="BU812" s="17" t="inlineStr">
        <is>
          <t>Generic Drug</t>
        </is>
      </c>
    </row>
    <row r="813" ht="20" customHeight="1">
      <c r="A813" s="15" t="inlineStr">
        <is>
          <t>64980051401</t>
        </is>
      </c>
      <c r="B813" s="15" t="inlineStr">
        <is>
          <t>TIMOLOL MALEATE 0.5% SOLUTION</t>
        </is>
      </c>
      <c r="C813" s="16" t="n">
        <v>10</v>
      </c>
      <c r="D813" s="16" t="n">
        <v>0</v>
      </c>
      <c r="E813" s="16" t="n">
        <v>0</v>
      </c>
      <c r="F813" s="16" t="n">
        <v>0</v>
      </c>
      <c r="G813" s="16" t="n">
        <v>10</v>
      </c>
      <c r="H813" s="17" t="n">
        <v>0</v>
      </c>
      <c r="I813" s="17" t="n">
        <v>0</v>
      </c>
      <c r="J813" s="17" t="n">
        <v>10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8" t="n">
        <v>0</v>
      </c>
      <c r="R813" s="16" t="n">
        <v>1</v>
      </c>
      <c r="S813" s="17" t="n">
        <v>0</v>
      </c>
      <c r="T813" s="17" t="n">
        <v>0</v>
      </c>
      <c r="U813" s="17" t="n">
        <v>1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8" t="n">
        <v>0</v>
      </c>
      <c r="AC813" s="16" t="n">
        <v>-1</v>
      </c>
      <c r="AD813" s="17" t="n">
        <v>0</v>
      </c>
      <c r="AE813" s="17" t="n">
        <v>0</v>
      </c>
      <c r="AF813" s="17" t="n">
        <v>-1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8" t="n">
        <v>0</v>
      </c>
      <c r="AN813" s="16" t="n">
        <v>14</v>
      </c>
      <c r="AO813" s="17" t="n">
        <v>0</v>
      </c>
      <c r="AP813" s="17" t="n">
        <v>0</v>
      </c>
      <c r="AQ813" s="17" t="n">
        <v>14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8" t="n">
        <v>0</v>
      </c>
      <c r="AY813" s="16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8" t="n">
        <v>0</v>
      </c>
      <c r="BJ813" s="16" t="n">
        <v>14</v>
      </c>
      <c r="BK813" s="17" t="n">
        <v>0</v>
      </c>
      <c r="BL813" s="17" t="n">
        <v>0</v>
      </c>
      <c r="BM813" s="17" t="n">
        <v>14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8" t="n">
        <v>0</v>
      </c>
      <c r="BU813" s="17" t="inlineStr">
        <is>
          <t>Unclassified</t>
        </is>
      </c>
    </row>
    <row r="814" ht="20" customHeight="1">
      <c r="A814" s="15" t="inlineStr">
        <is>
          <t>57664050289</t>
        </is>
      </c>
      <c r="B814" s="15" t="inlineStr">
        <is>
          <t>TIZANIDINE 2MG TABLET</t>
        </is>
      </c>
      <c r="C814" s="16" t="n">
        <v>150</v>
      </c>
      <c r="D814" s="16" t="n">
        <v>0</v>
      </c>
      <c r="E814" s="16" t="n">
        <v>0</v>
      </c>
      <c r="F814" s="16" t="n">
        <v>0</v>
      </c>
      <c r="G814" s="16" t="n">
        <v>270</v>
      </c>
      <c r="H814" s="17" t="n">
        <v>0</v>
      </c>
      <c r="I814" s="17" t="n">
        <v>0</v>
      </c>
      <c r="J814" s="17" t="n">
        <v>90</v>
      </c>
      <c r="K814" s="17" t="n">
        <v>30</v>
      </c>
      <c r="L814" s="17" t="n">
        <v>0</v>
      </c>
      <c r="M814" s="17" t="n">
        <v>0</v>
      </c>
      <c r="N814" s="17" t="n">
        <v>150</v>
      </c>
      <c r="O814" s="17" t="n">
        <v>0</v>
      </c>
      <c r="P814" s="17" t="n">
        <v>0</v>
      </c>
      <c r="Q814" s="18" t="n">
        <v>0</v>
      </c>
      <c r="R814" s="16" t="n">
        <v>1.8</v>
      </c>
      <c r="S814" s="17" t="n">
        <v>0</v>
      </c>
      <c r="T814" s="17" t="n">
        <v>0</v>
      </c>
      <c r="U814" s="17" t="n">
        <v>0.6</v>
      </c>
      <c r="V814" s="17" t="n">
        <v>0.2</v>
      </c>
      <c r="W814" s="17" t="n">
        <v>0</v>
      </c>
      <c r="X814" s="17" t="n">
        <v>0</v>
      </c>
      <c r="Y814" s="17" t="n">
        <v>1</v>
      </c>
      <c r="Z814" s="17" t="n">
        <v>0</v>
      </c>
      <c r="AA814" s="17" t="n">
        <v>0</v>
      </c>
      <c r="AB814" s="18" t="n">
        <v>0</v>
      </c>
      <c r="AC814" s="16" t="n">
        <v>-1.8</v>
      </c>
      <c r="AD814" s="17" t="n">
        <v>0</v>
      </c>
      <c r="AE814" s="17" t="n">
        <v>0</v>
      </c>
      <c r="AF814" s="17" t="n">
        <v>-0.6</v>
      </c>
      <c r="AG814" s="17" t="n">
        <v>-0.2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8" t="n">
        <v>0</v>
      </c>
      <c r="AN814" s="16" t="n">
        <v>42</v>
      </c>
      <c r="AO814" s="17" t="n">
        <v>0</v>
      </c>
      <c r="AP814" s="17" t="n">
        <v>0</v>
      </c>
      <c r="AQ814" s="17" t="n">
        <v>6</v>
      </c>
      <c r="AR814" s="17" t="n">
        <v>0</v>
      </c>
      <c r="AS814" s="17" t="n">
        <v>0</v>
      </c>
      <c r="AT814" s="17" t="n">
        <v>0</v>
      </c>
      <c r="AU814" s="17" t="n">
        <v>35</v>
      </c>
      <c r="AV814" s="17" t="n">
        <v>0</v>
      </c>
      <c r="AW814" s="17" t="n">
        <v>0</v>
      </c>
      <c r="AX814" s="18" t="n">
        <v>0</v>
      </c>
      <c r="AY814" s="16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7" t="n">
        <v>0</v>
      </c>
      <c r="BG814" s="17" t="n">
        <v>0</v>
      </c>
      <c r="BH814" s="17" t="n">
        <v>0</v>
      </c>
      <c r="BI814" s="18" t="n">
        <v>0</v>
      </c>
      <c r="BJ814" s="16" t="n">
        <v>42</v>
      </c>
      <c r="BK814" s="17" t="n">
        <v>0</v>
      </c>
      <c r="BL814" s="17" t="n">
        <v>0</v>
      </c>
      <c r="BM814" s="17" t="n">
        <v>6</v>
      </c>
      <c r="BN814" s="17" t="n">
        <v>0</v>
      </c>
      <c r="BO814" s="17" t="n">
        <v>0</v>
      </c>
      <c r="BP814" s="17" t="n">
        <v>0</v>
      </c>
      <c r="BQ814" s="17" t="n">
        <v>35</v>
      </c>
      <c r="BR814" s="17" t="n">
        <v>0</v>
      </c>
      <c r="BS814" s="17" t="n">
        <v>0</v>
      </c>
      <c r="BT814" s="18" t="n">
        <v>0</v>
      </c>
      <c r="BU814" s="17" t="inlineStr">
        <is>
          <t>Unclassified</t>
        </is>
      </c>
    </row>
    <row r="815" ht="20" customHeight="1">
      <c r="A815" s="15" t="inlineStr">
        <is>
          <t>57664050318</t>
        </is>
      </c>
      <c r="B815" s="15" t="inlineStr">
        <is>
          <t>TIZANIDINE 4MG TABLET</t>
        </is>
      </c>
      <c r="C815" s="16" t="n">
        <v>1000</v>
      </c>
      <c r="D815" s="16" t="n">
        <v>0</v>
      </c>
      <c r="E815" s="16" t="n">
        <v>0</v>
      </c>
      <c r="F815" s="16" t="n">
        <v>0</v>
      </c>
      <c r="G815" s="16" t="n">
        <v>120</v>
      </c>
      <c r="H815" s="17" t="n">
        <v>0</v>
      </c>
      <c r="I815" s="17" t="n">
        <v>0</v>
      </c>
      <c r="J815" s="17" t="n">
        <v>60</v>
      </c>
      <c r="K815" s="17" t="n">
        <v>0</v>
      </c>
      <c r="L815" s="17" t="n">
        <v>0</v>
      </c>
      <c r="M815" s="17" t="n">
        <v>30</v>
      </c>
      <c r="N815" s="17" t="n">
        <v>30</v>
      </c>
      <c r="O815" s="17" t="n">
        <v>0</v>
      </c>
      <c r="P815" s="17" t="n">
        <v>0</v>
      </c>
      <c r="Q815" s="18" t="n">
        <v>0</v>
      </c>
      <c r="R815" s="16" t="n">
        <v>0.12</v>
      </c>
      <c r="S815" s="17" t="n">
        <v>0</v>
      </c>
      <c r="T815" s="17" t="n">
        <v>0</v>
      </c>
      <c r="U815" s="17" t="n">
        <v>0.06</v>
      </c>
      <c r="V815" s="17" t="n">
        <v>0</v>
      </c>
      <c r="W815" s="17" t="n">
        <v>0</v>
      </c>
      <c r="X815" s="17" t="n">
        <v>0.03</v>
      </c>
      <c r="Y815" s="17" t="n">
        <v>0.03</v>
      </c>
      <c r="Z815" s="17" t="n">
        <v>0</v>
      </c>
      <c r="AA815" s="17" t="n">
        <v>0</v>
      </c>
      <c r="AB815" s="18" t="n">
        <v>0</v>
      </c>
      <c r="AC815" s="16" t="n">
        <v>-0.12</v>
      </c>
      <c r="AD815" s="17" t="n">
        <v>0</v>
      </c>
      <c r="AE815" s="17" t="n">
        <v>0</v>
      </c>
      <c r="AF815" s="17" t="n">
        <v>-0.06</v>
      </c>
      <c r="AG815" s="17" t="n">
        <v>0</v>
      </c>
      <c r="AH815" s="17" t="n">
        <v>0</v>
      </c>
      <c r="AI815" s="17" t="n">
        <v>-0.03</v>
      </c>
      <c r="AJ815" s="17" t="n">
        <v>-0.03</v>
      </c>
      <c r="AK815" s="17" t="n">
        <v>0</v>
      </c>
      <c r="AL815" s="17" t="n">
        <v>0</v>
      </c>
      <c r="AM815" s="18" t="n">
        <v>0</v>
      </c>
      <c r="AN815" s="16" t="n">
        <v>16</v>
      </c>
      <c r="AO815" s="17" t="n">
        <v>0</v>
      </c>
      <c r="AP815" s="17" t="n">
        <v>0</v>
      </c>
      <c r="AQ815" s="17" t="n">
        <v>0</v>
      </c>
      <c r="AR815" s="17" t="n">
        <v>0</v>
      </c>
      <c r="AS815" s="17" t="n">
        <v>0</v>
      </c>
      <c r="AT815" s="17" t="n">
        <v>3</v>
      </c>
      <c r="AU815" s="17" t="n">
        <v>11</v>
      </c>
      <c r="AV815" s="17" t="n">
        <v>0</v>
      </c>
      <c r="AW815" s="17" t="n">
        <v>0</v>
      </c>
      <c r="AX815" s="18" t="n">
        <v>0</v>
      </c>
      <c r="AY815" s="16" t="n">
        <v>0</v>
      </c>
      <c r="AZ815" s="17" t="n">
        <v>0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8" t="n">
        <v>0</v>
      </c>
      <c r="BJ815" s="16" t="n">
        <v>16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3</v>
      </c>
      <c r="BQ815" s="17" t="n">
        <v>11</v>
      </c>
      <c r="BR815" s="17" t="n">
        <v>0</v>
      </c>
      <c r="BS815" s="17" t="n">
        <v>0</v>
      </c>
      <c r="BT815" s="18" t="n">
        <v>0</v>
      </c>
      <c r="BU815" s="17" t="inlineStr">
        <is>
          <t>Unclassified</t>
        </is>
      </c>
    </row>
    <row r="816" ht="20" customHeight="1">
      <c r="A816" s="15" t="inlineStr">
        <is>
          <t>68382013805</t>
        </is>
      </c>
      <c r="B816" s="15" t="inlineStr">
        <is>
          <t>TOPIRAMATE 25MG TABLET</t>
        </is>
      </c>
      <c r="C816" s="16" t="n">
        <v>500</v>
      </c>
      <c r="D816" s="16" t="n">
        <v>0</v>
      </c>
      <c r="E816" s="16" t="n">
        <v>0</v>
      </c>
      <c r="F816" s="16" t="n">
        <v>0</v>
      </c>
      <c r="G816" s="16" t="n">
        <v>120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90</v>
      </c>
      <c r="O816" s="17" t="n">
        <v>0</v>
      </c>
      <c r="P816" s="17" t="n">
        <v>0</v>
      </c>
      <c r="Q816" s="18" t="n">
        <v>0</v>
      </c>
      <c r="R816" s="16" t="n">
        <v>0.24</v>
      </c>
      <c r="S816" s="17" t="n">
        <v>0</v>
      </c>
      <c r="T816" s="17" t="n">
        <v>0</v>
      </c>
      <c r="U816" s="17" t="n">
        <v>0.06</v>
      </c>
      <c r="V816" s="17" t="n">
        <v>0</v>
      </c>
      <c r="W816" s="17" t="n">
        <v>0</v>
      </c>
      <c r="X816" s="17" t="n">
        <v>0</v>
      </c>
      <c r="Y816" s="17" t="n">
        <v>0.18</v>
      </c>
      <c r="Z816" s="17" t="n">
        <v>0</v>
      </c>
      <c r="AA816" s="17" t="n">
        <v>0</v>
      </c>
      <c r="AB816" s="18" t="n">
        <v>0</v>
      </c>
      <c r="AC816" s="16" t="n">
        <v>-0.24</v>
      </c>
      <c r="AD816" s="17" t="n">
        <v>0</v>
      </c>
      <c r="AE816" s="17" t="n">
        <v>0</v>
      </c>
      <c r="AF816" s="17" t="n">
        <v>-0.06</v>
      </c>
      <c r="AG816" s="17" t="n">
        <v>0</v>
      </c>
      <c r="AH816" s="17" t="n">
        <v>0</v>
      </c>
      <c r="AI816" s="17" t="n">
        <v>0</v>
      </c>
      <c r="AJ816" s="17" t="n">
        <v>-0.18</v>
      </c>
      <c r="AK816" s="17" t="n">
        <v>0</v>
      </c>
      <c r="AL816" s="17" t="n">
        <v>0</v>
      </c>
      <c r="AM816" s="18" t="n">
        <v>0</v>
      </c>
      <c r="AN816" s="16" t="n">
        <v>25</v>
      </c>
      <c r="AO816" s="17" t="n">
        <v>0</v>
      </c>
      <c r="AP816" s="17" t="n">
        <v>0</v>
      </c>
      <c r="AQ816" s="17" t="n">
        <v>2</v>
      </c>
      <c r="AR816" s="17" t="n">
        <v>0</v>
      </c>
      <c r="AS816" s="17" t="n">
        <v>0</v>
      </c>
      <c r="AT816" s="17" t="n">
        <v>0</v>
      </c>
      <c r="AU816" s="17" t="n">
        <v>23</v>
      </c>
      <c r="AV816" s="17" t="n">
        <v>0</v>
      </c>
      <c r="AW816" s="17" t="n">
        <v>0</v>
      </c>
      <c r="AX816" s="18" t="n">
        <v>0</v>
      </c>
      <c r="AY816" s="16" t="n">
        <v>0</v>
      </c>
      <c r="AZ816" s="17" t="n">
        <v>0</v>
      </c>
      <c r="BA816" s="17" t="n">
        <v>0</v>
      </c>
      <c r="BB816" s="17" t="n">
        <v>0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7" t="n">
        <v>0</v>
      </c>
      <c r="BI816" s="18" t="n">
        <v>0</v>
      </c>
      <c r="BJ816" s="16" t="n">
        <v>25</v>
      </c>
      <c r="BK816" s="17" t="n">
        <v>0</v>
      </c>
      <c r="BL816" s="17" t="n">
        <v>0</v>
      </c>
      <c r="BM816" s="17" t="n">
        <v>2</v>
      </c>
      <c r="BN816" s="17" t="n">
        <v>0</v>
      </c>
      <c r="BO816" s="17" t="n">
        <v>0</v>
      </c>
      <c r="BP816" s="17" t="n">
        <v>0</v>
      </c>
      <c r="BQ816" s="17" t="n">
        <v>23</v>
      </c>
      <c r="BR816" s="17" t="n">
        <v>0</v>
      </c>
      <c r="BS816" s="17" t="n">
        <v>0</v>
      </c>
      <c r="BT816" s="18" t="n">
        <v>0</v>
      </c>
      <c r="BU816" s="17" t="inlineStr">
        <is>
          <t>Unclassified</t>
        </is>
      </c>
    </row>
    <row r="817" ht="20" customHeight="1">
      <c r="A817" s="15" t="inlineStr">
        <is>
          <t>68382013905</t>
        </is>
      </c>
      <c r="B817" s="15" t="inlineStr">
        <is>
          <t xml:space="preserve">TOPIRAMATE 50MG TAB </t>
        </is>
      </c>
      <c r="C817" s="16" t="n">
        <v>500</v>
      </c>
      <c r="D817" s="16" t="n">
        <v>0</v>
      </c>
      <c r="E817" s="16" t="n">
        <v>0</v>
      </c>
      <c r="F817" s="16" t="n">
        <v>0</v>
      </c>
      <c r="G817" s="16" t="n">
        <v>210</v>
      </c>
      <c r="H817" s="17" t="n">
        <v>0</v>
      </c>
      <c r="I817" s="17" t="n">
        <v>0</v>
      </c>
      <c r="J817" s="17" t="n">
        <v>120</v>
      </c>
      <c r="K817" s="17" t="n">
        <v>0</v>
      </c>
      <c r="L817" s="17" t="n">
        <v>0</v>
      </c>
      <c r="M817" s="17" t="n">
        <v>0</v>
      </c>
      <c r="N817" s="17" t="n">
        <v>90</v>
      </c>
      <c r="O817" s="17" t="n">
        <v>0</v>
      </c>
      <c r="P817" s="17" t="n">
        <v>0</v>
      </c>
      <c r="Q817" s="18" t="n">
        <v>0</v>
      </c>
      <c r="R817" s="16" t="n">
        <v>0.42</v>
      </c>
      <c r="S817" s="17" t="n">
        <v>0</v>
      </c>
      <c r="T817" s="17" t="n">
        <v>0</v>
      </c>
      <c r="U817" s="17" t="n">
        <v>0.24</v>
      </c>
      <c r="V817" s="17" t="n">
        <v>0</v>
      </c>
      <c r="W817" s="17" t="n">
        <v>0</v>
      </c>
      <c r="X817" s="17" t="n">
        <v>0</v>
      </c>
      <c r="Y817" s="17" t="n">
        <v>0.18</v>
      </c>
      <c r="Z817" s="17" t="n">
        <v>0</v>
      </c>
      <c r="AA817" s="17" t="n">
        <v>0</v>
      </c>
      <c r="AB817" s="18" t="n">
        <v>0</v>
      </c>
      <c r="AC817" s="16" t="n">
        <v>-0.42</v>
      </c>
      <c r="AD817" s="17" t="n">
        <v>0</v>
      </c>
      <c r="AE817" s="17" t="n">
        <v>0</v>
      </c>
      <c r="AF817" s="17" t="n">
        <v>-0.24</v>
      </c>
      <c r="AG817" s="17" t="n">
        <v>0</v>
      </c>
      <c r="AH817" s="17" t="n">
        <v>0</v>
      </c>
      <c r="AI817" s="17" t="n">
        <v>0</v>
      </c>
      <c r="AJ817" s="17" t="n">
        <v>-0.18</v>
      </c>
      <c r="AK817" s="17" t="n">
        <v>0</v>
      </c>
      <c r="AL817" s="17" t="n">
        <v>0</v>
      </c>
      <c r="AM817" s="18" t="n">
        <v>0</v>
      </c>
      <c r="AN817" s="16" t="n">
        <v>27</v>
      </c>
      <c r="AO817" s="17" t="n">
        <v>0</v>
      </c>
      <c r="AP817" s="17" t="n">
        <v>0</v>
      </c>
      <c r="AQ817" s="17" t="n">
        <v>3</v>
      </c>
      <c r="AR817" s="17" t="n">
        <v>0</v>
      </c>
      <c r="AS817" s="17" t="n">
        <v>0</v>
      </c>
      <c r="AT817" s="17" t="n">
        <v>0</v>
      </c>
      <c r="AU817" s="17" t="n">
        <v>24</v>
      </c>
      <c r="AV817" s="17" t="n">
        <v>0</v>
      </c>
      <c r="AW817" s="17" t="n">
        <v>0</v>
      </c>
      <c r="AX817" s="18" t="n">
        <v>0</v>
      </c>
      <c r="AY817" s="16" t="n">
        <v>0</v>
      </c>
      <c r="AZ817" s="17" t="n">
        <v>0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8" t="n">
        <v>0</v>
      </c>
      <c r="BJ817" s="16" t="n">
        <v>27</v>
      </c>
      <c r="BK817" s="17" t="n">
        <v>0</v>
      </c>
      <c r="BL817" s="17" t="n">
        <v>0</v>
      </c>
      <c r="BM817" s="17" t="n">
        <v>3</v>
      </c>
      <c r="BN817" s="17" t="n">
        <v>0</v>
      </c>
      <c r="BO817" s="17" t="n">
        <v>0</v>
      </c>
      <c r="BP817" s="17" t="n">
        <v>0</v>
      </c>
      <c r="BQ817" s="17" t="n">
        <v>24</v>
      </c>
      <c r="BR817" s="17" t="n">
        <v>0</v>
      </c>
      <c r="BS817" s="17" t="n">
        <v>0</v>
      </c>
      <c r="BT817" s="18" t="n">
        <v>0</v>
      </c>
      <c r="BU817" s="17" t="inlineStr">
        <is>
          <t>Unclassified</t>
        </is>
      </c>
    </row>
    <row r="818" ht="20" customHeight="1">
      <c r="A818" s="15" t="inlineStr">
        <is>
          <t>31722053001</t>
        </is>
      </c>
      <c r="B818" s="15" t="inlineStr">
        <is>
          <t>TORSEMIDE 10MG TABLET</t>
        </is>
      </c>
      <c r="C818" s="16" t="n">
        <v>100</v>
      </c>
      <c r="D818" s="16" t="n">
        <v>0</v>
      </c>
      <c r="E818" s="16" t="n">
        <v>0</v>
      </c>
      <c r="F818" s="16" t="n">
        <v>0</v>
      </c>
      <c r="G818" s="16" t="n">
        <v>60</v>
      </c>
      <c r="H818" s="17" t="n">
        <v>0</v>
      </c>
      <c r="I818" s="17" t="n">
        <v>0</v>
      </c>
      <c r="J818" s="17" t="n">
        <v>60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8" t="n">
        <v>0</v>
      </c>
      <c r="R818" s="16" t="n">
        <v>0.6</v>
      </c>
      <c r="S818" s="17" t="n">
        <v>0</v>
      </c>
      <c r="T818" s="17" t="n">
        <v>0</v>
      </c>
      <c r="U818" s="17" t="n">
        <v>0.6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8" t="n">
        <v>0</v>
      </c>
      <c r="AC818" s="16" t="n">
        <v>-0.6</v>
      </c>
      <c r="AD818" s="17" t="n">
        <v>0</v>
      </c>
      <c r="AE818" s="17" t="n">
        <v>0</v>
      </c>
      <c r="AF818" s="17" t="n">
        <v>-0.6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8" t="n">
        <v>0</v>
      </c>
      <c r="AN818" s="16" t="n">
        <v>6</v>
      </c>
      <c r="AO818" s="17" t="n">
        <v>0</v>
      </c>
      <c r="AP818" s="17" t="n">
        <v>0</v>
      </c>
      <c r="AQ818" s="17" t="n">
        <v>5</v>
      </c>
      <c r="AR818" s="17" t="n">
        <v>0</v>
      </c>
      <c r="AS818" s="17" t="n">
        <v>0</v>
      </c>
      <c r="AT818" s="17" t="n">
        <v>0</v>
      </c>
      <c r="AU818" s="17" t="n">
        <v>0</v>
      </c>
      <c r="AV818" s="17" t="n">
        <v>0</v>
      </c>
      <c r="AW818" s="17" t="n">
        <v>0</v>
      </c>
      <c r="AX818" s="18" t="n">
        <v>0</v>
      </c>
      <c r="AY818" s="16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7" t="n">
        <v>0</v>
      </c>
      <c r="BI818" s="18" t="n">
        <v>0</v>
      </c>
      <c r="BJ818" s="16" t="n">
        <v>6</v>
      </c>
      <c r="BK818" s="17" t="n">
        <v>0</v>
      </c>
      <c r="BL818" s="17" t="n">
        <v>0</v>
      </c>
      <c r="BM818" s="17" t="n">
        <v>5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7" t="n">
        <v>0</v>
      </c>
      <c r="BT818" s="18" t="n">
        <v>0</v>
      </c>
      <c r="BU818" s="17" t="inlineStr">
        <is>
          <t>Unclassified</t>
        </is>
      </c>
    </row>
    <row r="819" ht="20" customHeight="1">
      <c r="A819" s="15" t="inlineStr">
        <is>
          <t>50111091703</t>
        </is>
      </c>
      <c r="B819" s="15" t="inlineStr">
        <is>
          <t>TORSEMIDE 20MG TABLET</t>
        </is>
      </c>
      <c r="C819" s="16" t="n">
        <v>1000</v>
      </c>
      <c r="D819" s="16" t="n">
        <v>0</v>
      </c>
      <c r="E819" s="16" t="n">
        <v>0</v>
      </c>
      <c r="F819" s="16" t="n">
        <v>0</v>
      </c>
      <c r="G819" s="16" t="n">
        <v>420</v>
      </c>
      <c r="H819" s="17" t="n">
        <v>0</v>
      </c>
      <c r="I819" s="17" t="n">
        <v>0</v>
      </c>
      <c r="J819" s="17" t="n">
        <v>330</v>
      </c>
      <c r="K819" s="17" t="n">
        <v>90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8" t="n">
        <v>0</v>
      </c>
      <c r="R819" s="16" t="n">
        <v>0.42</v>
      </c>
      <c r="S819" s="17" t="n">
        <v>0</v>
      </c>
      <c r="T819" s="17" t="n">
        <v>0</v>
      </c>
      <c r="U819" s="17" t="n">
        <v>0.33</v>
      </c>
      <c r="V819" s="17" t="n">
        <v>0.09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8" t="n">
        <v>0</v>
      </c>
      <c r="AC819" s="16" t="n">
        <v>-0.42</v>
      </c>
      <c r="AD819" s="17" t="n">
        <v>0</v>
      </c>
      <c r="AE819" s="17" t="n">
        <v>0</v>
      </c>
      <c r="AF819" s="17" t="n">
        <v>-0.33</v>
      </c>
      <c r="AG819" s="17" t="n">
        <v>-0.09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8" t="n">
        <v>0</v>
      </c>
      <c r="AN819" s="16" t="n">
        <v>48</v>
      </c>
      <c r="AO819" s="17" t="n">
        <v>0</v>
      </c>
      <c r="AP819" s="17" t="n">
        <v>0</v>
      </c>
      <c r="AQ819" s="17" t="n">
        <v>40</v>
      </c>
      <c r="AR819" s="17" t="n">
        <v>8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8" t="n">
        <v>0</v>
      </c>
      <c r="AY819" s="16" t="n">
        <v>0</v>
      </c>
      <c r="AZ819" s="17" t="n">
        <v>0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8" t="n">
        <v>0</v>
      </c>
      <c r="BJ819" s="16" t="n">
        <v>48</v>
      </c>
      <c r="BK819" s="17" t="n">
        <v>0</v>
      </c>
      <c r="BL819" s="17" t="n">
        <v>0</v>
      </c>
      <c r="BM819" s="17" t="n">
        <v>40</v>
      </c>
      <c r="BN819" s="17" t="n">
        <v>8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8" t="n">
        <v>0</v>
      </c>
      <c r="BU819" s="17" t="inlineStr">
        <is>
          <t>Unclassified</t>
        </is>
      </c>
    </row>
    <row r="820" ht="20" customHeight="1">
      <c r="A820" s="15" t="inlineStr">
        <is>
          <t>00597014030</t>
        </is>
      </c>
      <c r="B820" s="15" t="inlineStr">
        <is>
          <t xml:space="preserve">TRADJENTA 5MG TAB </t>
        </is>
      </c>
      <c r="C820" s="16" t="n">
        <v>30</v>
      </c>
      <c r="D820" s="16" t="n">
        <v>10</v>
      </c>
      <c r="E820" s="16" t="n">
        <v>10</v>
      </c>
      <c r="F820" s="16" t="n">
        <v>511</v>
      </c>
      <c r="G820" s="16" t="n">
        <v>270</v>
      </c>
      <c r="H820" s="17" t="n">
        <v>0</v>
      </c>
      <c r="I820" s="17" t="n">
        <v>0</v>
      </c>
      <c r="J820" s="17" t="n">
        <v>180</v>
      </c>
      <c r="K820" s="17" t="n">
        <v>90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8" t="n">
        <v>0</v>
      </c>
      <c r="R820" s="16" t="n">
        <v>9</v>
      </c>
      <c r="S820" s="17" t="n">
        <v>0</v>
      </c>
      <c r="T820" s="17" t="n">
        <v>0</v>
      </c>
      <c r="U820" s="17" t="n">
        <v>6</v>
      </c>
      <c r="V820" s="17" t="n">
        <v>3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8" t="n">
        <v>0</v>
      </c>
      <c r="AC820" s="16" t="n">
        <v>1</v>
      </c>
      <c r="AD820" s="17" t="n">
        <v>10</v>
      </c>
      <c r="AE820" s="17" t="n">
        <v>10</v>
      </c>
      <c r="AF820" s="17" t="n">
        <v>4</v>
      </c>
      <c r="AG820" s="17" t="n">
        <v>7</v>
      </c>
      <c r="AH820" s="17" t="n">
        <v>10</v>
      </c>
      <c r="AI820" s="17" t="n">
        <v>10</v>
      </c>
      <c r="AJ820" s="17" t="n">
        <v>10</v>
      </c>
      <c r="AK820" s="17" t="n">
        <v>10</v>
      </c>
      <c r="AL820" s="17" t="n">
        <v>10</v>
      </c>
      <c r="AM820" s="18" t="n">
        <v>10</v>
      </c>
      <c r="AN820" s="16" t="n">
        <v>4356</v>
      </c>
      <c r="AO820" s="17" t="n">
        <v>0</v>
      </c>
      <c r="AP820" s="17" t="n">
        <v>0</v>
      </c>
      <c r="AQ820" s="17" t="n">
        <v>2943</v>
      </c>
      <c r="AR820" s="17" t="n">
        <v>1408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8" t="n">
        <v>0</v>
      </c>
      <c r="AY820" s="16" t="n">
        <v>4599</v>
      </c>
      <c r="AZ820" s="17" t="n">
        <v>0</v>
      </c>
      <c r="BA820" s="17" t="n">
        <v>0</v>
      </c>
      <c r="BB820" s="17" t="n">
        <v>3066</v>
      </c>
      <c r="BC820" s="17" t="n">
        <v>1533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7" t="n">
        <v>0</v>
      </c>
      <c r="BI820" s="18" t="n">
        <v>0</v>
      </c>
      <c r="BJ820" s="16" t="n">
        <v>-243</v>
      </c>
      <c r="BK820" s="17" t="n">
        <v>0</v>
      </c>
      <c r="BL820" s="17" t="n">
        <v>0</v>
      </c>
      <c r="BM820" s="17" t="n">
        <v>-123</v>
      </c>
      <c r="BN820" s="17" t="n">
        <v>-125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7" t="n">
        <v>0</v>
      </c>
      <c r="BT820" s="18" t="n">
        <v>0</v>
      </c>
      <c r="BU820" s="17" t="inlineStr">
        <is>
          <t>Branded Drug</t>
        </is>
      </c>
    </row>
    <row r="821" ht="20" customHeight="1">
      <c r="A821" s="15" t="inlineStr">
        <is>
          <t>60219234805</t>
        </is>
      </c>
      <c r="B821" s="15" t="inlineStr">
        <is>
          <t>TRAMADOL 50 MG TABLET</t>
        </is>
      </c>
      <c r="C821" s="16" t="n">
        <v>500</v>
      </c>
      <c r="D821" s="16" t="n">
        <v>0</v>
      </c>
      <c r="E821" s="16" t="n">
        <v>0</v>
      </c>
      <c r="F821" s="16" t="n">
        <v>0</v>
      </c>
      <c r="G821" s="16" t="n">
        <v>40</v>
      </c>
      <c r="H821" s="17" t="n">
        <v>0</v>
      </c>
      <c r="I821" s="17" t="n">
        <v>0</v>
      </c>
      <c r="J821" s="17" t="n">
        <v>40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8" t="n">
        <v>0</v>
      </c>
      <c r="R821" s="16" t="n">
        <v>0.08</v>
      </c>
      <c r="S821" s="17" t="n">
        <v>0</v>
      </c>
      <c r="T821" s="17" t="n">
        <v>0</v>
      </c>
      <c r="U821" s="17" t="n">
        <v>0.08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8" t="n">
        <v>0</v>
      </c>
      <c r="AC821" s="16" t="n">
        <v>-0.08</v>
      </c>
      <c r="AD821" s="17" t="n">
        <v>0</v>
      </c>
      <c r="AE821" s="17" t="n">
        <v>0</v>
      </c>
      <c r="AF821" s="17" t="n">
        <v>-0.08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8" t="n">
        <v>0</v>
      </c>
      <c r="AN821" s="16" t="n">
        <v>1</v>
      </c>
      <c r="AO821" s="17" t="n">
        <v>0</v>
      </c>
      <c r="AP821" s="17" t="n">
        <v>0</v>
      </c>
      <c r="AQ821" s="17" t="n">
        <v>1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8" t="n">
        <v>0</v>
      </c>
      <c r="AY821" s="16" t="n">
        <v>0</v>
      </c>
      <c r="AZ821" s="17" t="n">
        <v>0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8" t="n">
        <v>0</v>
      </c>
      <c r="BJ821" s="16" t="n">
        <v>1</v>
      </c>
      <c r="BK821" s="17" t="n">
        <v>0</v>
      </c>
      <c r="BL821" s="17" t="n">
        <v>0</v>
      </c>
      <c r="BM821" s="17" t="n">
        <v>1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8" t="n">
        <v>0</v>
      </c>
      <c r="BU821" s="17" t="inlineStr">
        <is>
          <t>Unclassified</t>
        </is>
      </c>
    </row>
    <row r="822" ht="20" customHeight="1">
      <c r="A822" s="15" t="inlineStr">
        <is>
          <t>68180069806</t>
        </is>
      </c>
      <c r="B822" s="15" t="inlineStr">
        <is>
          <t>TRAMADOL HCL ER 200MG TABLET</t>
        </is>
      </c>
      <c r="C822" s="16" t="n">
        <v>30</v>
      </c>
      <c r="D822" s="16" t="n">
        <v>0</v>
      </c>
      <c r="E822" s="16" t="n">
        <v>0</v>
      </c>
      <c r="F822" s="16" t="n">
        <v>0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30</v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8" t="n">
        <v>0</v>
      </c>
      <c r="R822" s="16" t="n">
        <v>1</v>
      </c>
      <c r="S822" s="17" t="n">
        <v>0</v>
      </c>
      <c r="T822" s="17" t="n">
        <v>0</v>
      </c>
      <c r="U822" s="17" t="n">
        <v>0</v>
      </c>
      <c r="V822" s="17" t="n">
        <v>1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8" t="n">
        <v>0</v>
      </c>
      <c r="AC822" s="16" t="n">
        <v>-1</v>
      </c>
      <c r="AD822" s="17" t="n">
        <v>0</v>
      </c>
      <c r="AE822" s="17" t="n">
        <v>0</v>
      </c>
      <c r="AF822" s="17" t="n">
        <v>0</v>
      </c>
      <c r="AG822" s="17" t="n">
        <v>-1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8" t="n">
        <v>0</v>
      </c>
      <c r="AN822" s="16" t="n">
        <v>59</v>
      </c>
      <c r="AO822" s="17" t="n">
        <v>0</v>
      </c>
      <c r="AP822" s="17" t="n">
        <v>0</v>
      </c>
      <c r="AQ822" s="17" t="n">
        <v>0</v>
      </c>
      <c r="AR822" s="17" t="n">
        <v>49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8" t="n">
        <v>0</v>
      </c>
      <c r="AY822" s="16" t="n">
        <v>0</v>
      </c>
      <c r="AZ822" s="17" t="n">
        <v>0</v>
      </c>
      <c r="BA822" s="17" t="n">
        <v>0</v>
      </c>
      <c r="BB822" s="17" t="n">
        <v>0</v>
      </c>
      <c r="BC822" s="17" t="n">
        <v>0</v>
      </c>
      <c r="BD822" s="17" t="n">
        <v>0</v>
      </c>
      <c r="BE822" s="17" t="n">
        <v>0</v>
      </c>
      <c r="BF822" s="17" t="n">
        <v>0</v>
      </c>
      <c r="BG822" s="17" t="n">
        <v>0</v>
      </c>
      <c r="BH822" s="17" t="n">
        <v>0</v>
      </c>
      <c r="BI822" s="18" t="n">
        <v>0</v>
      </c>
      <c r="BJ822" s="16" t="n">
        <v>59</v>
      </c>
      <c r="BK822" s="17" t="n">
        <v>0</v>
      </c>
      <c r="BL822" s="17" t="n">
        <v>0</v>
      </c>
      <c r="BM822" s="17" t="n">
        <v>0</v>
      </c>
      <c r="BN822" s="17" t="n">
        <v>49</v>
      </c>
      <c r="BO822" s="17" t="n">
        <v>0</v>
      </c>
      <c r="BP822" s="17" t="n">
        <v>0</v>
      </c>
      <c r="BQ822" s="17" t="n">
        <v>0</v>
      </c>
      <c r="BR822" s="17" t="n">
        <v>0</v>
      </c>
      <c r="BS822" s="17" t="n">
        <v>0</v>
      </c>
      <c r="BT822" s="18" t="n">
        <v>0</v>
      </c>
      <c r="BU822" s="17" t="inlineStr">
        <is>
          <t>Unclassified</t>
        </is>
      </c>
    </row>
    <row r="823" ht="20" customHeight="1">
      <c r="A823" s="15" t="inlineStr">
        <is>
          <t>69918030130</t>
        </is>
      </c>
      <c r="B823" s="15" t="inlineStr">
        <is>
          <t>TRANEXAMIC ACID 650MG TABLET</t>
        </is>
      </c>
      <c r="C823" s="16" t="n">
        <v>30</v>
      </c>
      <c r="D823" s="16" t="n">
        <v>0</v>
      </c>
      <c r="E823" s="16" t="n">
        <v>0</v>
      </c>
      <c r="F823" s="16" t="n">
        <v>0</v>
      </c>
      <c r="G823" s="16" t="n">
        <v>120</v>
      </c>
      <c r="H823" s="17" t="n">
        <v>0</v>
      </c>
      <c r="I823" s="17" t="n">
        <v>0</v>
      </c>
      <c r="J823" s="17" t="n">
        <v>120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8" t="n">
        <v>0</v>
      </c>
      <c r="R823" s="16" t="n">
        <v>4</v>
      </c>
      <c r="S823" s="17" t="n">
        <v>0</v>
      </c>
      <c r="T823" s="17" t="n">
        <v>0</v>
      </c>
      <c r="U823" s="17" t="n">
        <v>4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8" t="n">
        <v>0</v>
      </c>
      <c r="AC823" s="16" t="n">
        <v>-4</v>
      </c>
      <c r="AD823" s="17" t="n">
        <v>0</v>
      </c>
      <c r="AE823" s="17" t="n">
        <v>0</v>
      </c>
      <c r="AF823" s="17" t="n">
        <v>-4</v>
      </c>
      <c r="AG823" s="17" t="n">
        <v>0</v>
      </c>
      <c r="AH823" s="17" t="n">
        <v>0</v>
      </c>
      <c r="AI823" s="17" t="n">
        <v>0</v>
      </c>
      <c r="AJ823" s="17" t="n">
        <v>0</v>
      </c>
      <c r="AK823" s="17" t="n">
        <v>0</v>
      </c>
      <c r="AL823" s="17" t="n">
        <v>0</v>
      </c>
      <c r="AM823" s="18" t="n">
        <v>0</v>
      </c>
      <c r="AN823" s="16" t="n">
        <v>162</v>
      </c>
      <c r="AO823" s="17" t="n">
        <v>0</v>
      </c>
      <c r="AP823" s="17" t="n">
        <v>0</v>
      </c>
      <c r="AQ823" s="17" t="n">
        <v>150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8" t="n">
        <v>0</v>
      </c>
      <c r="AY823" s="16" t="n">
        <v>0</v>
      </c>
      <c r="AZ823" s="17" t="n">
        <v>0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8" t="n">
        <v>0</v>
      </c>
      <c r="BJ823" s="16" t="n">
        <v>162</v>
      </c>
      <c r="BK823" s="17" t="n">
        <v>0</v>
      </c>
      <c r="BL823" s="17" t="n">
        <v>0</v>
      </c>
      <c r="BM823" s="17" t="n">
        <v>150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8" t="n">
        <v>0</v>
      </c>
      <c r="BU823" s="17" t="inlineStr">
        <is>
          <t>Unclassified</t>
        </is>
      </c>
    </row>
    <row r="824" ht="20" customHeight="1">
      <c r="A824" s="15" t="inlineStr">
        <is>
          <t>50111056103</t>
        </is>
      </c>
      <c r="B824" s="15" t="inlineStr">
        <is>
          <t>TRAZODONE 100MG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255</v>
      </c>
      <c r="H824" s="17" t="n">
        <v>0</v>
      </c>
      <c r="I824" s="17" t="n">
        <v>0</v>
      </c>
      <c r="J824" s="17" t="n">
        <v>120</v>
      </c>
      <c r="K824" s="17" t="n">
        <v>45</v>
      </c>
      <c r="L824" s="17" t="n">
        <v>0</v>
      </c>
      <c r="M824" s="17" t="n">
        <v>0</v>
      </c>
      <c r="N824" s="17" t="n">
        <v>90</v>
      </c>
      <c r="O824" s="17" t="n">
        <v>0</v>
      </c>
      <c r="P824" s="17" t="n">
        <v>0</v>
      </c>
      <c r="Q824" s="18" t="n">
        <v>0</v>
      </c>
      <c r="R824" s="16" t="n">
        <v>0.255</v>
      </c>
      <c r="S824" s="17" t="n">
        <v>0</v>
      </c>
      <c r="T824" s="17" t="n">
        <v>0</v>
      </c>
      <c r="U824" s="17" t="n">
        <v>0.12</v>
      </c>
      <c r="V824" s="17" t="n">
        <v>0.045</v>
      </c>
      <c r="W824" s="17" t="n">
        <v>0</v>
      </c>
      <c r="X824" s="17" t="n">
        <v>0</v>
      </c>
      <c r="Y824" s="17" t="n">
        <v>0.09</v>
      </c>
      <c r="Z824" s="17" t="n">
        <v>0</v>
      </c>
      <c r="AA824" s="17" t="n">
        <v>0</v>
      </c>
      <c r="AB824" s="18" t="n">
        <v>0</v>
      </c>
      <c r="AC824" s="16" t="n">
        <v>-0.255</v>
      </c>
      <c r="AD824" s="17" t="n">
        <v>0</v>
      </c>
      <c r="AE824" s="17" t="n">
        <v>0</v>
      </c>
      <c r="AF824" s="17" t="n">
        <v>-0.12</v>
      </c>
      <c r="AG824" s="17" t="n">
        <v>-0.045</v>
      </c>
      <c r="AH824" s="17" t="n">
        <v>0</v>
      </c>
      <c r="AI824" s="17" t="n">
        <v>0</v>
      </c>
      <c r="AJ824" s="17" t="n">
        <v>-0.09</v>
      </c>
      <c r="AK824" s="17" t="n">
        <v>0</v>
      </c>
      <c r="AL824" s="17" t="n">
        <v>0</v>
      </c>
      <c r="AM824" s="18" t="n">
        <v>0</v>
      </c>
      <c r="AN824" s="16" t="n">
        <v>35</v>
      </c>
      <c r="AO824" s="17" t="n">
        <v>0</v>
      </c>
      <c r="AP824" s="17" t="n">
        <v>0</v>
      </c>
      <c r="AQ824" s="17" t="n">
        <v>8</v>
      </c>
      <c r="AR824" s="17" t="n">
        <v>2</v>
      </c>
      <c r="AS824" s="17" t="n">
        <v>0</v>
      </c>
      <c r="AT824" s="17" t="n">
        <v>0</v>
      </c>
      <c r="AU824" s="17" t="n">
        <v>24</v>
      </c>
      <c r="AV824" s="17" t="n">
        <v>0</v>
      </c>
      <c r="AW824" s="17" t="n">
        <v>0</v>
      </c>
      <c r="AX824" s="18" t="n">
        <v>0</v>
      </c>
      <c r="AY824" s="16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7" t="n">
        <v>0</v>
      </c>
      <c r="BG824" s="17" t="n">
        <v>0</v>
      </c>
      <c r="BH824" s="17" t="n">
        <v>0</v>
      </c>
      <c r="BI824" s="18" t="n">
        <v>0</v>
      </c>
      <c r="BJ824" s="16" t="n">
        <v>35</v>
      </c>
      <c r="BK824" s="17" t="n">
        <v>0</v>
      </c>
      <c r="BL824" s="17" t="n">
        <v>0</v>
      </c>
      <c r="BM824" s="17" t="n">
        <v>8</v>
      </c>
      <c r="BN824" s="17" t="n">
        <v>2</v>
      </c>
      <c r="BO824" s="17" t="n">
        <v>0</v>
      </c>
      <c r="BP824" s="17" t="n">
        <v>0</v>
      </c>
      <c r="BQ824" s="17" t="n">
        <v>24</v>
      </c>
      <c r="BR824" s="17" t="n">
        <v>0</v>
      </c>
      <c r="BS824" s="17" t="n">
        <v>0</v>
      </c>
      <c r="BT824" s="18" t="n">
        <v>0</v>
      </c>
      <c r="BU824" s="17" t="inlineStr">
        <is>
          <t>Unclassified</t>
        </is>
      </c>
    </row>
    <row r="825" ht="20" customHeight="1">
      <c r="A825" s="15" t="inlineStr">
        <is>
          <t>50111045002</t>
        </is>
      </c>
      <c r="B825" s="15" t="inlineStr">
        <is>
          <t>TRAZODONE 150MG TABLET</t>
        </is>
      </c>
      <c r="C825" s="16" t="n">
        <v>500</v>
      </c>
      <c r="D825" s="16" t="n">
        <v>0</v>
      </c>
      <c r="E825" s="16" t="n">
        <v>0</v>
      </c>
      <c r="F825" s="16" t="n">
        <v>0</v>
      </c>
      <c r="G825" s="16" t="n">
        <v>90</v>
      </c>
      <c r="H825" s="17" t="n">
        <v>0</v>
      </c>
      <c r="I825" s="17" t="n">
        <v>0</v>
      </c>
      <c r="J825" s="17" t="n">
        <v>90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8" t="n">
        <v>0</v>
      </c>
      <c r="R825" s="16" t="n">
        <v>0.18</v>
      </c>
      <c r="S825" s="17" t="n">
        <v>0</v>
      </c>
      <c r="T825" s="17" t="n">
        <v>0</v>
      </c>
      <c r="U825" s="17" t="n">
        <v>0.18</v>
      </c>
      <c r="V825" s="17" t="n">
        <v>0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8" t="n">
        <v>0</v>
      </c>
      <c r="AC825" s="16" t="n">
        <v>-0.18</v>
      </c>
      <c r="AD825" s="17" t="n">
        <v>0</v>
      </c>
      <c r="AE825" s="17" t="n">
        <v>0</v>
      </c>
      <c r="AF825" s="17" t="n">
        <v>-0.18</v>
      </c>
      <c r="AG825" s="17" t="n">
        <v>0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8" t="n">
        <v>0</v>
      </c>
      <c r="AN825" s="16" t="n">
        <v>9</v>
      </c>
      <c r="AO825" s="17" t="n">
        <v>0</v>
      </c>
      <c r="AP825" s="17" t="n">
        <v>0</v>
      </c>
      <c r="AQ825" s="17" t="n">
        <v>9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8" t="n">
        <v>0</v>
      </c>
      <c r="AY825" s="16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8" t="n">
        <v>0</v>
      </c>
      <c r="BJ825" s="16" t="n">
        <v>9</v>
      </c>
      <c r="BK825" s="17" t="n">
        <v>0</v>
      </c>
      <c r="BL825" s="17" t="n">
        <v>0</v>
      </c>
      <c r="BM825" s="17" t="n">
        <v>9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8" t="n">
        <v>0</v>
      </c>
      <c r="BU825" s="17" t="inlineStr">
        <is>
          <t>Unclassified</t>
        </is>
      </c>
    </row>
    <row r="826" ht="20" customHeight="1">
      <c r="A826" s="15" t="inlineStr">
        <is>
          <t>50111056003</t>
        </is>
      </c>
      <c r="B826" s="15" t="inlineStr">
        <is>
          <t>TRAZODONE 50MG TABLET</t>
        </is>
      </c>
      <c r="C826" s="16" t="n">
        <v>1000</v>
      </c>
      <c r="D826" s="16" t="n">
        <v>0</v>
      </c>
      <c r="E826" s="16" t="n">
        <v>0</v>
      </c>
      <c r="F826" s="16" t="n">
        <v>0</v>
      </c>
      <c r="G826" s="16" t="n">
        <v>396</v>
      </c>
      <c r="H826" s="17" t="n">
        <v>0</v>
      </c>
      <c r="I826" s="17" t="n">
        <v>0</v>
      </c>
      <c r="J826" s="17" t="n">
        <v>195</v>
      </c>
      <c r="K826" s="17" t="n">
        <v>0</v>
      </c>
      <c r="L826" s="17" t="n">
        <v>0</v>
      </c>
      <c r="M826" s="17" t="n">
        <v>30</v>
      </c>
      <c r="N826" s="17" t="n">
        <v>141</v>
      </c>
      <c r="O826" s="17" t="n">
        <v>30</v>
      </c>
      <c r="P826" s="17" t="n">
        <v>0</v>
      </c>
      <c r="Q826" s="18" t="n">
        <v>0</v>
      </c>
      <c r="R826" s="16" t="n">
        <v>0.396</v>
      </c>
      <c r="S826" s="17" t="n">
        <v>0</v>
      </c>
      <c r="T826" s="17" t="n">
        <v>0</v>
      </c>
      <c r="U826" s="17" t="n">
        <v>0.195</v>
      </c>
      <c r="V826" s="17" t="n">
        <v>0</v>
      </c>
      <c r="W826" s="17" t="n">
        <v>0</v>
      </c>
      <c r="X826" s="17" t="n">
        <v>0.03</v>
      </c>
      <c r="Y826" s="17" t="n">
        <v>0.141</v>
      </c>
      <c r="Z826" s="17" t="n">
        <v>0.03</v>
      </c>
      <c r="AA826" s="17" t="n">
        <v>0</v>
      </c>
      <c r="AB826" s="18" t="n">
        <v>0</v>
      </c>
      <c r="AC826" s="16" t="n">
        <v>-0.396</v>
      </c>
      <c r="AD826" s="17" t="n">
        <v>0</v>
      </c>
      <c r="AE826" s="17" t="n">
        <v>0</v>
      </c>
      <c r="AF826" s="17" t="n">
        <v>-0.195</v>
      </c>
      <c r="AG826" s="17" t="n">
        <v>0</v>
      </c>
      <c r="AH826" s="17" t="n">
        <v>0</v>
      </c>
      <c r="AI826" s="17" t="n">
        <v>-0.03</v>
      </c>
      <c r="AJ826" s="17" t="n">
        <v>-0.141</v>
      </c>
      <c r="AK826" s="17" t="n">
        <v>-0.03</v>
      </c>
      <c r="AL826" s="17" t="n">
        <v>0</v>
      </c>
      <c r="AM826" s="18" t="n">
        <v>0</v>
      </c>
      <c r="AN826" s="16" t="n">
        <v>45</v>
      </c>
      <c r="AO826" s="17" t="n">
        <v>0</v>
      </c>
      <c r="AP826" s="17" t="n">
        <v>0</v>
      </c>
      <c r="AQ826" s="17" t="n">
        <v>4</v>
      </c>
      <c r="AR826" s="17" t="n">
        <v>0</v>
      </c>
      <c r="AS826" s="17" t="n">
        <v>0</v>
      </c>
      <c r="AT826" s="17" t="n">
        <v>3</v>
      </c>
      <c r="AU826" s="17" t="n">
        <v>35</v>
      </c>
      <c r="AV826" s="17" t="n">
        <v>0</v>
      </c>
      <c r="AW826" s="17" t="n">
        <v>0</v>
      </c>
      <c r="AX826" s="18" t="n">
        <v>0</v>
      </c>
      <c r="AY826" s="16" t="n">
        <v>0</v>
      </c>
      <c r="AZ826" s="17" t="n">
        <v>0</v>
      </c>
      <c r="BA826" s="17" t="n">
        <v>0</v>
      </c>
      <c r="BB826" s="17" t="n">
        <v>0</v>
      </c>
      <c r="BC826" s="17" t="n">
        <v>0</v>
      </c>
      <c r="BD826" s="17" t="n">
        <v>0</v>
      </c>
      <c r="BE826" s="17" t="n">
        <v>0</v>
      </c>
      <c r="BF826" s="17" t="n">
        <v>0</v>
      </c>
      <c r="BG826" s="17" t="n">
        <v>0</v>
      </c>
      <c r="BH826" s="17" t="n">
        <v>0</v>
      </c>
      <c r="BI826" s="18" t="n">
        <v>0</v>
      </c>
      <c r="BJ826" s="16" t="n">
        <v>45</v>
      </c>
      <c r="BK826" s="17" t="n">
        <v>0</v>
      </c>
      <c r="BL826" s="17" t="n">
        <v>0</v>
      </c>
      <c r="BM826" s="17" t="n">
        <v>4</v>
      </c>
      <c r="BN826" s="17" t="n">
        <v>0</v>
      </c>
      <c r="BO826" s="17" t="n">
        <v>0</v>
      </c>
      <c r="BP826" s="17" t="n">
        <v>3</v>
      </c>
      <c r="BQ826" s="17" t="n">
        <v>35</v>
      </c>
      <c r="BR826" s="17" t="n">
        <v>0</v>
      </c>
      <c r="BS826" s="17" t="n">
        <v>0</v>
      </c>
      <c r="BT826" s="18" t="n">
        <v>0</v>
      </c>
      <c r="BU826" s="17" t="inlineStr">
        <is>
          <t>Unclassified</t>
        </is>
      </c>
    </row>
    <row r="827" ht="20" customHeight="1">
      <c r="A827" s="15" t="inlineStr">
        <is>
          <t>00173088710</t>
        </is>
      </c>
      <c r="B827" s="15" t="inlineStr">
        <is>
          <t>TRELEGY ELLIPTA 100-62.5-25MCG/INH AEROSOL</t>
        </is>
      </c>
      <c r="C827" s="16" t="n">
        <v>60</v>
      </c>
      <c r="D827" s="16" t="n">
        <v>0</v>
      </c>
      <c r="E827" s="16" t="n">
        <v>0</v>
      </c>
      <c r="F827" s="16" t="n">
        <v>0</v>
      </c>
      <c r="G827" s="16" t="n">
        <v>480</v>
      </c>
      <c r="H827" s="17" t="n">
        <v>0</v>
      </c>
      <c r="I827" s="17" t="n">
        <v>0</v>
      </c>
      <c r="J827" s="17" t="n">
        <v>120</v>
      </c>
      <c r="K827" s="17" t="n">
        <v>0</v>
      </c>
      <c r="L827" s="17" t="n">
        <v>0</v>
      </c>
      <c r="M827" s="17" t="n">
        <v>180</v>
      </c>
      <c r="N827" s="17" t="n">
        <v>180</v>
      </c>
      <c r="O827" s="17" t="n">
        <v>0</v>
      </c>
      <c r="P827" s="17" t="n">
        <v>0</v>
      </c>
      <c r="Q827" s="18" t="n">
        <v>0</v>
      </c>
      <c r="R827" s="16" t="n">
        <v>8</v>
      </c>
      <c r="S827" s="17" t="n">
        <v>0</v>
      </c>
      <c r="T827" s="17" t="n">
        <v>0</v>
      </c>
      <c r="U827" s="17" t="n">
        <v>2</v>
      </c>
      <c r="V827" s="17" t="n">
        <v>0</v>
      </c>
      <c r="W827" s="17" t="n">
        <v>0</v>
      </c>
      <c r="X827" s="17" t="n">
        <v>3</v>
      </c>
      <c r="Y827" s="17" t="n">
        <v>3</v>
      </c>
      <c r="Z827" s="17" t="n">
        <v>0</v>
      </c>
      <c r="AA827" s="17" t="n">
        <v>0</v>
      </c>
      <c r="AB827" s="18" t="n">
        <v>0</v>
      </c>
      <c r="AC827" s="16" t="n">
        <v>-8</v>
      </c>
      <c r="AD827" s="17" t="n">
        <v>0</v>
      </c>
      <c r="AE827" s="17" t="n">
        <v>0</v>
      </c>
      <c r="AF827" s="17" t="n">
        <v>-2</v>
      </c>
      <c r="AG827" s="17" t="n">
        <v>0</v>
      </c>
      <c r="AH827" s="17" t="n">
        <v>0</v>
      </c>
      <c r="AI827" s="17" t="n">
        <v>-3</v>
      </c>
      <c r="AJ827" s="17" t="n">
        <v>-3</v>
      </c>
      <c r="AK827" s="17" t="n">
        <v>0</v>
      </c>
      <c r="AL827" s="17" t="n">
        <v>0</v>
      </c>
      <c r="AM827" s="18" t="n">
        <v>0</v>
      </c>
      <c r="AN827" s="16" t="n">
        <v>5218</v>
      </c>
      <c r="AO827" s="17" t="n">
        <v>0</v>
      </c>
      <c r="AP827" s="17" t="n">
        <v>0</v>
      </c>
      <c r="AQ827" s="17" t="n">
        <v>1323</v>
      </c>
      <c r="AR827" s="17" t="n">
        <v>0</v>
      </c>
      <c r="AS827" s="17" t="n">
        <v>0</v>
      </c>
      <c r="AT827" s="17" t="n">
        <v>1859</v>
      </c>
      <c r="AU827" s="17" t="n">
        <v>2016</v>
      </c>
      <c r="AV827" s="17" t="n">
        <v>0</v>
      </c>
      <c r="AW827" s="17" t="n">
        <v>0</v>
      </c>
      <c r="AX827" s="18" t="n">
        <v>0</v>
      </c>
      <c r="AY827" s="16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8" t="n">
        <v>0</v>
      </c>
      <c r="BJ827" s="16" t="n">
        <v>5218</v>
      </c>
      <c r="BK827" s="17" t="n">
        <v>0</v>
      </c>
      <c r="BL827" s="17" t="n">
        <v>0</v>
      </c>
      <c r="BM827" s="17" t="n">
        <v>1323</v>
      </c>
      <c r="BN827" s="17" t="n">
        <v>0</v>
      </c>
      <c r="BO827" s="17" t="n">
        <v>0</v>
      </c>
      <c r="BP827" s="17" t="n">
        <v>1859</v>
      </c>
      <c r="BQ827" s="17" t="n">
        <v>2016</v>
      </c>
      <c r="BR827" s="17" t="n">
        <v>0</v>
      </c>
      <c r="BS827" s="17" t="n">
        <v>0</v>
      </c>
      <c r="BT827" s="18" t="n">
        <v>0</v>
      </c>
      <c r="BU827" s="17" t="inlineStr">
        <is>
          <t>Unclassified</t>
        </is>
      </c>
    </row>
    <row r="828" ht="20" customHeight="1">
      <c r="A828" s="15" t="inlineStr">
        <is>
          <t>00173089310</t>
        </is>
      </c>
      <c r="B828" s="15" t="inlineStr">
        <is>
          <t>TRELEGY ELLIPTA 200-62.5-25 MCG/ACT INHALATION AER</t>
        </is>
      </c>
      <c r="C828" s="16" t="n">
        <v>60</v>
      </c>
      <c r="D828" s="16" t="n">
        <v>0</v>
      </c>
      <c r="E828" s="16" t="n">
        <v>0</v>
      </c>
      <c r="F828" s="16" t="n">
        <v>0</v>
      </c>
      <c r="G828" s="16" t="n">
        <v>180</v>
      </c>
      <c r="H828" s="17" t="n">
        <v>0</v>
      </c>
      <c r="I828" s="17" t="n">
        <v>0</v>
      </c>
      <c r="J828" s="17" t="n">
        <v>120</v>
      </c>
      <c r="K828" s="17" t="n">
        <v>0</v>
      </c>
      <c r="L828" s="17" t="n">
        <v>0</v>
      </c>
      <c r="M828" s="17" t="n">
        <v>0</v>
      </c>
      <c r="N828" s="17" t="n">
        <v>60</v>
      </c>
      <c r="O828" s="17" t="n">
        <v>0</v>
      </c>
      <c r="P828" s="17" t="n">
        <v>0</v>
      </c>
      <c r="Q828" s="18" t="n">
        <v>0</v>
      </c>
      <c r="R828" s="16" t="n">
        <v>3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7" t="n">
        <v>0</v>
      </c>
      <c r="Y828" s="17" t="n">
        <v>1</v>
      </c>
      <c r="Z828" s="17" t="n">
        <v>0</v>
      </c>
      <c r="AA828" s="17" t="n">
        <v>0</v>
      </c>
      <c r="AB828" s="18" t="n">
        <v>0</v>
      </c>
      <c r="AC828" s="16" t="n">
        <v>-3</v>
      </c>
      <c r="AD828" s="17" t="n">
        <v>0</v>
      </c>
      <c r="AE828" s="17" t="n">
        <v>0</v>
      </c>
      <c r="AF828" s="17" t="n">
        <v>-2</v>
      </c>
      <c r="AG828" s="17" t="n">
        <v>0</v>
      </c>
      <c r="AH828" s="17" t="n">
        <v>0</v>
      </c>
      <c r="AI828" s="17" t="n">
        <v>0</v>
      </c>
      <c r="AJ828" s="17" t="n">
        <v>-1</v>
      </c>
      <c r="AK828" s="17" t="n">
        <v>0</v>
      </c>
      <c r="AL828" s="17" t="n">
        <v>0</v>
      </c>
      <c r="AM828" s="18" t="n">
        <v>0</v>
      </c>
      <c r="AN828" s="16" t="n">
        <v>2007</v>
      </c>
      <c r="AO828" s="17" t="n">
        <v>0</v>
      </c>
      <c r="AP828" s="17" t="n">
        <v>0</v>
      </c>
      <c r="AQ828" s="17" t="n">
        <v>1323</v>
      </c>
      <c r="AR828" s="17" t="n">
        <v>0</v>
      </c>
      <c r="AS828" s="17" t="n">
        <v>0</v>
      </c>
      <c r="AT828" s="17" t="n">
        <v>0</v>
      </c>
      <c r="AU828" s="17" t="n">
        <v>680</v>
      </c>
      <c r="AV828" s="17" t="n">
        <v>0</v>
      </c>
      <c r="AW828" s="17" t="n">
        <v>0</v>
      </c>
      <c r="AX828" s="18" t="n">
        <v>0</v>
      </c>
      <c r="AY828" s="16" t="n">
        <v>0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7" t="n">
        <v>0</v>
      </c>
      <c r="BG828" s="17" t="n">
        <v>0</v>
      </c>
      <c r="BH828" s="17" t="n">
        <v>0</v>
      </c>
      <c r="BI828" s="18" t="n">
        <v>0</v>
      </c>
      <c r="BJ828" s="16" t="n">
        <v>2007</v>
      </c>
      <c r="BK828" s="17" t="n">
        <v>0</v>
      </c>
      <c r="BL828" s="17" t="n">
        <v>0</v>
      </c>
      <c r="BM828" s="17" t="n">
        <v>1323</v>
      </c>
      <c r="BN828" s="17" t="n">
        <v>0</v>
      </c>
      <c r="BO828" s="17" t="n">
        <v>0</v>
      </c>
      <c r="BP828" s="17" t="n">
        <v>0</v>
      </c>
      <c r="BQ828" s="17" t="n">
        <v>680</v>
      </c>
      <c r="BR828" s="17" t="n">
        <v>0</v>
      </c>
      <c r="BS828" s="17" t="n">
        <v>0</v>
      </c>
      <c r="BT828" s="18" t="n">
        <v>0</v>
      </c>
      <c r="BU828" s="17" t="inlineStr">
        <is>
          <t>Unclassified</t>
        </is>
      </c>
    </row>
    <row r="829" ht="20" customHeight="1">
      <c r="A829" s="15" t="inlineStr">
        <is>
          <t>00169255013</t>
        </is>
      </c>
      <c r="B829" s="15" t="inlineStr">
        <is>
          <t>TRESIBA FLEXTOUCH 200UNIT/ML INJECTION</t>
        </is>
      </c>
      <c r="C829" s="16" t="n">
        <v>9</v>
      </c>
      <c r="D829" s="16" t="n">
        <v>2</v>
      </c>
      <c r="E829" s="16" t="n">
        <v>2</v>
      </c>
      <c r="F829" s="16" t="n">
        <v>165</v>
      </c>
      <c r="G829" s="16" t="n">
        <v>21</v>
      </c>
      <c r="H829" s="17" t="n">
        <v>0</v>
      </c>
      <c r="I829" s="17" t="n">
        <v>0</v>
      </c>
      <c r="J829" s="17" t="n">
        <v>18</v>
      </c>
      <c r="K829" s="17" t="n">
        <v>0</v>
      </c>
      <c r="L829" s="17" t="n">
        <v>0</v>
      </c>
      <c r="M829" s="17" t="n">
        <v>3</v>
      </c>
      <c r="N829" s="17" t="n">
        <v>0</v>
      </c>
      <c r="O829" s="17" t="n">
        <v>0</v>
      </c>
      <c r="P829" s="17" t="n">
        <v>0</v>
      </c>
      <c r="Q829" s="18" t="n">
        <v>0</v>
      </c>
      <c r="R829" s="16" t="n">
        <v>2.333</v>
      </c>
      <c r="S829" s="17" t="n">
        <v>0</v>
      </c>
      <c r="T829" s="17" t="n">
        <v>0</v>
      </c>
      <c r="U829" s="17" t="n">
        <v>2</v>
      </c>
      <c r="V829" s="17" t="n">
        <v>0</v>
      </c>
      <c r="W829" s="17" t="n">
        <v>0</v>
      </c>
      <c r="X829" s="17" t="n">
        <v>0.333</v>
      </c>
      <c r="Y829" s="17" t="n">
        <v>0</v>
      </c>
      <c r="Z829" s="17" t="n">
        <v>0</v>
      </c>
      <c r="AA829" s="17" t="n">
        <v>0</v>
      </c>
      <c r="AB829" s="18" t="n">
        <v>0</v>
      </c>
      <c r="AC829" s="16" t="n">
        <v>-0.333</v>
      </c>
      <c r="AD829" s="17" t="n">
        <v>2</v>
      </c>
      <c r="AE829" s="17" t="n">
        <v>2</v>
      </c>
      <c r="AF829" s="17" t="n">
        <v>0</v>
      </c>
      <c r="AG829" s="17" t="n">
        <v>2</v>
      </c>
      <c r="AH829" s="17" t="n">
        <v>2</v>
      </c>
      <c r="AI829" s="17" t="n">
        <v>1.667</v>
      </c>
      <c r="AJ829" s="17" t="n">
        <v>2</v>
      </c>
      <c r="AK829" s="17" t="n">
        <v>2</v>
      </c>
      <c r="AL829" s="17" t="n">
        <v>2</v>
      </c>
      <c r="AM829" s="18" t="n">
        <v>2</v>
      </c>
      <c r="AN829" s="16" t="n">
        <v>376</v>
      </c>
      <c r="AO829" s="17" t="n">
        <v>0</v>
      </c>
      <c r="AP829" s="17" t="n">
        <v>0</v>
      </c>
      <c r="AQ829" s="17" t="n">
        <v>318</v>
      </c>
      <c r="AR829" s="17" t="n">
        <v>0</v>
      </c>
      <c r="AS829" s="17" t="n">
        <v>0</v>
      </c>
      <c r="AT829" s="17" t="n">
        <v>49</v>
      </c>
      <c r="AU829" s="17" t="n">
        <v>0</v>
      </c>
      <c r="AV829" s="17" t="n">
        <v>0</v>
      </c>
      <c r="AW829" s="17" t="n">
        <v>0</v>
      </c>
      <c r="AX829" s="18" t="n">
        <v>0</v>
      </c>
      <c r="AY829" s="16" t="n">
        <v>385</v>
      </c>
      <c r="AZ829" s="17" t="n">
        <v>0</v>
      </c>
      <c r="BA829" s="17" t="n">
        <v>0</v>
      </c>
      <c r="BB829" s="17" t="n">
        <v>330</v>
      </c>
      <c r="BC829" s="17" t="n">
        <v>0</v>
      </c>
      <c r="BD829" s="17" t="n">
        <v>0</v>
      </c>
      <c r="BE829" s="17" t="n">
        <v>55</v>
      </c>
      <c r="BF829" s="17" t="n">
        <v>0</v>
      </c>
      <c r="BG829" s="17" t="n">
        <v>0</v>
      </c>
      <c r="BH829" s="17" t="n">
        <v>0</v>
      </c>
      <c r="BI829" s="18" t="n">
        <v>0</v>
      </c>
      <c r="BJ829" s="16" t="n">
        <v>-9</v>
      </c>
      <c r="BK829" s="17" t="n">
        <v>0</v>
      </c>
      <c r="BL829" s="17" t="n">
        <v>0</v>
      </c>
      <c r="BM829" s="17" t="n">
        <v>-12</v>
      </c>
      <c r="BN829" s="17" t="n">
        <v>0</v>
      </c>
      <c r="BO829" s="17" t="n">
        <v>0</v>
      </c>
      <c r="BP829" s="17" t="n">
        <v>-6</v>
      </c>
      <c r="BQ829" s="17" t="n">
        <v>0</v>
      </c>
      <c r="BR829" s="17" t="n">
        <v>0</v>
      </c>
      <c r="BS829" s="17" t="n">
        <v>0</v>
      </c>
      <c r="BT829" s="18" t="n">
        <v>0</v>
      </c>
      <c r="BU829" s="17" t="inlineStr">
        <is>
          <t>Branded Drug</t>
        </is>
      </c>
    </row>
    <row r="830" ht="20" customHeight="1">
      <c r="A830" s="15" t="inlineStr">
        <is>
          <t>51672140709</t>
        </is>
      </c>
      <c r="B830" s="15" t="inlineStr">
        <is>
          <t>TRETINOIN 0.025 % EXTERNAL CREAM</t>
        </is>
      </c>
      <c r="C830" s="16" t="n">
        <v>45</v>
      </c>
      <c r="D830" s="16" t="n">
        <v>0</v>
      </c>
      <c r="E830" s="16" t="n">
        <v>0</v>
      </c>
      <c r="F830" s="16" t="n">
        <v>0</v>
      </c>
      <c r="G830" s="16" t="n">
        <v>135</v>
      </c>
      <c r="H830" s="17" t="n">
        <v>0</v>
      </c>
      <c r="I830" s="17" t="n">
        <v>0</v>
      </c>
      <c r="J830" s="17" t="n">
        <v>45</v>
      </c>
      <c r="K830" s="17" t="n">
        <v>0</v>
      </c>
      <c r="L830" s="17" t="n">
        <v>0</v>
      </c>
      <c r="M830" s="17" t="n">
        <v>0</v>
      </c>
      <c r="N830" s="17" t="n">
        <v>90</v>
      </c>
      <c r="O830" s="17" t="n">
        <v>0</v>
      </c>
      <c r="P830" s="17" t="n">
        <v>0</v>
      </c>
      <c r="Q830" s="18" t="n">
        <v>0</v>
      </c>
      <c r="R830" s="16" t="n">
        <v>3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7" t="n">
        <v>0</v>
      </c>
      <c r="Y830" s="17" t="n">
        <v>2</v>
      </c>
      <c r="Z830" s="17" t="n">
        <v>0</v>
      </c>
      <c r="AA830" s="17" t="n">
        <v>0</v>
      </c>
      <c r="AB830" s="18" t="n">
        <v>0</v>
      </c>
      <c r="AC830" s="16" t="n">
        <v>-3</v>
      </c>
      <c r="AD830" s="17" t="n">
        <v>0</v>
      </c>
      <c r="AE830" s="17" t="n">
        <v>0</v>
      </c>
      <c r="AF830" s="17" t="n">
        <v>-1</v>
      </c>
      <c r="AG830" s="17" t="n">
        <v>0</v>
      </c>
      <c r="AH830" s="17" t="n">
        <v>0</v>
      </c>
      <c r="AI830" s="17" t="n">
        <v>0</v>
      </c>
      <c r="AJ830" s="17" t="n">
        <v>-2</v>
      </c>
      <c r="AK830" s="17" t="n">
        <v>0</v>
      </c>
      <c r="AL830" s="17" t="n">
        <v>0</v>
      </c>
      <c r="AM830" s="18" t="n">
        <v>0</v>
      </c>
      <c r="AN830" s="16" t="n">
        <v>212</v>
      </c>
      <c r="AO830" s="17" t="n">
        <v>0</v>
      </c>
      <c r="AP830" s="17" t="n">
        <v>0</v>
      </c>
      <c r="AQ830" s="17" t="n">
        <v>108</v>
      </c>
      <c r="AR830" s="17" t="n">
        <v>0</v>
      </c>
      <c r="AS830" s="17" t="n">
        <v>0</v>
      </c>
      <c r="AT830" s="17" t="n">
        <v>0</v>
      </c>
      <c r="AU830" s="17" t="n">
        <v>104</v>
      </c>
      <c r="AV830" s="17" t="n">
        <v>0</v>
      </c>
      <c r="AW830" s="17" t="n">
        <v>0</v>
      </c>
      <c r="AX830" s="18" t="n">
        <v>0</v>
      </c>
      <c r="AY830" s="16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7" t="n">
        <v>0</v>
      </c>
      <c r="BG830" s="17" t="n">
        <v>0</v>
      </c>
      <c r="BH830" s="17" t="n">
        <v>0</v>
      </c>
      <c r="BI830" s="18" t="n">
        <v>0</v>
      </c>
      <c r="BJ830" s="16" t="n">
        <v>212</v>
      </c>
      <c r="BK830" s="17" t="n">
        <v>0</v>
      </c>
      <c r="BL830" s="17" t="n">
        <v>0</v>
      </c>
      <c r="BM830" s="17" t="n">
        <v>108</v>
      </c>
      <c r="BN830" s="17" t="n">
        <v>0</v>
      </c>
      <c r="BO830" s="17" t="n">
        <v>0</v>
      </c>
      <c r="BP830" s="17" t="n">
        <v>0</v>
      </c>
      <c r="BQ830" s="17" t="n">
        <v>104</v>
      </c>
      <c r="BR830" s="17" t="n">
        <v>0</v>
      </c>
      <c r="BS830" s="17" t="n">
        <v>0</v>
      </c>
      <c r="BT830" s="18" t="n">
        <v>0</v>
      </c>
      <c r="BU830" s="17" t="inlineStr">
        <is>
          <t>Unclassified</t>
        </is>
      </c>
    </row>
    <row r="831" ht="20" customHeight="1">
      <c r="A831" s="15" t="inlineStr">
        <is>
          <t>00574220545</t>
        </is>
      </c>
      <c r="B831" s="15" t="inlineStr">
        <is>
          <t>TRETINOIN 0.05% CREAM</t>
        </is>
      </c>
      <c r="C831" s="16" t="n">
        <v>45</v>
      </c>
      <c r="D831" s="16" t="n">
        <v>0</v>
      </c>
      <c r="E831" s="16" t="n">
        <v>0</v>
      </c>
      <c r="F831" s="16" t="n">
        <v>0</v>
      </c>
      <c r="G831" s="16" t="n">
        <v>90</v>
      </c>
      <c r="H831" s="17" t="n">
        <v>0</v>
      </c>
      <c r="I831" s="17" t="n">
        <v>0</v>
      </c>
      <c r="J831" s="17" t="n">
        <v>45</v>
      </c>
      <c r="K831" s="17" t="n">
        <v>0</v>
      </c>
      <c r="L831" s="17" t="n">
        <v>0</v>
      </c>
      <c r="M831" s="17" t="n">
        <v>0</v>
      </c>
      <c r="N831" s="17" t="n">
        <v>45</v>
      </c>
      <c r="O831" s="17" t="n">
        <v>0</v>
      </c>
      <c r="P831" s="17" t="n">
        <v>0</v>
      </c>
      <c r="Q831" s="18" t="n">
        <v>0</v>
      </c>
      <c r="R831" s="16" t="n">
        <v>2</v>
      </c>
      <c r="S831" s="17" t="n">
        <v>0</v>
      </c>
      <c r="T831" s="17" t="n">
        <v>0</v>
      </c>
      <c r="U831" s="17" t="n">
        <v>1</v>
      </c>
      <c r="V831" s="17" t="n">
        <v>0</v>
      </c>
      <c r="W831" s="17" t="n">
        <v>0</v>
      </c>
      <c r="X831" s="17" t="n">
        <v>0</v>
      </c>
      <c r="Y831" s="17" t="n">
        <v>1</v>
      </c>
      <c r="Z831" s="17" t="n">
        <v>0</v>
      </c>
      <c r="AA831" s="17" t="n">
        <v>0</v>
      </c>
      <c r="AB831" s="18" t="n">
        <v>0</v>
      </c>
      <c r="AC831" s="16" t="n">
        <v>-2</v>
      </c>
      <c r="AD831" s="17" t="n">
        <v>0</v>
      </c>
      <c r="AE831" s="17" t="n">
        <v>0</v>
      </c>
      <c r="AF831" s="17" t="n">
        <v>-1</v>
      </c>
      <c r="AG831" s="17" t="n">
        <v>0</v>
      </c>
      <c r="AH831" s="17" t="n">
        <v>0</v>
      </c>
      <c r="AI831" s="17" t="n">
        <v>0</v>
      </c>
      <c r="AJ831" s="17" t="n">
        <v>-1</v>
      </c>
      <c r="AK831" s="17" t="n">
        <v>0</v>
      </c>
      <c r="AL831" s="17" t="n">
        <v>0</v>
      </c>
      <c r="AM831" s="18" t="n">
        <v>0</v>
      </c>
      <c r="AN831" s="16" t="n">
        <v>81</v>
      </c>
      <c r="AO831" s="17" t="n">
        <v>0</v>
      </c>
      <c r="AP831" s="17" t="n">
        <v>0</v>
      </c>
      <c r="AQ831" s="17" t="n">
        <v>25</v>
      </c>
      <c r="AR831" s="17" t="n">
        <v>0</v>
      </c>
      <c r="AS831" s="17" t="n">
        <v>0</v>
      </c>
      <c r="AT831" s="17" t="n">
        <v>0</v>
      </c>
      <c r="AU831" s="17" t="n">
        <v>56</v>
      </c>
      <c r="AV831" s="17" t="n">
        <v>0</v>
      </c>
      <c r="AW831" s="17" t="n">
        <v>0</v>
      </c>
      <c r="AX831" s="18" t="n">
        <v>0</v>
      </c>
      <c r="AY831" s="16" t="n">
        <v>0</v>
      </c>
      <c r="AZ831" s="17" t="n">
        <v>0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8" t="n">
        <v>0</v>
      </c>
      <c r="BJ831" s="16" t="n">
        <v>81</v>
      </c>
      <c r="BK831" s="17" t="n">
        <v>0</v>
      </c>
      <c r="BL831" s="17" t="n">
        <v>0</v>
      </c>
      <c r="BM831" s="17" t="n">
        <v>25</v>
      </c>
      <c r="BN831" s="17" t="n">
        <v>0</v>
      </c>
      <c r="BO831" s="17" t="n">
        <v>0</v>
      </c>
      <c r="BP831" s="17" t="n">
        <v>0</v>
      </c>
      <c r="BQ831" s="17" t="n">
        <v>56</v>
      </c>
      <c r="BR831" s="17" t="n">
        <v>0</v>
      </c>
      <c r="BS831" s="17" t="n">
        <v>0</v>
      </c>
      <c r="BT831" s="18" t="n">
        <v>0</v>
      </c>
      <c r="BU831" s="17" t="inlineStr">
        <is>
          <t>Unclassified</t>
        </is>
      </c>
    </row>
    <row r="832" ht="20" customHeight="1">
      <c r="A832" s="15" t="inlineStr">
        <is>
          <t>33342033354</t>
        </is>
      </c>
      <c r="B832" s="15" t="inlineStr">
        <is>
          <t>TRIAMCINOLONE 0.1% EXTERNAL OINTMENT</t>
        </is>
      </c>
      <c r="C832" s="16" t="n">
        <v>454</v>
      </c>
      <c r="D832" s="16" t="n">
        <v>0</v>
      </c>
      <c r="E832" s="16" t="n">
        <v>0</v>
      </c>
      <c r="F832" s="16" t="n">
        <v>0</v>
      </c>
      <c r="G832" s="16" t="n">
        <v>454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454</v>
      </c>
      <c r="O832" s="17" t="n">
        <v>0</v>
      </c>
      <c r="P832" s="17" t="n">
        <v>0</v>
      </c>
      <c r="Q832" s="18" t="n">
        <v>0</v>
      </c>
      <c r="R832" s="16" t="n">
        <v>1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1</v>
      </c>
      <c r="Z832" s="17" t="n">
        <v>0</v>
      </c>
      <c r="AA832" s="17" t="n">
        <v>0</v>
      </c>
      <c r="AB832" s="18" t="n">
        <v>0</v>
      </c>
      <c r="AC832" s="16" t="n">
        <v>-1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0</v>
      </c>
      <c r="AJ832" s="17" t="n">
        <v>-1</v>
      </c>
      <c r="AK832" s="17" t="n">
        <v>0</v>
      </c>
      <c r="AL832" s="17" t="n">
        <v>0</v>
      </c>
      <c r="AM832" s="18" t="n">
        <v>0</v>
      </c>
      <c r="AN832" s="16" t="n">
        <v>26</v>
      </c>
      <c r="AO832" s="17" t="n">
        <v>0</v>
      </c>
      <c r="AP832" s="17" t="n">
        <v>0</v>
      </c>
      <c r="AQ832" s="17" t="n">
        <v>0</v>
      </c>
      <c r="AR832" s="17" t="n">
        <v>0</v>
      </c>
      <c r="AS832" s="17" t="n">
        <v>0</v>
      </c>
      <c r="AT832" s="17" t="n">
        <v>0</v>
      </c>
      <c r="AU832" s="17" t="n">
        <v>26</v>
      </c>
      <c r="AV832" s="17" t="n">
        <v>0</v>
      </c>
      <c r="AW832" s="17" t="n">
        <v>0</v>
      </c>
      <c r="AX832" s="18" t="n">
        <v>0</v>
      </c>
      <c r="AY832" s="16" t="n">
        <v>0</v>
      </c>
      <c r="AZ832" s="17" t="n">
        <v>0</v>
      </c>
      <c r="BA832" s="17" t="n">
        <v>0</v>
      </c>
      <c r="BB832" s="17" t="n">
        <v>0</v>
      </c>
      <c r="BC832" s="17" t="n">
        <v>0</v>
      </c>
      <c r="BD832" s="17" t="n">
        <v>0</v>
      </c>
      <c r="BE832" s="17" t="n">
        <v>0</v>
      </c>
      <c r="BF832" s="17" t="n">
        <v>0</v>
      </c>
      <c r="BG832" s="17" t="n">
        <v>0</v>
      </c>
      <c r="BH832" s="17" t="n">
        <v>0</v>
      </c>
      <c r="BI832" s="18" t="n">
        <v>0</v>
      </c>
      <c r="BJ832" s="16" t="n">
        <v>26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26</v>
      </c>
      <c r="BR832" s="17" t="n">
        <v>0</v>
      </c>
      <c r="BS832" s="17" t="n">
        <v>0</v>
      </c>
      <c r="BT832" s="18" t="n">
        <v>0</v>
      </c>
      <c r="BU832" s="17" t="inlineStr">
        <is>
          <t>Unclassified</t>
        </is>
      </c>
    </row>
    <row r="833" ht="20" customHeight="1">
      <c r="A833" s="15" t="inlineStr">
        <is>
          <t>45802006336</t>
        </is>
      </c>
      <c r="B833" s="15" t="inlineStr">
        <is>
          <t xml:space="preserve">TRIAMCINOLONE ACETONIDE 0.025 % EXTERNAL CREAM </t>
        </is>
      </c>
      <c r="C833" s="16" t="n">
        <v>80</v>
      </c>
      <c r="D833" s="16" t="n">
        <v>0</v>
      </c>
      <c r="E833" s="16" t="n">
        <v>0</v>
      </c>
      <c r="F833" s="16" t="n">
        <v>0</v>
      </c>
      <c r="G833" s="16" t="n">
        <v>320</v>
      </c>
      <c r="H833" s="17" t="n">
        <v>0</v>
      </c>
      <c r="I833" s="17" t="n">
        <v>0</v>
      </c>
      <c r="J833" s="17" t="n">
        <v>160</v>
      </c>
      <c r="K833" s="17" t="n">
        <v>0</v>
      </c>
      <c r="L833" s="17" t="n">
        <v>0</v>
      </c>
      <c r="M833" s="17" t="n">
        <v>0</v>
      </c>
      <c r="N833" s="17" t="n">
        <v>160</v>
      </c>
      <c r="O833" s="17" t="n">
        <v>0</v>
      </c>
      <c r="P833" s="17" t="n">
        <v>0</v>
      </c>
      <c r="Q833" s="18" t="n">
        <v>0</v>
      </c>
      <c r="R833" s="16" t="n">
        <v>4</v>
      </c>
      <c r="S833" s="17" t="n">
        <v>0</v>
      </c>
      <c r="T833" s="17" t="n">
        <v>0</v>
      </c>
      <c r="U833" s="17" t="n">
        <v>2</v>
      </c>
      <c r="V833" s="17" t="n">
        <v>0</v>
      </c>
      <c r="W833" s="17" t="n">
        <v>0</v>
      </c>
      <c r="X833" s="17" t="n">
        <v>0</v>
      </c>
      <c r="Y833" s="17" t="n">
        <v>2</v>
      </c>
      <c r="Z833" s="17" t="n">
        <v>0</v>
      </c>
      <c r="AA833" s="17" t="n">
        <v>0</v>
      </c>
      <c r="AB833" s="18" t="n">
        <v>0</v>
      </c>
      <c r="AC833" s="16" t="n">
        <v>-4</v>
      </c>
      <c r="AD833" s="17" t="n">
        <v>0</v>
      </c>
      <c r="AE833" s="17" t="n">
        <v>0</v>
      </c>
      <c r="AF833" s="17" t="n">
        <v>-2</v>
      </c>
      <c r="AG833" s="17" t="n">
        <v>0</v>
      </c>
      <c r="AH833" s="17" t="n">
        <v>0</v>
      </c>
      <c r="AI833" s="17" t="n">
        <v>0</v>
      </c>
      <c r="AJ833" s="17" t="n">
        <v>-2</v>
      </c>
      <c r="AK833" s="17" t="n">
        <v>0</v>
      </c>
      <c r="AL833" s="17" t="n">
        <v>0</v>
      </c>
      <c r="AM833" s="18" t="n">
        <v>0</v>
      </c>
      <c r="AN833" s="16" t="n">
        <v>35</v>
      </c>
      <c r="AO833" s="17" t="n">
        <v>0</v>
      </c>
      <c r="AP833" s="17" t="n">
        <v>0</v>
      </c>
      <c r="AQ833" s="17" t="n">
        <v>4</v>
      </c>
      <c r="AR833" s="17" t="n">
        <v>0</v>
      </c>
      <c r="AS833" s="17" t="n">
        <v>0</v>
      </c>
      <c r="AT833" s="17" t="n">
        <v>0</v>
      </c>
      <c r="AU833" s="17" t="n">
        <v>29</v>
      </c>
      <c r="AV833" s="17" t="n">
        <v>0</v>
      </c>
      <c r="AW833" s="17" t="n">
        <v>0</v>
      </c>
      <c r="AX833" s="18" t="n">
        <v>0</v>
      </c>
      <c r="AY833" s="16" t="n">
        <v>0</v>
      </c>
      <c r="AZ833" s="17" t="n">
        <v>0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8" t="n">
        <v>0</v>
      </c>
      <c r="BJ833" s="16" t="n">
        <v>35</v>
      </c>
      <c r="BK833" s="17" t="n">
        <v>0</v>
      </c>
      <c r="BL833" s="17" t="n">
        <v>0</v>
      </c>
      <c r="BM833" s="17" t="n">
        <v>4</v>
      </c>
      <c r="BN833" s="17" t="n">
        <v>0</v>
      </c>
      <c r="BO833" s="17" t="n">
        <v>0</v>
      </c>
      <c r="BP833" s="17" t="n">
        <v>0</v>
      </c>
      <c r="BQ833" s="17" t="n">
        <v>29</v>
      </c>
      <c r="BR833" s="17" t="n">
        <v>0</v>
      </c>
      <c r="BS833" s="17" t="n">
        <v>0</v>
      </c>
      <c r="BT833" s="18" t="n">
        <v>0</v>
      </c>
      <c r="BU833" s="17" t="inlineStr">
        <is>
          <t>Unclassified</t>
        </is>
      </c>
    </row>
    <row r="834" ht="20" customHeight="1">
      <c r="A834" s="15" t="inlineStr">
        <is>
          <t>21922006215</t>
        </is>
      </c>
      <c r="B834" s="15" t="inlineStr">
        <is>
          <t>TRIAMCINOLONE ACETONIDE 0.1 % EXTERNAL CREAM</t>
        </is>
      </c>
      <c r="C834" s="16" t="n">
        <v>80</v>
      </c>
      <c r="D834" s="16" t="n">
        <v>6</v>
      </c>
      <c r="E834" s="16" t="n">
        <v>6</v>
      </c>
      <c r="F834" s="16" t="n">
        <v>4</v>
      </c>
      <c r="G834" s="16" t="n">
        <v>240</v>
      </c>
      <c r="H834" s="17" t="n">
        <v>0</v>
      </c>
      <c r="I834" s="17" t="n">
        <v>0</v>
      </c>
      <c r="J834" s="17" t="n">
        <v>80</v>
      </c>
      <c r="K834" s="17" t="n">
        <v>80</v>
      </c>
      <c r="L834" s="17" t="n">
        <v>0</v>
      </c>
      <c r="M834" s="17" t="n">
        <v>0</v>
      </c>
      <c r="N834" s="17" t="n">
        <v>80</v>
      </c>
      <c r="O834" s="17" t="n">
        <v>0</v>
      </c>
      <c r="P834" s="17" t="n">
        <v>0</v>
      </c>
      <c r="Q834" s="18" t="n">
        <v>0</v>
      </c>
      <c r="R834" s="16" t="n">
        <v>3</v>
      </c>
      <c r="S834" s="17" t="n">
        <v>0</v>
      </c>
      <c r="T834" s="17" t="n">
        <v>0</v>
      </c>
      <c r="U834" s="17" t="n">
        <v>1</v>
      </c>
      <c r="V834" s="17" t="n">
        <v>1</v>
      </c>
      <c r="W834" s="17" t="n">
        <v>0</v>
      </c>
      <c r="X834" s="17" t="n">
        <v>0</v>
      </c>
      <c r="Y834" s="17" t="n">
        <v>1</v>
      </c>
      <c r="Z834" s="17" t="n">
        <v>0</v>
      </c>
      <c r="AA834" s="17" t="n">
        <v>0</v>
      </c>
      <c r="AB834" s="18" t="n">
        <v>0</v>
      </c>
      <c r="AC834" s="16" t="n">
        <v>3</v>
      </c>
      <c r="AD834" s="17" t="n">
        <v>6</v>
      </c>
      <c r="AE834" s="17" t="n">
        <v>6</v>
      </c>
      <c r="AF834" s="17" t="n">
        <v>5</v>
      </c>
      <c r="AG834" s="17" t="n">
        <v>5</v>
      </c>
      <c r="AH834" s="17" t="n">
        <v>6</v>
      </c>
      <c r="AI834" s="17" t="n">
        <v>6</v>
      </c>
      <c r="AJ834" s="17" t="n">
        <v>5</v>
      </c>
      <c r="AK834" s="17" t="n">
        <v>6</v>
      </c>
      <c r="AL834" s="17" t="n">
        <v>6</v>
      </c>
      <c r="AM834" s="18" t="n">
        <v>6</v>
      </c>
      <c r="AN834" s="16" t="n">
        <v>24</v>
      </c>
      <c r="AO834" s="17" t="n">
        <v>0</v>
      </c>
      <c r="AP834" s="17" t="n">
        <v>0</v>
      </c>
      <c r="AQ834" s="17" t="n">
        <v>5</v>
      </c>
      <c r="AR834" s="17" t="n">
        <v>5</v>
      </c>
      <c r="AS834" s="17" t="n">
        <v>0</v>
      </c>
      <c r="AT834" s="17" t="n">
        <v>0</v>
      </c>
      <c r="AU834" s="17" t="n">
        <v>13</v>
      </c>
      <c r="AV834" s="17" t="n">
        <v>0</v>
      </c>
      <c r="AW834" s="17" t="n">
        <v>0</v>
      </c>
      <c r="AX834" s="18" t="n">
        <v>0</v>
      </c>
      <c r="AY834" s="16" t="n">
        <v>12</v>
      </c>
      <c r="AZ834" s="17" t="n">
        <v>0</v>
      </c>
      <c r="BA834" s="17" t="n">
        <v>0</v>
      </c>
      <c r="BB834" s="17" t="n">
        <v>4</v>
      </c>
      <c r="BC834" s="17" t="n">
        <v>4</v>
      </c>
      <c r="BD834" s="17" t="n">
        <v>0</v>
      </c>
      <c r="BE834" s="17" t="n">
        <v>0</v>
      </c>
      <c r="BF834" s="17" t="n">
        <v>4</v>
      </c>
      <c r="BG834" s="17" t="n">
        <v>0</v>
      </c>
      <c r="BH834" s="17" t="n">
        <v>0</v>
      </c>
      <c r="BI834" s="18" t="n">
        <v>0</v>
      </c>
      <c r="BJ834" s="16" t="n">
        <v>12</v>
      </c>
      <c r="BK834" s="17" t="n">
        <v>0</v>
      </c>
      <c r="BL834" s="17" t="n">
        <v>0</v>
      </c>
      <c r="BM834" s="17" t="n">
        <v>1</v>
      </c>
      <c r="BN834" s="17" t="n">
        <v>1</v>
      </c>
      <c r="BO834" s="17" t="n">
        <v>0</v>
      </c>
      <c r="BP834" s="17" t="n">
        <v>0</v>
      </c>
      <c r="BQ834" s="17" t="n">
        <v>9</v>
      </c>
      <c r="BR834" s="17" t="n">
        <v>0</v>
      </c>
      <c r="BS834" s="17" t="n">
        <v>0</v>
      </c>
      <c r="BT834" s="18" t="n">
        <v>0</v>
      </c>
      <c r="BU834" s="17" t="inlineStr">
        <is>
          <t>Generic Drug</t>
        </is>
      </c>
    </row>
    <row r="835" ht="20" customHeight="1">
      <c r="A835" s="15" t="inlineStr">
        <is>
          <t>70752013005</t>
        </is>
      </c>
      <c r="B835" s="15" t="inlineStr">
        <is>
          <t>TRIAMCINOLONE ACETONIDE 0.1 % EXTERNAL LOTION</t>
        </is>
      </c>
      <c r="C835" s="16" t="n">
        <v>60</v>
      </c>
      <c r="D835" s="16" t="n">
        <v>0</v>
      </c>
      <c r="E835" s="16" t="n">
        <v>0</v>
      </c>
      <c r="F835" s="16" t="n">
        <v>0</v>
      </c>
      <c r="G835" s="16" t="n">
        <v>60</v>
      </c>
      <c r="H835" s="17" t="n">
        <v>0</v>
      </c>
      <c r="I835" s="17" t="n">
        <v>0</v>
      </c>
      <c r="J835" s="17" t="n">
        <v>60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8" t="n">
        <v>0</v>
      </c>
      <c r="R835" s="16" t="n">
        <v>1</v>
      </c>
      <c r="S835" s="17" t="n">
        <v>0</v>
      </c>
      <c r="T835" s="17" t="n">
        <v>0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8" t="n">
        <v>0</v>
      </c>
      <c r="AC835" s="16" t="n">
        <v>-1</v>
      </c>
      <c r="AD835" s="17" t="n">
        <v>0</v>
      </c>
      <c r="AE835" s="17" t="n">
        <v>0</v>
      </c>
      <c r="AF835" s="17" t="n">
        <v>-1</v>
      </c>
      <c r="AG835" s="17" t="n">
        <v>0</v>
      </c>
      <c r="AH835" s="17" t="n">
        <v>0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8" t="n">
        <v>0</v>
      </c>
      <c r="AN835" s="16" t="n">
        <v>8</v>
      </c>
      <c r="AO835" s="17" t="n">
        <v>0</v>
      </c>
      <c r="AP835" s="17" t="n">
        <v>0</v>
      </c>
      <c r="AQ835" s="17" t="n">
        <v>8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8" t="n">
        <v>0</v>
      </c>
      <c r="AY835" s="16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8" t="n">
        <v>0</v>
      </c>
      <c r="BJ835" s="16" t="n">
        <v>8</v>
      </c>
      <c r="BK835" s="17" t="n">
        <v>0</v>
      </c>
      <c r="BL835" s="17" t="n">
        <v>0</v>
      </c>
      <c r="BM835" s="17" t="n">
        <v>8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8" t="n">
        <v>0</v>
      </c>
      <c r="BU835" s="17" t="inlineStr">
        <is>
          <t>Unclassified</t>
        </is>
      </c>
    </row>
    <row r="836" ht="20" customHeight="1">
      <c r="A836" s="15" t="inlineStr">
        <is>
          <t>33342033315</t>
        </is>
      </c>
      <c r="B836" s="15" t="inlineStr">
        <is>
          <t>TRIAMCINOLONE ACETONIDE 0.1 % EXTERNAL OINTMENT</t>
        </is>
      </c>
      <c r="C836" s="16" t="n">
        <v>15</v>
      </c>
      <c r="D836" s="16" t="n">
        <v>3</v>
      </c>
      <c r="E836" s="16" t="n">
        <v>3</v>
      </c>
      <c r="F836" s="16" t="n">
        <v>1</v>
      </c>
      <c r="G836" s="16" t="n">
        <v>30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30</v>
      </c>
      <c r="O836" s="17" t="n">
        <v>0</v>
      </c>
      <c r="P836" s="17" t="n">
        <v>0</v>
      </c>
      <c r="Q836" s="18" t="n">
        <v>0</v>
      </c>
      <c r="R836" s="16" t="n">
        <v>2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2</v>
      </c>
      <c r="Z836" s="17" t="n">
        <v>0</v>
      </c>
      <c r="AA836" s="17" t="n">
        <v>0</v>
      </c>
      <c r="AB836" s="18" t="n">
        <v>0</v>
      </c>
      <c r="AC836" s="16" t="n">
        <v>1</v>
      </c>
      <c r="AD836" s="17" t="n">
        <v>3</v>
      </c>
      <c r="AE836" s="17" t="n">
        <v>3</v>
      </c>
      <c r="AF836" s="17" t="n">
        <v>3</v>
      </c>
      <c r="AG836" s="17" t="n">
        <v>3</v>
      </c>
      <c r="AH836" s="17" t="n">
        <v>3</v>
      </c>
      <c r="AI836" s="17" t="n">
        <v>3</v>
      </c>
      <c r="AJ836" s="17" t="n">
        <v>1</v>
      </c>
      <c r="AK836" s="17" t="n">
        <v>3</v>
      </c>
      <c r="AL836" s="17" t="n">
        <v>3</v>
      </c>
      <c r="AM836" s="18" t="n">
        <v>3</v>
      </c>
      <c r="AN836" s="16" t="n">
        <v>12</v>
      </c>
      <c r="AO836" s="17" t="n">
        <v>0</v>
      </c>
      <c r="AP836" s="17" t="n">
        <v>0</v>
      </c>
      <c r="AQ836" s="17" t="n">
        <v>0</v>
      </c>
      <c r="AR836" s="17" t="n">
        <v>0</v>
      </c>
      <c r="AS836" s="17" t="n">
        <v>0</v>
      </c>
      <c r="AT836" s="17" t="n">
        <v>0</v>
      </c>
      <c r="AU836" s="17" t="n">
        <v>12</v>
      </c>
      <c r="AV836" s="17" t="n">
        <v>0</v>
      </c>
      <c r="AW836" s="17" t="n">
        <v>0</v>
      </c>
      <c r="AX836" s="18" t="n">
        <v>0</v>
      </c>
      <c r="AY836" s="16" t="n">
        <v>2</v>
      </c>
      <c r="AZ836" s="17" t="n">
        <v>0</v>
      </c>
      <c r="BA836" s="17" t="n">
        <v>0</v>
      </c>
      <c r="BB836" s="17" t="n">
        <v>0</v>
      </c>
      <c r="BC836" s="17" t="n">
        <v>0</v>
      </c>
      <c r="BD836" s="17" t="n">
        <v>0</v>
      </c>
      <c r="BE836" s="17" t="n">
        <v>0</v>
      </c>
      <c r="BF836" s="17" t="n">
        <v>2</v>
      </c>
      <c r="BG836" s="17" t="n">
        <v>0</v>
      </c>
      <c r="BH836" s="17" t="n">
        <v>0</v>
      </c>
      <c r="BI836" s="18" t="n">
        <v>0</v>
      </c>
      <c r="BJ836" s="16" t="n">
        <v>10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10</v>
      </c>
      <c r="BR836" s="17" t="n">
        <v>0</v>
      </c>
      <c r="BS836" s="17" t="n">
        <v>0</v>
      </c>
      <c r="BT836" s="18" t="n">
        <v>0</v>
      </c>
      <c r="BU836" s="17" t="inlineStr">
        <is>
          <t>Generic Drug</t>
        </is>
      </c>
    </row>
    <row r="837" ht="20" customHeight="1">
      <c r="A837" s="15" t="inlineStr">
        <is>
          <t>33342033380</t>
        </is>
      </c>
      <c r="B837" s="15" t="inlineStr">
        <is>
          <t>TRIAMCINOLONE ACETONIDE 0.1 % EXTERNAL OINTMENT</t>
        </is>
      </c>
      <c r="C837" s="16" t="n">
        <v>80</v>
      </c>
      <c r="D837" s="16" t="n">
        <v>8</v>
      </c>
      <c r="E837" s="16" t="n">
        <v>8</v>
      </c>
      <c r="F837" s="16" t="n">
        <v>3</v>
      </c>
      <c r="G837" s="16" t="n">
        <v>800</v>
      </c>
      <c r="H837" s="17" t="n">
        <v>0</v>
      </c>
      <c r="I837" s="17" t="n">
        <v>0</v>
      </c>
      <c r="J837" s="17" t="n">
        <v>240</v>
      </c>
      <c r="K837" s="17" t="n">
        <v>80</v>
      </c>
      <c r="L837" s="17" t="n">
        <v>0</v>
      </c>
      <c r="M837" s="17" t="n">
        <v>0</v>
      </c>
      <c r="N837" s="17" t="n">
        <v>480</v>
      </c>
      <c r="O837" s="17" t="n">
        <v>0</v>
      </c>
      <c r="P837" s="17" t="n">
        <v>0</v>
      </c>
      <c r="Q837" s="18" t="n">
        <v>0</v>
      </c>
      <c r="R837" s="16" t="n">
        <v>10</v>
      </c>
      <c r="S837" s="17" t="n">
        <v>0</v>
      </c>
      <c r="T837" s="17" t="n">
        <v>0</v>
      </c>
      <c r="U837" s="17" t="n">
        <v>3</v>
      </c>
      <c r="V837" s="17" t="n">
        <v>1</v>
      </c>
      <c r="W837" s="17" t="n">
        <v>0</v>
      </c>
      <c r="X837" s="17" t="n">
        <v>0</v>
      </c>
      <c r="Y837" s="17" t="n">
        <v>6</v>
      </c>
      <c r="Z837" s="17" t="n">
        <v>0</v>
      </c>
      <c r="AA837" s="17" t="n">
        <v>0</v>
      </c>
      <c r="AB837" s="18" t="n">
        <v>0</v>
      </c>
      <c r="AC837" s="16" t="n">
        <v>-2</v>
      </c>
      <c r="AD837" s="17" t="n">
        <v>8</v>
      </c>
      <c r="AE837" s="17" t="n">
        <v>8</v>
      </c>
      <c r="AF837" s="17" t="n">
        <v>5</v>
      </c>
      <c r="AG837" s="17" t="n">
        <v>7</v>
      </c>
      <c r="AH837" s="17" t="n">
        <v>8</v>
      </c>
      <c r="AI837" s="17" t="n">
        <v>8</v>
      </c>
      <c r="AJ837" s="17" t="n">
        <v>2</v>
      </c>
      <c r="AK837" s="17" t="n">
        <v>8</v>
      </c>
      <c r="AL837" s="17" t="n">
        <v>8</v>
      </c>
      <c r="AM837" s="18" t="n">
        <v>8</v>
      </c>
      <c r="AN837" s="16" t="n">
        <v>111</v>
      </c>
      <c r="AO837" s="17" t="n">
        <v>0</v>
      </c>
      <c r="AP837" s="17" t="n">
        <v>0</v>
      </c>
      <c r="AQ837" s="17" t="n">
        <v>15</v>
      </c>
      <c r="AR837" s="17" t="n">
        <v>4</v>
      </c>
      <c r="AS837" s="17" t="n">
        <v>0</v>
      </c>
      <c r="AT837" s="17" t="n">
        <v>0</v>
      </c>
      <c r="AU837" s="17" t="n">
        <v>89</v>
      </c>
      <c r="AV837" s="17" t="n">
        <v>0</v>
      </c>
      <c r="AW837" s="17" t="n">
        <v>0</v>
      </c>
      <c r="AX837" s="18" t="n">
        <v>0</v>
      </c>
      <c r="AY837" s="16" t="n">
        <v>30</v>
      </c>
      <c r="AZ837" s="17" t="n">
        <v>0</v>
      </c>
      <c r="BA837" s="17" t="n">
        <v>0</v>
      </c>
      <c r="BB837" s="17" t="n">
        <v>9</v>
      </c>
      <c r="BC837" s="17" t="n">
        <v>3</v>
      </c>
      <c r="BD837" s="17" t="n">
        <v>0</v>
      </c>
      <c r="BE837" s="17" t="n">
        <v>0</v>
      </c>
      <c r="BF837" s="17" t="n">
        <v>18</v>
      </c>
      <c r="BG837" s="17" t="n">
        <v>0</v>
      </c>
      <c r="BH837" s="17" t="n">
        <v>0</v>
      </c>
      <c r="BI837" s="18" t="n">
        <v>0</v>
      </c>
      <c r="BJ837" s="16" t="n">
        <v>81</v>
      </c>
      <c r="BK837" s="17" t="n">
        <v>0</v>
      </c>
      <c r="BL837" s="17" t="n">
        <v>0</v>
      </c>
      <c r="BM837" s="17" t="n">
        <v>6</v>
      </c>
      <c r="BN837" s="17" t="n">
        <v>1</v>
      </c>
      <c r="BO837" s="17" t="n">
        <v>0</v>
      </c>
      <c r="BP837" s="17" t="n">
        <v>0</v>
      </c>
      <c r="BQ837" s="17" t="n">
        <v>71</v>
      </c>
      <c r="BR837" s="17" t="n">
        <v>0</v>
      </c>
      <c r="BS837" s="17" t="n">
        <v>0</v>
      </c>
      <c r="BT837" s="18" t="n">
        <v>0</v>
      </c>
      <c r="BU837" s="17" t="inlineStr">
        <is>
          <t>Generic Drug</t>
        </is>
      </c>
    </row>
    <row r="838" ht="20" customHeight="1">
      <c r="A838" s="15" t="inlineStr">
        <is>
          <t>64980032005</t>
        </is>
      </c>
      <c r="B838" s="15" t="inlineStr">
        <is>
          <t>TRIAMCINOLONE ACETONIDE 0.1 % MOUTH/THROAT PASTE</t>
        </is>
      </c>
      <c r="C838" s="16" t="n">
        <v>5</v>
      </c>
      <c r="D838" s="16" t="n">
        <v>0</v>
      </c>
      <c r="E838" s="16" t="n">
        <v>0</v>
      </c>
      <c r="F838" s="16" t="n">
        <v>0</v>
      </c>
      <c r="G838" s="16" t="n">
        <v>5</v>
      </c>
      <c r="H838" s="17" t="n">
        <v>0</v>
      </c>
      <c r="I838" s="17" t="n">
        <v>0</v>
      </c>
      <c r="J838" s="17" t="n">
        <v>5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8" t="n">
        <v>0</v>
      </c>
      <c r="R838" s="16" t="n">
        <v>1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8" t="n">
        <v>0</v>
      </c>
      <c r="AC838" s="16" t="n">
        <v>-1</v>
      </c>
      <c r="AD838" s="17" t="n">
        <v>0</v>
      </c>
      <c r="AE838" s="17" t="n">
        <v>0</v>
      </c>
      <c r="AF838" s="17" t="n">
        <v>-1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0</v>
      </c>
      <c r="AL838" s="17" t="n">
        <v>0</v>
      </c>
      <c r="AM838" s="18" t="n">
        <v>0</v>
      </c>
      <c r="AN838" s="16" t="n">
        <v>8</v>
      </c>
      <c r="AO838" s="17" t="n">
        <v>0</v>
      </c>
      <c r="AP838" s="17" t="n">
        <v>0</v>
      </c>
      <c r="AQ838" s="17" t="n">
        <v>8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8" t="n">
        <v>0</v>
      </c>
      <c r="AY838" s="16" t="n">
        <v>0</v>
      </c>
      <c r="AZ838" s="17" t="n">
        <v>0</v>
      </c>
      <c r="BA838" s="17" t="n">
        <v>0</v>
      </c>
      <c r="BB838" s="17" t="n">
        <v>0</v>
      </c>
      <c r="BC838" s="17" t="n">
        <v>0</v>
      </c>
      <c r="BD838" s="17" t="n">
        <v>0</v>
      </c>
      <c r="BE838" s="17" t="n">
        <v>0</v>
      </c>
      <c r="BF838" s="17" t="n">
        <v>0</v>
      </c>
      <c r="BG838" s="17" t="n">
        <v>0</v>
      </c>
      <c r="BH838" s="17" t="n">
        <v>0</v>
      </c>
      <c r="BI838" s="18" t="n">
        <v>0</v>
      </c>
      <c r="BJ838" s="16" t="n">
        <v>8</v>
      </c>
      <c r="BK838" s="17" t="n">
        <v>0</v>
      </c>
      <c r="BL838" s="17" t="n">
        <v>0</v>
      </c>
      <c r="BM838" s="17" t="n">
        <v>8</v>
      </c>
      <c r="BN838" s="17" t="n">
        <v>0</v>
      </c>
      <c r="BO838" s="17" t="n">
        <v>0</v>
      </c>
      <c r="BP838" s="17" t="n">
        <v>0</v>
      </c>
      <c r="BQ838" s="17" t="n">
        <v>0</v>
      </c>
      <c r="BR838" s="17" t="n">
        <v>0</v>
      </c>
      <c r="BS838" s="17" t="n">
        <v>0</v>
      </c>
      <c r="BT838" s="18" t="n">
        <v>0</v>
      </c>
      <c r="BU838" s="17" t="inlineStr">
        <is>
          <t>Unclassified</t>
        </is>
      </c>
    </row>
    <row r="839" ht="20" customHeight="1">
      <c r="A839" s="15" t="inlineStr">
        <is>
          <t>67877025145</t>
        </is>
      </c>
      <c r="B839" s="15" t="inlineStr">
        <is>
          <t>TRIAMCINOLONE ACETONIDE 0.1% CREAM</t>
        </is>
      </c>
      <c r="C839" s="16" t="n">
        <v>454</v>
      </c>
      <c r="D839" s="16" t="n">
        <v>0</v>
      </c>
      <c r="E839" s="16" t="n">
        <v>0</v>
      </c>
      <c r="F839" s="16" t="n">
        <v>0</v>
      </c>
      <c r="G839" s="16" t="n">
        <v>454</v>
      </c>
      <c r="H839" s="17" t="n">
        <v>0</v>
      </c>
      <c r="I839" s="17" t="n">
        <v>0</v>
      </c>
      <c r="J839" s="17" t="n">
        <v>454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8" t="n">
        <v>0</v>
      </c>
      <c r="R839" s="16" t="n">
        <v>1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8" t="n">
        <v>0</v>
      </c>
      <c r="AC839" s="16" t="n">
        <v>-1</v>
      </c>
      <c r="AD839" s="17" t="n">
        <v>0</v>
      </c>
      <c r="AE839" s="17" t="n">
        <v>0</v>
      </c>
      <c r="AF839" s="17" t="n">
        <v>-1</v>
      </c>
      <c r="AG839" s="17" t="n">
        <v>0</v>
      </c>
      <c r="AH839" s="17" t="n">
        <v>0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8" t="n">
        <v>0</v>
      </c>
      <c r="AN839" s="16" t="n">
        <v>14</v>
      </c>
      <c r="AO839" s="17" t="n">
        <v>0</v>
      </c>
      <c r="AP839" s="17" t="n">
        <v>0</v>
      </c>
      <c r="AQ839" s="17" t="n">
        <v>14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8" t="n">
        <v>0</v>
      </c>
      <c r="AY839" s="16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8" t="n">
        <v>0</v>
      </c>
      <c r="BJ839" s="16" t="n">
        <v>14</v>
      </c>
      <c r="BK839" s="17" t="n">
        <v>0</v>
      </c>
      <c r="BL839" s="17" t="n">
        <v>0</v>
      </c>
      <c r="BM839" s="17" t="n">
        <v>14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8" t="n">
        <v>0</v>
      </c>
      <c r="BU839" s="17" t="inlineStr">
        <is>
          <t>Unclassified</t>
        </is>
      </c>
    </row>
    <row r="840" ht="20" customHeight="1">
      <c r="A840" s="15" t="inlineStr">
        <is>
          <t>00168000215</t>
        </is>
      </c>
      <c r="B840" s="15" t="inlineStr">
        <is>
          <t>TRIAMCINOLONE ACETONIDE 0.5 % CREAM</t>
        </is>
      </c>
      <c r="C840" s="16" t="n">
        <v>15</v>
      </c>
      <c r="D840" s="16" t="n">
        <v>0</v>
      </c>
      <c r="E840" s="16" t="n">
        <v>0</v>
      </c>
      <c r="F840" s="16" t="n">
        <v>0</v>
      </c>
      <c r="G840" s="16" t="n">
        <v>45</v>
      </c>
      <c r="H840" s="17" t="n">
        <v>0</v>
      </c>
      <c r="I840" s="17" t="n">
        <v>0</v>
      </c>
      <c r="J840" s="17" t="n">
        <v>30</v>
      </c>
      <c r="K840" s="17" t="n">
        <v>0</v>
      </c>
      <c r="L840" s="17" t="n">
        <v>0</v>
      </c>
      <c r="M840" s="17" t="n">
        <v>0</v>
      </c>
      <c r="N840" s="17" t="n">
        <v>15</v>
      </c>
      <c r="O840" s="17" t="n">
        <v>0</v>
      </c>
      <c r="P840" s="17" t="n">
        <v>0</v>
      </c>
      <c r="Q840" s="18" t="n">
        <v>0</v>
      </c>
      <c r="R840" s="16" t="n">
        <v>3</v>
      </c>
      <c r="S840" s="17" t="n">
        <v>0</v>
      </c>
      <c r="T840" s="17" t="n">
        <v>0</v>
      </c>
      <c r="U840" s="17" t="n">
        <v>2</v>
      </c>
      <c r="V840" s="17" t="n">
        <v>0</v>
      </c>
      <c r="W840" s="17" t="n">
        <v>0</v>
      </c>
      <c r="X840" s="17" t="n">
        <v>0</v>
      </c>
      <c r="Y840" s="17" t="n">
        <v>1</v>
      </c>
      <c r="Z840" s="17" t="n">
        <v>0</v>
      </c>
      <c r="AA840" s="17" t="n">
        <v>0</v>
      </c>
      <c r="AB840" s="18" t="n">
        <v>0</v>
      </c>
      <c r="AC840" s="16" t="n">
        <v>-3</v>
      </c>
      <c r="AD840" s="17" t="n">
        <v>0</v>
      </c>
      <c r="AE840" s="17" t="n">
        <v>0</v>
      </c>
      <c r="AF840" s="17" t="n">
        <v>-2</v>
      </c>
      <c r="AG840" s="17" t="n">
        <v>0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8" t="n">
        <v>0</v>
      </c>
      <c r="AN840" s="16" t="n">
        <v>23</v>
      </c>
      <c r="AO840" s="17" t="n">
        <v>0</v>
      </c>
      <c r="AP840" s="17" t="n">
        <v>0</v>
      </c>
      <c r="AQ840" s="17" t="n">
        <v>8</v>
      </c>
      <c r="AR840" s="17" t="n">
        <v>0</v>
      </c>
      <c r="AS840" s="17" t="n">
        <v>0</v>
      </c>
      <c r="AT840" s="17" t="n">
        <v>0</v>
      </c>
      <c r="AU840" s="17" t="n">
        <v>13</v>
      </c>
      <c r="AV840" s="17" t="n">
        <v>0</v>
      </c>
      <c r="AW840" s="17" t="n">
        <v>0</v>
      </c>
      <c r="AX840" s="18" t="n">
        <v>0</v>
      </c>
      <c r="AY840" s="16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7" t="n">
        <v>0</v>
      </c>
      <c r="BI840" s="18" t="n">
        <v>0</v>
      </c>
      <c r="BJ840" s="16" t="n">
        <v>23</v>
      </c>
      <c r="BK840" s="17" t="n">
        <v>0</v>
      </c>
      <c r="BL840" s="17" t="n">
        <v>0</v>
      </c>
      <c r="BM840" s="17" t="n">
        <v>8</v>
      </c>
      <c r="BN840" s="17" t="n">
        <v>0</v>
      </c>
      <c r="BO840" s="17" t="n">
        <v>0</v>
      </c>
      <c r="BP840" s="17" t="n">
        <v>0</v>
      </c>
      <c r="BQ840" s="17" t="n">
        <v>13</v>
      </c>
      <c r="BR840" s="17" t="n">
        <v>0</v>
      </c>
      <c r="BS840" s="17" t="n">
        <v>0</v>
      </c>
      <c r="BT840" s="18" t="n">
        <v>0</v>
      </c>
      <c r="BU840" s="17" t="inlineStr">
        <is>
          <t>Unclassified</t>
        </is>
      </c>
    </row>
    <row r="841" ht="20" customHeight="1">
      <c r="A841" s="15" t="inlineStr">
        <is>
          <t>45802004935</t>
        </is>
      </c>
      <c r="B841" s="15" t="inlineStr">
        <is>
          <t>TRIAMCINOLONE ACETONIDE 0.5 % EXTERNAL OINTMENT</t>
        </is>
      </c>
      <c r="C841" s="16" t="n">
        <v>15</v>
      </c>
      <c r="D841" s="16" t="n">
        <v>6</v>
      </c>
      <c r="E841" s="16" t="n">
        <v>6</v>
      </c>
      <c r="F841" s="16" t="n">
        <v>2</v>
      </c>
      <c r="G841" s="16" t="n">
        <v>15</v>
      </c>
      <c r="H841" s="17" t="n">
        <v>0</v>
      </c>
      <c r="I841" s="17" t="n">
        <v>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15</v>
      </c>
      <c r="O841" s="17" t="n">
        <v>0</v>
      </c>
      <c r="P841" s="17" t="n">
        <v>0</v>
      </c>
      <c r="Q841" s="18" t="n">
        <v>0</v>
      </c>
      <c r="R841" s="16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1</v>
      </c>
      <c r="Z841" s="17" t="n">
        <v>0</v>
      </c>
      <c r="AA841" s="17" t="n">
        <v>0</v>
      </c>
      <c r="AB841" s="18" t="n">
        <v>0</v>
      </c>
      <c r="AC841" s="16" t="n">
        <v>5</v>
      </c>
      <c r="AD841" s="17" t="n">
        <v>6</v>
      </c>
      <c r="AE841" s="17" t="n">
        <v>6</v>
      </c>
      <c r="AF841" s="17" t="n">
        <v>6</v>
      </c>
      <c r="AG841" s="17" t="n">
        <v>6</v>
      </c>
      <c r="AH841" s="17" t="n">
        <v>6</v>
      </c>
      <c r="AI841" s="17" t="n">
        <v>6</v>
      </c>
      <c r="AJ841" s="17" t="n">
        <v>5</v>
      </c>
      <c r="AK841" s="17" t="n">
        <v>6</v>
      </c>
      <c r="AL841" s="17" t="n">
        <v>6</v>
      </c>
      <c r="AM841" s="18" t="n">
        <v>6</v>
      </c>
      <c r="AN841" s="16" t="n">
        <v>15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0</v>
      </c>
      <c r="AU841" s="17" t="n">
        <v>14</v>
      </c>
      <c r="AV841" s="17" t="n">
        <v>0</v>
      </c>
      <c r="AW841" s="17" t="n">
        <v>0</v>
      </c>
      <c r="AX841" s="18" t="n">
        <v>0</v>
      </c>
      <c r="AY841" s="16" t="n">
        <v>2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2</v>
      </c>
      <c r="BG841" s="17" t="n">
        <v>0</v>
      </c>
      <c r="BH841" s="17" t="n">
        <v>0</v>
      </c>
      <c r="BI841" s="18" t="n">
        <v>0</v>
      </c>
      <c r="BJ841" s="16" t="n">
        <v>13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12</v>
      </c>
      <c r="BR841" s="17" t="n">
        <v>0</v>
      </c>
      <c r="BS841" s="17" t="n">
        <v>0</v>
      </c>
      <c r="BT841" s="18" t="n">
        <v>0</v>
      </c>
      <c r="BU841" s="17" t="inlineStr">
        <is>
          <t>Generic Drug</t>
        </is>
      </c>
    </row>
    <row r="842" ht="20" customHeight="1">
      <c r="A842" s="15" t="inlineStr">
        <is>
          <t>60505265701</t>
        </is>
      </c>
      <c r="B842" s="15" t="inlineStr">
        <is>
          <t>TRIAMTERENE-HCTZ 75-50 MG ORAL TABLET</t>
        </is>
      </c>
      <c r="C842" s="16" t="n">
        <v>100</v>
      </c>
      <c r="D842" s="16" t="n">
        <v>0</v>
      </c>
      <c r="E842" s="16" t="n">
        <v>0</v>
      </c>
      <c r="F842" s="16" t="n">
        <v>0</v>
      </c>
      <c r="G842" s="16" t="n">
        <v>90</v>
      </c>
      <c r="H842" s="17" t="n">
        <v>0</v>
      </c>
      <c r="I842" s="17" t="n">
        <v>0</v>
      </c>
      <c r="J842" s="17" t="n">
        <v>90</v>
      </c>
      <c r="K842" s="17" t="n">
        <v>0</v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8" t="n">
        <v>0</v>
      </c>
      <c r="R842" s="16" t="n">
        <v>0.9</v>
      </c>
      <c r="S842" s="17" t="n">
        <v>0</v>
      </c>
      <c r="T842" s="17" t="n">
        <v>0</v>
      </c>
      <c r="U842" s="17" t="n">
        <v>0.9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8" t="n">
        <v>0</v>
      </c>
      <c r="AC842" s="16" t="n">
        <v>-0.9</v>
      </c>
      <c r="AD842" s="17" t="n">
        <v>0</v>
      </c>
      <c r="AE842" s="17" t="n">
        <v>0</v>
      </c>
      <c r="AF842" s="17" t="n">
        <v>-0.9</v>
      </c>
      <c r="AG842" s="17" t="n">
        <v>0</v>
      </c>
      <c r="AH842" s="17" t="n">
        <v>0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8" t="n">
        <v>0</v>
      </c>
      <c r="AN842" s="16" t="n">
        <v>5</v>
      </c>
      <c r="AO842" s="17" t="n">
        <v>0</v>
      </c>
      <c r="AP842" s="17" t="n">
        <v>0</v>
      </c>
      <c r="AQ842" s="17" t="n">
        <v>5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8" t="n">
        <v>0</v>
      </c>
      <c r="AY842" s="16" t="n">
        <v>0</v>
      </c>
      <c r="AZ842" s="17" t="n">
        <v>0</v>
      </c>
      <c r="BA842" s="17" t="n">
        <v>0</v>
      </c>
      <c r="BB842" s="17" t="n">
        <v>0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7" t="n">
        <v>0</v>
      </c>
      <c r="BI842" s="18" t="n">
        <v>0</v>
      </c>
      <c r="BJ842" s="16" t="n">
        <v>5</v>
      </c>
      <c r="BK842" s="17" t="n">
        <v>0</v>
      </c>
      <c r="BL842" s="17" t="n">
        <v>0</v>
      </c>
      <c r="BM842" s="17" t="n">
        <v>5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7" t="n">
        <v>0</v>
      </c>
      <c r="BT842" s="18" t="n">
        <v>0</v>
      </c>
      <c r="BU842" s="17" t="inlineStr">
        <is>
          <t>Unclassified</t>
        </is>
      </c>
    </row>
    <row r="843" ht="20" customHeight="1">
      <c r="A843" s="15" t="inlineStr">
        <is>
          <t>00597038068</t>
        </is>
      </c>
      <c r="B843" s="15" t="inlineStr">
        <is>
          <t>TRIJARDY XR 10-5-1000 MG ORAL TABLET EXTENDED RELEASE 24 HOUR</t>
        </is>
      </c>
      <c r="C843" s="16" t="n">
        <v>90</v>
      </c>
      <c r="D843" s="16" t="n">
        <v>1</v>
      </c>
      <c r="E843" s="16" t="n">
        <v>1</v>
      </c>
      <c r="F843" s="16" t="n">
        <v>1021</v>
      </c>
      <c r="G843" s="16" t="n">
        <v>90</v>
      </c>
      <c r="H843" s="17" t="n">
        <v>0</v>
      </c>
      <c r="I843" s="17" t="n">
        <v>0</v>
      </c>
      <c r="J843" s="17" t="n">
        <v>90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8" t="n">
        <v>0</v>
      </c>
      <c r="R843" s="16" t="n">
        <v>1</v>
      </c>
      <c r="S843" s="17" t="n">
        <v>0</v>
      </c>
      <c r="T843" s="17" t="n">
        <v>0</v>
      </c>
      <c r="U843" s="17" t="n">
        <v>1</v>
      </c>
      <c r="V843" s="17" t="n">
        <v>0</v>
      </c>
      <c r="W843" s="17" t="n">
        <v>0</v>
      </c>
      <c r="X843" s="17" t="n">
        <v>0</v>
      </c>
      <c r="Y843" s="17" t="n">
        <v>0</v>
      </c>
      <c r="Z843" s="17" t="n">
        <v>0</v>
      </c>
      <c r="AA843" s="17" t="n">
        <v>0</v>
      </c>
      <c r="AB843" s="18" t="n">
        <v>0</v>
      </c>
      <c r="AC843" s="16" t="n">
        <v>0</v>
      </c>
      <c r="AD843" s="17" t="n">
        <v>1</v>
      </c>
      <c r="AE843" s="17" t="n">
        <v>1</v>
      </c>
      <c r="AF843" s="17" t="n">
        <v>0</v>
      </c>
      <c r="AG843" s="17" t="n">
        <v>1</v>
      </c>
      <c r="AH843" s="17" t="n">
        <v>1</v>
      </c>
      <c r="AI843" s="17" t="n">
        <v>1</v>
      </c>
      <c r="AJ843" s="17" t="n">
        <v>1</v>
      </c>
      <c r="AK843" s="17" t="n">
        <v>1</v>
      </c>
      <c r="AL843" s="17" t="n">
        <v>1</v>
      </c>
      <c r="AM843" s="18" t="n">
        <v>1</v>
      </c>
      <c r="AN843" s="16" t="n">
        <v>982</v>
      </c>
      <c r="AO843" s="17" t="n">
        <v>0</v>
      </c>
      <c r="AP843" s="17" t="n">
        <v>0</v>
      </c>
      <c r="AQ843" s="17" t="n">
        <v>978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8" t="n">
        <v>0</v>
      </c>
      <c r="AY843" s="16" t="n">
        <v>1021</v>
      </c>
      <c r="AZ843" s="17" t="n">
        <v>0</v>
      </c>
      <c r="BA843" s="17" t="n">
        <v>0</v>
      </c>
      <c r="BB843" s="17" t="n">
        <v>1021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8" t="n">
        <v>0</v>
      </c>
      <c r="BJ843" s="16" t="n">
        <v>-39</v>
      </c>
      <c r="BK843" s="17" t="n">
        <v>0</v>
      </c>
      <c r="BL843" s="17" t="n">
        <v>0</v>
      </c>
      <c r="BM843" s="17" t="n">
        <v>-43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8" t="n">
        <v>0</v>
      </c>
      <c r="BU843" s="17" t="inlineStr">
        <is>
          <t>Branded Drug</t>
        </is>
      </c>
    </row>
    <row r="844" ht="20" customHeight="1">
      <c r="A844" s="15" t="inlineStr">
        <is>
          <t>64764073030</t>
        </is>
      </c>
      <c r="B844" s="15" t="inlineStr">
        <is>
          <t>TRINTELLIX 10MG TABLET</t>
        </is>
      </c>
      <c r="C844" s="16" t="n">
        <v>30</v>
      </c>
      <c r="D844" s="16" t="n">
        <v>0</v>
      </c>
      <c r="E844" s="16" t="n">
        <v>0</v>
      </c>
      <c r="F844" s="16" t="n">
        <v>0</v>
      </c>
      <c r="G844" s="16" t="n">
        <v>30</v>
      </c>
      <c r="H844" s="17" t="n">
        <v>0</v>
      </c>
      <c r="I844" s="17" t="n">
        <v>0</v>
      </c>
      <c r="J844" s="17" t="n">
        <v>30</v>
      </c>
      <c r="K844" s="17" t="n">
        <v>0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8" t="n">
        <v>0</v>
      </c>
      <c r="R844" s="16" t="n">
        <v>1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8" t="n">
        <v>0</v>
      </c>
      <c r="AC844" s="16" t="n">
        <v>-1</v>
      </c>
      <c r="AD844" s="17" t="n">
        <v>0</v>
      </c>
      <c r="AE844" s="17" t="n">
        <v>0</v>
      </c>
      <c r="AF844" s="17" t="n">
        <v>-1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8" t="n">
        <v>0</v>
      </c>
      <c r="AN844" s="16" t="n">
        <v>513</v>
      </c>
      <c r="AO844" s="17" t="n">
        <v>0</v>
      </c>
      <c r="AP844" s="17" t="n">
        <v>0</v>
      </c>
      <c r="AQ844" s="17" t="n">
        <v>513</v>
      </c>
      <c r="AR844" s="17" t="n">
        <v>0</v>
      </c>
      <c r="AS844" s="17" t="n">
        <v>0</v>
      </c>
      <c r="AT844" s="17" t="n">
        <v>0</v>
      </c>
      <c r="AU844" s="17" t="n">
        <v>0</v>
      </c>
      <c r="AV844" s="17" t="n">
        <v>0</v>
      </c>
      <c r="AW844" s="17" t="n">
        <v>0</v>
      </c>
      <c r="AX844" s="18" t="n">
        <v>0</v>
      </c>
      <c r="AY844" s="16" t="n">
        <v>0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7" t="n">
        <v>0</v>
      </c>
      <c r="BG844" s="17" t="n">
        <v>0</v>
      </c>
      <c r="BH844" s="17" t="n">
        <v>0</v>
      </c>
      <c r="BI844" s="18" t="n">
        <v>0</v>
      </c>
      <c r="BJ844" s="16" t="n">
        <v>513</v>
      </c>
      <c r="BK844" s="17" t="n">
        <v>0</v>
      </c>
      <c r="BL844" s="17" t="n">
        <v>0</v>
      </c>
      <c r="BM844" s="17" t="n">
        <v>513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7" t="n">
        <v>0</v>
      </c>
      <c r="BT844" s="18" t="n">
        <v>0</v>
      </c>
      <c r="BU844" s="17" t="inlineStr">
        <is>
          <t>Unclassified</t>
        </is>
      </c>
    </row>
    <row r="845" ht="20" customHeight="1">
      <c r="A845" s="15" t="inlineStr">
        <is>
          <t>23155053006</t>
        </is>
      </c>
      <c r="B845" s="15" t="inlineStr">
        <is>
          <t>TROSPIUM CHLORIDE 20 MG TABLET</t>
        </is>
      </c>
      <c r="C845" s="16" t="n">
        <v>60</v>
      </c>
      <c r="D845" s="16" t="n">
        <v>0</v>
      </c>
      <c r="E845" s="16" t="n">
        <v>0</v>
      </c>
      <c r="F845" s="16" t="n">
        <v>0</v>
      </c>
      <c r="G845" s="16" t="n">
        <v>20</v>
      </c>
      <c r="H845" s="17" t="n">
        <v>0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20</v>
      </c>
      <c r="N845" s="17" t="n">
        <v>0</v>
      </c>
      <c r="O845" s="17" t="n">
        <v>0</v>
      </c>
      <c r="P845" s="17" t="n">
        <v>0</v>
      </c>
      <c r="Q845" s="18" t="n">
        <v>0</v>
      </c>
      <c r="R845" s="16" t="n">
        <v>0.333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0.333</v>
      </c>
      <c r="Y845" s="17" t="n">
        <v>0</v>
      </c>
      <c r="Z845" s="17" t="n">
        <v>0</v>
      </c>
      <c r="AA845" s="17" t="n">
        <v>0</v>
      </c>
      <c r="AB845" s="18" t="n">
        <v>0</v>
      </c>
      <c r="AC845" s="16" t="n">
        <v>-0.333</v>
      </c>
      <c r="AD845" s="17" t="n">
        <v>0</v>
      </c>
      <c r="AE845" s="17" t="n">
        <v>0</v>
      </c>
      <c r="AF845" s="17" t="n">
        <v>0</v>
      </c>
      <c r="AG845" s="17" t="n">
        <v>0</v>
      </c>
      <c r="AH845" s="17" t="n">
        <v>0</v>
      </c>
      <c r="AI845" s="17" t="n">
        <v>-0.333</v>
      </c>
      <c r="AJ845" s="17" t="n">
        <v>0</v>
      </c>
      <c r="AK845" s="17" t="n">
        <v>0</v>
      </c>
      <c r="AL845" s="17" t="n">
        <v>0</v>
      </c>
      <c r="AM845" s="18" t="n">
        <v>0</v>
      </c>
      <c r="AN845" s="16" t="n">
        <v>8</v>
      </c>
      <c r="AO845" s="17" t="n">
        <v>0</v>
      </c>
      <c r="AP845" s="17" t="n">
        <v>0</v>
      </c>
      <c r="AQ845" s="17" t="n">
        <v>0</v>
      </c>
      <c r="AR845" s="17" t="n">
        <v>0</v>
      </c>
      <c r="AS845" s="17" t="n">
        <v>0</v>
      </c>
      <c r="AT845" s="17" t="n">
        <v>6</v>
      </c>
      <c r="AU845" s="17" t="n">
        <v>0</v>
      </c>
      <c r="AV845" s="17" t="n">
        <v>0</v>
      </c>
      <c r="AW845" s="17" t="n">
        <v>0</v>
      </c>
      <c r="AX845" s="18" t="n">
        <v>0</v>
      </c>
      <c r="AY845" s="16" t="n">
        <v>0</v>
      </c>
      <c r="AZ845" s="17" t="n">
        <v>0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8" t="n">
        <v>0</v>
      </c>
      <c r="BJ845" s="16" t="n">
        <v>8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6</v>
      </c>
      <c r="BQ845" s="17" t="n">
        <v>0</v>
      </c>
      <c r="BR845" s="17" t="n">
        <v>0</v>
      </c>
      <c r="BS845" s="17" t="n">
        <v>0</v>
      </c>
      <c r="BT845" s="18" t="n">
        <v>0</v>
      </c>
      <c r="BU845" s="17" t="inlineStr">
        <is>
          <t>Unclassified</t>
        </is>
      </c>
    </row>
    <row r="846" ht="20" customHeight="1">
      <c r="A846" s="15" t="inlineStr">
        <is>
          <t>00002143380</t>
        </is>
      </c>
      <c r="B846" s="15" t="inlineStr">
        <is>
          <t>TRULICITY 0.75MG/0.5ML INJECTION</t>
        </is>
      </c>
      <c r="C846" s="16" t="n">
        <v>2</v>
      </c>
      <c r="D846" s="16" t="n">
        <v>10</v>
      </c>
      <c r="E846" s="16" t="n">
        <v>10</v>
      </c>
      <c r="F846" s="16" t="n">
        <v>979</v>
      </c>
      <c r="G846" s="16" t="n">
        <v>14</v>
      </c>
      <c r="H846" s="17" t="n">
        <v>0</v>
      </c>
      <c r="I846" s="17" t="n">
        <v>0</v>
      </c>
      <c r="J846" s="17" t="n">
        <v>12</v>
      </c>
      <c r="K846" s="17" t="n">
        <v>0</v>
      </c>
      <c r="L846" s="17" t="n">
        <v>0</v>
      </c>
      <c r="M846" s="17" t="n">
        <v>0</v>
      </c>
      <c r="N846" s="17" t="n">
        <v>2</v>
      </c>
      <c r="O846" s="17" t="n">
        <v>0</v>
      </c>
      <c r="P846" s="17" t="n">
        <v>0</v>
      </c>
      <c r="Q846" s="18" t="n">
        <v>0</v>
      </c>
      <c r="R846" s="16" t="n">
        <v>7</v>
      </c>
      <c r="S846" s="17" t="n">
        <v>0</v>
      </c>
      <c r="T846" s="17" t="n">
        <v>0</v>
      </c>
      <c r="U846" s="17" t="n">
        <v>6</v>
      </c>
      <c r="V846" s="17" t="n">
        <v>0</v>
      </c>
      <c r="W846" s="17" t="n">
        <v>0</v>
      </c>
      <c r="X846" s="17" t="n">
        <v>0</v>
      </c>
      <c r="Y846" s="17" t="n">
        <v>1</v>
      </c>
      <c r="Z846" s="17" t="n">
        <v>0</v>
      </c>
      <c r="AA846" s="17" t="n">
        <v>0</v>
      </c>
      <c r="AB846" s="18" t="n">
        <v>0</v>
      </c>
      <c r="AC846" s="16" t="n">
        <v>3</v>
      </c>
      <c r="AD846" s="17" t="n">
        <v>10</v>
      </c>
      <c r="AE846" s="17" t="n">
        <v>10</v>
      </c>
      <c r="AF846" s="17" t="n">
        <v>4</v>
      </c>
      <c r="AG846" s="17" t="n">
        <v>10</v>
      </c>
      <c r="AH846" s="17" t="n">
        <v>10</v>
      </c>
      <c r="AI846" s="17" t="n">
        <v>10</v>
      </c>
      <c r="AJ846" s="17" t="n">
        <v>9</v>
      </c>
      <c r="AK846" s="17" t="n">
        <v>10</v>
      </c>
      <c r="AL846" s="17" t="n">
        <v>10</v>
      </c>
      <c r="AM846" s="18" t="n">
        <v>10</v>
      </c>
      <c r="AN846" s="16" t="n">
        <v>6694</v>
      </c>
      <c r="AO846" s="17" t="n">
        <v>0</v>
      </c>
      <c r="AP846" s="17" t="n">
        <v>0</v>
      </c>
      <c r="AQ846" s="17" t="n">
        <v>5704</v>
      </c>
      <c r="AR846" s="17" t="n">
        <v>0</v>
      </c>
      <c r="AS846" s="17" t="n">
        <v>0</v>
      </c>
      <c r="AT846" s="17" t="n">
        <v>0</v>
      </c>
      <c r="AU846" s="17" t="n">
        <v>986</v>
      </c>
      <c r="AV846" s="17" t="n">
        <v>0</v>
      </c>
      <c r="AW846" s="17" t="n">
        <v>0</v>
      </c>
      <c r="AX846" s="18" t="n">
        <v>0</v>
      </c>
      <c r="AY846" s="16" t="n">
        <v>6853</v>
      </c>
      <c r="AZ846" s="17" t="n">
        <v>0</v>
      </c>
      <c r="BA846" s="17" t="n">
        <v>0</v>
      </c>
      <c r="BB846" s="17" t="n">
        <v>5874</v>
      </c>
      <c r="BC846" s="17" t="n">
        <v>0</v>
      </c>
      <c r="BD846" s="17" t="n">
        <v>0</v>
      </c>
      <c r="BE846" s="17" t="n">
        <v>0</v>
      </c>
      <c r="BF846" s="17" t="n">
        <v>979</v>
      </c>
      <c r="BG846" s="17" t="n">
        <v>0</v>
      </c>
      <c r="BH846" s="17" t="n">
        <v>0</v>
      </c>
      <c r="BI846" s="18" t="n">
        <v>0</v>
      </c>
      <c r="BJ846" s="16" t="n">
        <v>-159</v>
      </c>
      <c r="BK846" s="17" t="n">
        <v>0</v>
      </c>
      <c r="BL846" s="17" t="n">
        <v>0</v>
      </c>
      <c r="BM846" s="17" t="n">
        <v>-170</v>
      </c>
      <c r="BN846" s="17" t="n">
        <v>0</v>
      </c>
      <c r="BO846" s="17" t="n">
        <v>0</v>
      </c>
      <c r="BP846" s="17" t="n">
        <v>0</v>
      </c>
      <c r="BQ846" s="17" t="n">
        <v>7</v>
      </c>
      <c r="BR846" s="17" t="n">
        <v>0</v>
      </c>
      <c r="BS846" s="17" t="n">
        <v>0</v>
      </c>
      <c r="BT846" s="18" t="n">
        <v>0</v>
      </c>
      <c r="BU846" s="17" t="inlineStr">
        <is>
          <t>Branded Drug</t>
        </is>
      </c>
    </row>
    <row r="847" ht="20" customHeight="1">
      <c r="A847" s="15" t="inlineStr">
        <is>
          <t>00002143480</t>
        </is>
      </c>
      <c r="B847" s="15" t="inlineStr">
        <is>
          <t>TRULICITY 1.5MG/0.5ML INJECTION</t>
        </is>
      </c>
      <c r="C847" s="16" t="n">
        <v>2</v>
      </c>
      <c r="D847" s="16" t="n">
        <v>2</v>
      </c>
      <c r="E847" s="16" t="n">
        <v>2</v>
      </c>
      <c r="F847" s="16" t="n">
        <v>979</v>
      </c>
      <c r="G847" s="16" t="n">
        <v>4</v>
      </c>
      <c r="H847" s="17" t="n">
        <v>0</v>
      </c>
      <c r="I847" s="17" t="n">
        <v>0</v>
      </c>
      <c r="J847" s="17" t="n">
        <v>2</v>
      </c>
      <c r="K847" s="17" t="n">
        <v>0</v>
      </c>
      <c r="L847" s="17" t="n">
        <v>0</v>
      </c>
      <c r="M847" s="17" t="n">
        <v>0</v>
      </c>
      <c r="N847" s="17" t="n">
        <v>2</v>
      </c>
      <c r="O847" s="17" t="n">
        <v>0</v>
      </c>
      <c r="P847" s="17" t="n">
        <v>0</v>
      </c>
      <c r="Q847" s="18" t="n">
        <v>0</v>
      </c>
      <c r="R847" s="16" t="n">
        <v>2</v>
      </c>
      <c r="S847" s="17" t="n">
        <v>0</v>
      </c>
      <c r="T847" s="17" t="n">
        <v>0</v>
      </c>
      <c r="U847" s="17" t="n">
        <v>1</v>
      </c>
      <c r="V847" s="17" t="n">
        <v>0</v>
      </c>
      <c r="W847" s="17" t="n">
        <v>0</v>
      </c>
      <c r="X847" s="17" t="n">
        <v>0</v>
      </c>
      <c r="Y847" s="17" t="n">
        <v>1</v>
      </c>
      <c r="Z847" s="17" t="n">
        <v>0</v>
      </c>
      <c r="AA847" s="17" t="n">
        <v>0</v>
      </c>
      <c r="AB847" s="18" t="n">
        <v>0</v>
      </c>
      <c r="AC847" s="16" t="n">
        <v>0</v>
      </c>
      <c r="AD847" s="17" t="n">
        <v>2</v>
      </c>
      <c r="AE847" s="17" t="n">
        <v>2</v>
      </c>
      <c r="AF847" s="17" t="n">
        <v>1</v>
      </c>
      <c r="AG847" s="17" t="n">
        <v>2</v>
      </c>
      <c r="AH847" s="17" t="n">
        <v>2</v>
      </c>
      <c r="AI847" s="17" t="n">
        <v>2</v>
      </c>
      <c r="AJ847" s="17" t="n">
        <v>1</v>
      </c>
      <c r="AK847" s="17" t="n">
        <v>2</v>
      </c>
      <c r="AL847" s="17" t="n">
        <v>2</v>
      </c>
      <c r="AM847" s="18" t="n">
        <v>2</v>
      </c>
      <c r="AN847" s="16" t="n">
        <v>1943</v>
      </c>
      <c r="AO847" s="17" t="n">
        <v>0</v>
      </c>
      <c r="AP847" s="17" t="n">
        <v>0</v>
      </c>
      <c r="AQ847" s="17" t="n">
        <v>945</v>
      </c>
      <c r="AR847" s="17" t="n">
        <v>0</v>
      </c>
      <c r="AS847" s="17" t="n">
        <v>0</v>
      </c>
      <c r="AT847" s="17" t="n">
        <v>0</v>
      </c>
      <c r="AU847" s="17" t="n">
        <v>985</v>
      </c>
      <c r="AV847" s="17" t="n">
        <v>0</v>
      </c>
      <c r="AW847" s="17" t="n">
        <v>0</v>
      </c>
      <c r="AX847" s="18" t="n">
        <v>0</v>
      </c>
      <c r="AY847" s="16" t="n">
        <v>1958</v>
      </c>
      <c r="AZ847" s="17" t="n">
        <v>0</v>
      </c>
      <c r="BA847" s="17" t="n">
        <v>0</v>
      </c>
      <c r="BB847" s="17" t="n">
        <v>979</v>
      </c>
      <c r="BC847" s="17" t="n">
        <v>0</v>
      </c>
      <c r="BD847" s="17" t="n">
        <v>0</v>
      </c>
      <c r="BE847" s="17" t="n">
        <v>0</v>
      </c>
      <c r="BF847" s="17" t="n">
        <v>979</v>
      </c>
      <c r="BG847" s="17" t="n">
        <v>0</v>
      </c>
      <c r="BH847" s="17" t="n">
        <v>0</v>
      </c>
      <c r="BI847" s="18" t="n">
        <v>0</v>
      </c>
      <c r="BJ847" s="16" t="n">
        <v>-15</v>
      </c>
      <c r="BK847" s="17" t="n">
        <v>0</v>
      </c>
      <c r="BL847" s="17" t="n">
        <v>0</v>
      </c>
      <c r="BM847" s="17" t="n">
        <v>-34</v>
      </c>
      <c r="BN847" s="17" t="n">
        <v>0</v>
      </c>
      <c r="BO847" s="17" t="n">
        <v>0</v>
      </c>
      <c r="BP847" s="17" t="n">
        <v>0</v>
      </c>
      <c r="BQ847" s="17" t="n">
        <v>6</v>
      </c>
      <c r="BR847" s="17" t="n">
        <v>0</v>
      </c>
      <c r="BS847" s="17" t="n">
        <v>0</v>
      </c>
      <c r="BT847" s="18" t="n">
        <v>0</v>
      </c>
      <c r="BU847" s="17" t="inlineStr">
        <is>
          <t>Branded Drug</t>
        </is>
      </c>
    </row>
    <row r="848" ht="20" customHeight="1">
      <c r="A848" s="15" t="inlineStr">
        <is>
          <t>00002223680</t>
        </is>
      </c>
      <c r="B848" s="15" t="inlineStr">
        <is>
          <t>TRULICITY 3MG/0.5ML INJECTION</t>
        </is>
      </c>
      <c r="C848" s="16" t="n">
        <v>2</v>
      </c>
      <c r="D848" s="16" t="n">
        <v>1</v>
      </c>
      <c r="E848" s="16" t="n">
        <v>1</v>
      </c>
      <c r="F848" s="16" t="n">
        <v>979</v>
      </c>
      <c r="G848" s="16" t="n">
        <v>10</v>
      </c>
      <c r="H848" s="17" t="n">
        <v>0</v>
      </c>
      <c r="I848" s="17" t="n">
        <v>0</v>
      </c>
      <c r="J848" s="17" t="n">
        <v>10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8" t="n">
        <v>0</v>
      </c>
      <c r="R848" s="16" t="n">
        <v>5</v>
      </c>
      <c r="S848" s="17" t="n">
        <v>0</v>
      </c>
      <c r="T848" s="17" t="n">
        <v>0</v>
      </c>
      <c r="U848" s="17" t="n">
        <v>5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8" t="n">
        <v>0</v>
      </c>
      <c r="AC848" s="16" t="n">
        <v>-4</v>
      </c>
      <c r="AD848" s="17" t="n">
        <v>1</v>
      </c>
      <c r="AE848" s="17" t="n">
        <v>1</v>
      </c>
      <c r="AF848" s="17" t="n">
        <v>-4</v>
      </c>
      <c r="AG848" s="17" t="n">
        <v>1</v>
      </c>
      <c r="AH848" s="17" t="n">
        <v>1</v>
      </c>
      <c r="AI848" s="17" t="n">
        <v>1</v>
      </c>
      <c r="AJ848" s="17" t="n">
        <v>1</v>
      </c>
      <c r="AK848" s="17" t="n">
        <v>1</v>
      </c>
      <c r="AL848" s="17" t="n">
        <v>1</v>
      </c>
      <c r="AM848" s="18" t="n">
        <v>1</v>
      </c>
      <c r="AN848" s="16" t="n">
        <v>4743</v>
      </c>
      <c r="AO848" s="17" t="n">
        <v>0</v>
      </c>
      <c r="AP848" s="17" t="n">
        <v>0</v>
      </c>
      <c r="AQ848" s="17" t="n">
        <v>4743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8" t="n">
        <v>0</v>
      </c>
      <c r="AY848" s="16" t="n">
        <v>4895</v>
      </c>
      <c r="AZ848" s="17" t="n">
        <v>0</v>
      </c>
      <c r="BA848" s="17" t="n">
        <v>0</v>
      </c>
      <c r="BB848" s="17" t="n">
        <v>4895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7" t="n">
        <v>0</v>
      </c>
      <c r="BI848" s="18" t="n">
        <v>0</v>
      </c>
      <c r="BJ848" s="16" t="n">
        <v>-152</v>
      </c>
      <c r="BK848" s="17" t="n">
        <v>0</v>
      </c>
      <c r="BL848" s="17" t="n">
        <v>0</v>
      </c>
      <c r="BM848" s="17" t="n">
        <v>-152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7" t="n">
        <v>0</v>
      </c>
      <c r="BT848" s="18" t="n">
        <v>0</v>
      </c>
      <c r="BU848" s="17" t="inlineStr">
        <is>
          <t>Branded Drug</t>
        </is>
      </c>
    </row>
    <row r="849" ht="20" customHeight="1">
      <c r="A849" s="15" t="inlineStr">
        <is>
          <t>00002318280</t>
        </is>
      </c>
      <c r="B849" s="15" t="inlineStr">
        <is>
          <t>TRULICITY 4.5 MG/0.5ML SOLUTION</t>
        </is>
      </c>
      <c r="C849" s="16" t="n">
        <v>2</v>
      </c>
      <c r="D849" s="16" t="n">
        <v>3</v>
      </c>
      <c r="E849" s="16" t="n">
        <v>3</v>
      </c>
      <c r="F849" s="16" t="n">
        <v>979</v>
      </c>
      <c r="G849" s="16" t="n">
        <v>6</v>
      </c>
      <c r="H849" s="17" t="n">
        <v>0</v>
      </c>
      <c r="I849" s="17" t="n">
        <v>0</v>
      </c>
      <c r="J849" s="17" t="n">
        <v>6</v>
      </c>
      <c r="K849" s="17" t="n">
        <v>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8" t="n">
        <v>0</v>
      </c>
      <c r="R849" s="16" t="n">
        <v>3</v>
      </c>
      <c r="S849" s="17" t="n">
        <v>0</v>
      </c>
      <c r="T849" s="17" t="n">
        <v>0</v>
      </c>
      <c r="U849" s="17" t="n">
        <v>3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8" t="n">
        <v>0</v>
      </c>
      <c r="AC849" s="16" t="n">
        <v>0</v>
      </c>
      <c r="AD849" s="17" t="n">
        <v>3</v>
      </c>
      <c r="AE849" s="17" t="n">
        <v>3</v>
      </c>
      <c r="AF849" s="17" t="n">
        <v>0</v>
      </c>
      <c r="AG849" s="17" t="n">
        <v>3</v>
      </c>
      <c r="AH849" s="17" t="n">
        <v>3</v>
      </c>
      <c r="AI849" s="17" t="n">
        <v>3</v>
      </c>
      <c r="AJ849" s="17" t="n">
        <v>3</v>
      </c>
      <c r="AK849" s="17" t="n">
        <v>3</v>
      </c>
      <c r="AL849" s="17" t="n">
        <v>3</v>
      </c>
      <c r="AM849" s="18" t="n">
        <v>3</v>
      </c>
      <c r="AN849" s="16" t="n">
        <v>2827</v>
      </c>
      <c r="AO849" s="17" t="n">
        <v>0</v>
      </c>
      <c r="AP849" s="17" t="n">
        <v>0</v>
      </c>
      <c r="AQ849" s="17" t="n">
        <v>2822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8" t="n">
        <v>0</v>
      </c>
      <c r="AY849" s="16" t="n">
        <v>2937</v>
      </c>
      <c r="AZ849" s="17" t="n">
        <v>0</v>
      </c>
      <c r="BA849" s="17" t="n">
        <v>0</v>
      </c>
      <c r="BB849" s="17" t="n">
        <v>2937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8" t="n">
        <v>0</v>
      </c>
      <c r="BJ849" s="16" t="n">
        <v>-110</v>
      </c>
      <c r="BK849" s="17" t="n">
        <v>0</v>
      </c>
      <c r="BL849" s="17" t="n">
        <v>0</v>
      </c>
      <c r="BM849" s="17" t="n">
        <v>-115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8" t="n">
        <v>0</v>
      </c>
      <c r="BU849" s="17" t="inlineStr">
        <is>
          <t>Branded Drug</t>
        </is>
      </c>
    </row>
    <row r="850" ht="20" customHeight="1">
      <c r="A850" s="15" t="inlineStr">
        <is>
          <t>00023649810</t>
        </is>
      </c>
      <c r="B850" s="15" t="inlineStr">
        <is>
          <t>UBRELVY 50 MG ORAL TABLET</t>
        </is>
      </c>
      <c r="C850" s="16" t="n">
        <v>10</v>
      </c>
      <c r="D850" s="16" t="n">
        <v>2</v>
      </c>
      <c r="E850" s="16" t="n">
        <v>2</v>
      </c>
      <c r="F850" s="16" t="n">
        <v>1108</v>
      </c>
      <c r="G850" s="16" t="n">
        <v>20</v>
      </c>
      <c r="H850" s="17" t="n">
        <v>0</v>
      </c>
      <c r="I850" s="17" t="n">
        <v>0</v>
      </c>
      <c r="J850" s="17" t="n">
        <v>20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8" t="n">
        <v>0</v>
      </c>
      <c r="R850" s="16" t="n">
        <v>2</v>
      </c>
      <c r="S850" s="17" t="n">
        <v>0</v>
      </c>
      <c r="T850" s="17" t="n">
        <v>0</v>
      </c>
      <c r="U850" s="17" t="n">
        <v>2</v>
      </c>
      <c r="V850" s="17" t="n">
        <v>0</v>
      </c>
      <c r="W850" s="17" t="n">
        <v>0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8" t="n">
        <v>0</v>
      </c>
      <c r="AC850" s="16" t="n">
        <v>0</v>
      </c>
      <c r="AD850" s="17" t="n">
        <v>2</v>
      </c>
      <c r="AE850" s="17" t="n">
        <v>2</v>
      </c>
      <c r="AF850" s="17" t="n">
        <v>0</v>
      </c>
      <c r="AG850" s="17" t="n">
        <v>2</v>
      </c>
      <c r="AH850" s="17" t="n">
        <v>2</v>
      </c>
      <c r="AI850" s="17" t="n">
        <v>2</v>
      </c>
      <c r="AJ850" s="17" t="n">
        <v>2</v>
      </c>
      <c r="AK850" s="17" t="n">
        <v>2</v>
      </c>
      <c r="AL850" s="17" t="n">
        <v>2</v>
      </c>
      <c r="AM850" s="18" t="n">
        <v>2</v>
      </c>
      <c r="AN850" s="16" t="n">
        <v>2137</v>
      </c>
      <c r="AO850" s="17" t="n">
        <v>0</v>
      </c>
      <c r="AP850" s="17" t="n">
        <v>0</v>
      </c>
      <c r="AQ850" s="17" t="n">
        <v>2128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8" t="n">
        <v>0</v>
      </c>
      <c r="AY850" s="16" t="n">
        <v>2216</v>
      </c>
      <c r="AZ850" s="17" t="n">
        <v>0</v>
      </c>
      <c r="BA850" s="17" t="n">
        <v>0</v>
      </c>
      <c r="BB850" s="17" t="n">
        <v>2216</v>
      </c>
      <c r="BC850" s="17" t="n">
        <v>0</v>
      </c>
      <c r="BD850" s="17" t="n">
        <v>0</v>
      </c>
      <c r="BE850" s="17" t="n">
        <v>0</v>
      </c>
      <c r="BF850" s="17" t="n">
        <v>0</v>
      </c>
      <c r="BG850" s="17" t="n">
        <v>0</v>
      </c>
      <c r="BH850" s="17" t="n">
        <v>0</v>
      </c>
      <c r="BI850" s="18" t="n">
        <v>0</v>
      </c>
      <c r="BJ850" s="16" t="n">
        <v>-79</v>
      </c>
      <c r="BK850" s="17" t="n">
        <v>0</v>
      </c>
      <c r="BL850" s="17" t="n">
        <v>0</v>
      </c>
      <c r="BM850" s="17" t="n">
        <v>-88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7" t="n">
        <v>0</v>
      </c>
      <c r="BT850" s="18" t="n">
        <v>0</v>
      </c>
      <c r="BU850" s="17" t="inlineStr">
        <is>
          <t>Branded Drug</t>
        </is>
      </c>
    </row>
    <row r="851" ht="20" customHeight="1">
      <c r="A851" s="15" t="inlineStr">
        <is>
          <t>69238154001</t>
        </is>
      </c>
      <c r="B851" s="15" t="inlineStr">
        <is>
          <t>URSODIOL 300MG CAPSULE</t>
        </is>
      </c>
      <c r="C851" s="16" t="n">
        <v>100</v>
      </c>
      <c r="D851" s="16" t="n">
        <v>0</v>
      </c>
      <c r="E851" s="16" t="n">
        <v>0</v>
      </c>
      <c r="F851" s="16" t="n">
        <v>0</v>
      </c>
      <c r="G851" s="16" t="n">
        <v>90</v>
      </c>
      <c r="H851" s="17" t="n">
        <v>0</v>
      </c>
      <c r="I851" s="17" t="n">
        <v>0</v>
      </c>
      <c r="J851" s="17" t="n">
        <v>0</v>
      </c>
      <c r="K851" s="17" t="n">
        <v>90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8" t="n">
        <v>0</v>
      </c>
      <c r="R851" s="16" t="n">
        <v>0.9</v>
      </c>
      <c r="S851" s="17" t="n">
        <v>0</v>
      </c>
      <c r="T851" s="17" t="n">
        <v>0</v>
      </c>
      <c r="U851" s="17" t="n">
        <v>0</v>
      </c>
      <c r="V851" s="17" t="n">
        <v>0.9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8" t="n">
        <v>0</v>
      </c>
      <c r="AC851" s="16" t="n">
        <v>-0.9</v>
      </c>
      <c r="AD851" s="17" t="n">
        <v>0</v>
      </c>
      <c r="AE851" s="17" t="n">
        <v>0</v>
      </c>
      <c r="AF851" s="17" t="n">
        <v>0</v>
      </c>
      <c r="AG851" s="17" t="n">
        <v>-0.9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8" t="n">
        <v>0</v>
      </c>
      <c r="AN851" s="16" t="n">
        <v>68</v>
      </c>
      <c r="AO851" s="17" t="n">
        <v>0</v>
      </c>
      <c r="AP851" s="17" t="n">
        <v>0</v>
      </c>
      <c r="AQ851" s="17" t="n">
        <v>0</v>
      </c>
      <c r="AR851" s="17" t="n">
        <v>68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8" t="n">
        <v>0</v>
      </c>
      <c r="AY851" s="16" t="n">
        <v>0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8" t="n">
        <v>0</v>
      </c>
      <c r="BJ851" s="16" t="n">
        <v>68</v>
      </c>
      <c r="BK851" s="17" t="n">
        <v>0</v>
      </c>
      <c r="BL851" s="17" t="n">
        <v>0</v>
      </c>
      <c r="BM851" s="17" t="n">
        <v>0</v>
      </c>
      <c r="BN851" s="17" t="n">
        <v>68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8" t="n">
        <v>0</v>
      </c>
      <c r="BU851" s="17" t="inlineStr">
        <is>
          <t>Unclassified</t>
        </is>
      </c>
    </row>
    <row r="852" ht="20" customHeight="1">
      <c r="A852" s="15" t="inlineStr">
        <is>
          <t>57237004390</t>
        </is>
      </c>
      <c r="B852" s="15" t="inlineStr">
        <is>
          <t>VALACYCLOVIR 1GM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259</v>
      </c>
      <c r="H852" s="17" t="n">
        <v>0</v>
      </c>
      <c r="I852" s="17" t="n">
        <v>0</v>
      </c>
      <c r="J852" s="17" t="n">
        <v>104</v>
      </c>
      <c r="K852" s="17" t="n">
        <v>20</v>
      </c>
      <c r="L852" s="17" t="n">
        <v>0</v>
      </c>
      <c r="M852" s="17" t="n">
        <v>0</v>
      </c>
      <c r="N852" s="17" t="n">
        <v>135</v>
      </c>
      <c r="O852" s="17" t="n">
        <v>0</v>
      </c>
      <c r="P852" s="17" t="n">
        <v>0</v>
      </c>
      <c r="Q852" s="18" t="n">
        <v>0</v>
      </c>
      <c r="R852" s="16" t="n">
        <v>2.878</v>
      </c>
      <c r="S852" s="17" t="n">
        <v>0</v>
      </c>
      <c r="T852" s="17" t="n">
        <v>0</v>
      </c>
      <c r="U852" s="17" t="n">
        <v>1.156</v>
      </c>
      <c r="V852" s="17" t="n">
        <v>0.222</v>
      </c>
      <c r="W852" s="17" t="n">
        <v>0</v>
      </c>
      <c r="X852" s="17" t="n">
        <v>0</v>
      </c>
      <c r="Y852" s="17" t="n">
        <v>1.5</v>
      </c>
      <c r="Z852" s="17" t="n">
        <v>0</v>
      </c>
      <c r="AA852" s="17" t="n">
        <v>0</v>
      </c>
      <c r="AB852" s="18" t="n">
        <v>0</v>
      </c>
      <c r="AC852" s="16" t="n">
        <v>-2.878</v>
      </c>
      <c r="AD852" s="17" t="n">
        <v>0</v>
      </c>
      <c r="AE852" s="17" t="n">
        <v>0</v>
      </c>
      <c r="AF852" s="17" t="n">
        <v>-1.156</v>
      </c>
      <c r="AG852" s="17" t="n">
        <v>-0.222</v>
      </c>
      <c r="AH852" s="17" t="n">
        <v>0</v>
      </c>
      <c r="AI852" s="17" t="n">
        <v>0</v>
      </c>
      <c r="AJ852" s="17" t="n">
        <v>-1.5</v>
      </c>
      <c r="AK852" s="17" t="n">
        <v>0</v>
      </c>
      <c r="AL852" s="17" t="n">
        <v>0</v>
      </c>
      <c r="AM852" s="18" t="n">
        <v>0</v>
      </c>
      <c r="AN852" s="16" t="n">
        <v>128</v>
      </c>
      <c r="AO852" s="17" t="n">
        <v>0</v>
      </c>
      <c r="AP852" s="17" t="n">
        <v>0</v>
      </c>
      <c r="AQ852" s="17" t="n">
        <v>22</v>
      </c>
      <c r="AR852" s="17" t="n">
        <v>10</v>
      </c>
      <c r="AS852" s="17" t="n">
        <v>0</v>
      </c>
      <c r="AT852" s="17" t="n">
        <v>0</v>
      </c>
      <c r="AU852" s="17" t="n">
        <v>89</v>
      </c>
      <c r="AV852" s="17" t="n">
        <v>0</v>
      </c>
      <c r="AW852" s="17" t="n">
        <v>0</v>
      </c>
      <c r="AX852" s="18" t="n">
        <v>0</v>
      </c>
      <c r="AY852" s="16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7" t="n">
        <v>0</v>
      </c>
      <c r="BI852" s="18" t="n">
        <v>0</v>
      </c>
      <c r="BJ852" s="16" t="n">
        <v>128</v>
      </c>
      <c r="BK852" s="17" t="n">
        <v>0</v>
      </c>
      <c r="BL852" s="17" t="n">
        <v>0</v>
      </c>
      <c r="BM852" s="17" t="n">
        <v>22</v>
      </c>
      <c r="BN852" s="17" t="n">
        <v>10</v>
      </c>
      <c r="BO852" s="17" t="n">
        <v>0</v>
      </c>
      <c r="BP852" s="17" t="n">
        <v>0</v>
      </c>
      <c r="BQ852" s="17" t="n">
        <v>89</v>
      </c>
      <c r="BR852" s="17" t="n">
        <v>0</v>
      </c>
      <c r="BS852" s="17" t="n">
        <v>0</v>
      </c>
      <c r="BT852" s="18" t="n">
        <v>0</v>
      </c>
      <c r="BU852" s="17" t="inlineStr">
        <is>
          <t>Unclassified</t>
        </is>
      </c>
    </row>
    <row r="853" ht="20" customHeight="1">
      <c r="A853" s="15" t="inlineStr">
        <is>
          <t>57237004230</t>
        </is>
      </c>
      <c r="B853" s="15" t="inlineStr">
        <is>
          <t>VALACYCLOVIR 500MG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66</v>
      </c>
      <c r="H853" s="17" t="n">
        <v>0</v>
      </c>
      <c r="I853" s="17" t="n">
        <v>0</v>
      </c>
      <c r="J853" s="17" t="n">
        <v>6</v>
      </c>
      <c r="K853" s="17" t="n">
        <v>0</v>
      </c>
      <c r="L853" s="17" t="n">
        <v>0</v>
      </c>
      <c r="M853" s="17" t="n">
        <v>0</v>
      </c>
      <c r="N853" s="17" t="n">
        <v>30</v>
      </c>
      <c r="O853" s="17" t="n">
        <v>30</v>
      </c>
      <c r="P853" s="17" t="n">
        <v>0</v>
      </c>
      <c r="Q853" s="18" t="n">
        <v>0</v>
      </c>
      <c r="R853" s="16" t="n">
        <v>2.2</v>
      </c>
      <c r="S853" s="17" t="n">
        <v>0</v>
      </c>
      <c r="T853" s="17" t="n">
        <v>0</v>
      </c>
      <c r="U853" s="17" t="n">
        <v>0.2</v>
      </c>
      <c r="V853" s="17" t="n">
        <v>0</v>
      </c>
      <c r="W853" s="17" t="n">
        <v>0</v>
      </c>
      <c r="X853" s="17" t="n">
        <v>0</v>
      </c>
      <c r="Y853" s="17" t="n">
        <v>1</v>
      </c>
      <c r="Z853" s="17" t="n">
        <v>1</v>
      </c>
      <c r="AA853" s="17" t="n">
        <v>0</v>
      </c>
      <c r="AB853" s="18" t="n">
        <v>0</v>
      </c>
      <c r="AC853" s="16" t="n">
        <v>-2.2</v>
      </c>
      <c r="AD853" s="17" t="n">
        <v>0</v>
      </c>
      <c r="AE853" s="17" t="n">
        <v>0</v>
      </c>
      <c r="AF853" s="17" t="n">
        <v>-0.2</v>
      </c>
      <c r="AG853" s="17" t="n">
        <v>0</v>
      </c>
      <c r="AH853" s="17" t="n">
        <v>0</v>
      </c>
      <c r="AI853" s="17" t="n">
        <v>0</v>
      </c>
      <c r="AJ853" s="17" t="n">
        <v>-1</v>
      </c>
      <c r="AK853" s="17" t="n">
        <v>-1</v>
      </c>
      <c r="AL853" s="17" t="n">
        <v>0</v>
      </c>
      <c r="AM853" s="18" t="n">
        <v>0</v>
      </c>
      <c r="AN853" s="16" t="n">
        <v>46</v>
      </c>
      <c r="AO853" s="17" t="n">
        <v>0</v>
      </c>
      <c r="AP853" s="17" t="n">
        <v>0</v>
      </c>
      <c r="AQ853" s="17" t="n">
        <v>1</v>
      </c>
      <c r="AR853" s="17" t="n">
        <v>0</v>
      </c>
      <c r="AS853" s="17" t="n">
        <v>0</v>
      </c>
      <c r="AT853" s="17" t="n">
        <v>0</v>
      </c>
      <c r="AU853" s="17" t="n">
        <v>37</v>
      </c>
      <c r="AV853" s="17" t="n">
        <v>8</v>
      </c>
      <c r="AW853" s="17" t="n">
        <v>0</v>
      </c>
      <c r="AX853" s="18" t="n">
        <v>0</v>
      </c>
      <c r="AY853" s="16" t="n">
        <v>0</v>
      </c>
      <c r="AZ853" s="17" t="n">
        <v>0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8" t="n">
        <v>0</v>
      </c>
      <c r="BJ853" s="16" t="n">
        <v>46</v>
      </c>
      <c r="BK853" s="17" t="n">
        <v>0</v>
      </c>
      <c r="BL853" s="17" t="n">
        <v>0</v>
      </c>
      <c r="BM853" s="17" t="n">
        <v>1</v>
      </c>
      <c r="BN853" s="17" t="n">
        <v>0</v>
      </c>
      <c r="BO853" s="17" t="n">
        <v>0</v>
      </c>
      <c r="BP853" s="17" t="n">
        <v>0</v>
      </c>
      <c r="BQ853" s="17" t="n">
        <v>37</v>
      </c>
      <c r="BR853" s="17" t="n">
        <v>8</v>
      </c>
      <c r="BS853" s="17" t="n">
        <v>0</v>
      </c>
      <c r="BT853" s="18" t="n">
        <v>0</v>
      </c>
      <c r="BU853" s="17" t="inlineStr">
        <is>
          <t>Unclassified</t>
        </is>
      </c>
    </row>
    <row r="854" ht="20" customHeight="1">
      <c r="A854" s="15" t="inlineStr">
        <is>
          <t>00378581577</t>
        </is>
      </c>
      <c r="B854" s="15" t="inlineStr">
        <is>
          <t>VALSARTAN 320MG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180</v>
      </c>
      <c r="H854" s="17" t="n">
        <v>0</v>
      </c>
      <c r="I854" s="17" t="n">
        <v>0</v>
      </c>
      <c r="J854" s="17" t="n">
        <v>90</v>
      </c>
      <c r="K854" s="17" t="n">
        <v>90</v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8" t="n">
        <v>0</v>
      </c>
      <c r="R854" s="16" t="n">
        <v>2</v>
      </c>
      <c r="S854" s="17" t="n">
        <v>0</v>
      </c>
      <c r="T854" s="17" t="n">
        <v>0</v>
      </c>
      <c r="U854" s="17" t="n">
        <v>1</v>
      </c>
      <c r="V854" s="17" t="n">
        <v>1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8" t="n">
        <v>0</v>
      </c>
      <c r="AC854" s="16" t="n">
        <v>-2</v>
      </c>
      <c r="AD854" s="17" t="n">
        <v>0</v>
      </c>
      <c r="AE854" s="17" t="n">
        <v>0</v>
      </c>
      <c r="AF854" s="17" t="n">
        <v>-1</v>
      </c>
      <c r="AG854" s="17" t="n">
        <v>-1</v>
      </c>
      <c r="AH854" s="17" t="n">
        <v>0</v>
      </c>
      <c r="AI854" s="17" t="n">
        <v>0</v>
      </c>
      <c r="AJ854" s="17" t="n">
        <v>0</v>
      </c>
      <c r="AK854" s="17" t="n">
        <v>0</v>
      </c>
      <c r="AL854" s="17" t="n">
        <v>0</v>
      </c>
      <c r="AM854" s="18" t="n">
        <v>0</v>
      </c>
      <c r="AN854" s="16" t="n">
        <v>59</v>
      </c>
      <c r="AO854" s="17" t="n">
        <v>0</v>
      </c>
      <c r="AP854" s="17" t="n">
        <v>0</v>
      </c>
      <c r="AQ854" s="17" t="n">
        <v>30</v>
      </c>
      <c r="AR854" s="17" t="n">
        <v>27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8" t="n">
        <v>0</v>
      </c>
      <c r="AY854" s="16" t="n">
        <v>0</v>
      </c>
      <c r="AZ854" s="17" t="n">
        <v>0</v>
      </c>
      <c r="BA854" s="17" t="n">
        <v>0</v>
      </c>
      <c r="BB854" s="17" t="n">
        <v>0</v>
      </c>
      <c r="BC854" s="17" t="n">
        <v>0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7" t="n">
        <v>0</v>
      </c>
      <c r="BI854" s="18" t="n">
        <v>0</v>
      </c>
      <c r="BJ854" s="16" t="n">
        <v>59</v>
      </c>
      <c r="BK854" s="17" t="n">
        <v>0</v>
      </c>
      <c r="BL854" s="17" t="n">
        <v>0</v>
      </c>
      <c r="BM854" s="17" t="n">
        <v>30</v>
      </c>
      <c r="BN854" s="17" t="n">
        <v>27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7" t="n">
        <v>0</v>
      </c>
      <c r="BT854" s="18" t="n">
        <v>0</v>
      </c>
      <c r="BU854" s="17" t="inlineStr">
        <is>
          <t>Unclassified</t>
        </is>
      </c>
    </row>
    <row r="855" ht="20" customHeight="1">
      <c r="A855" s="15" t="inlineStr">
        <is>
          <t>55111073130</t>
        </is>
      </c>
      <c r="B855" s="15" t="inlineStr">
        <is>
          <t>VALSARTAN 40MG TABLET</t>
        </is>
      </c>
      <c r="C855" s="16" t="n">
        <v>30</v>
      </c>
      <c r="D855" s="16" t="n">
        <v>0</v>
      </c>
      <c r="E855" s="16" t="n">
        <v>0</v>
      </c>
      <c r="F855" s="16" t="n">
        <v>0</v>
      </c>
      <c r="G855" s="16" t="n">
        <v>90</v>
      </c>
      <c r="H855" s="17" t="n">
        <v>0</v>
      </c>
      <c r="I855" s="17" t="n">
        <v>0</v>
      </c>
      <c r="J855" s="17" t="n">
        <v>90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8" t="n">
        <v>0</v>
      </c>
      <c r="R855" s="16" t="n">
        <v>3</v>
      </c>
      <c r="S855" s="17" t="n">
        <v>0</v>
      </c>
      <c r="T855" s="17" t="n">
        <v>0</v>
      </c>
      <c r="U855" s="17" t="n">
        <v>3</v>
      </c>
      <c r="V855" s="17" t="n">
        <v>0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8" t="n">
        <v>0</v>
      </c>
      <c r="AC855" s="16" t="n">
        <v>-3</v>
      </c>
      <c r="AD855" s="17" t="n">
        <v>0</v>
      </c>
      <c r="AE855" s="17" t="n">
        <v>0</v>
      </c>
      <c r="AF855" s="17" t="n">
        <v>-3</v>
      </c>
      <c r="AG855" s="17" t="n">
        <v>0</v>
      </c>
      <c r="AH855" s="17" t="n">
        <v>0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8" t="n">
        <v>0</v>
      </c>
      <c r="AN855" s="16" t="n">
        <v>30</v>
      </c>
      <c r="AO855" s="17" t="n">
        <v>0</v>
      </c>
      <c r="AP855" s="17" t="n">
        <v>0</v>
      </c>
      <c r="AQ855" s="17" t="n">
        <v>30</v>
      </c>
      <c r="AR855" s="17" t="n">
        <v>0</v>
      </c>
      <c r="AS855" s="17" t="n">
        <v>0</v>
      </c>
      <c r="AT855" s="17" t="n">
        <v>0</v>
      </c>
      <c r="AU855" s="17" t="n">
        <v>0</v>
      </c>
      <c r="AV855" s="17" t="n">
        <v>0</v>
      </c>
      <c r="AW855" s="17" t="n">
        <v>0</v>
      </c>
      <c r="AX855" s="18" t="n">
        <v>0</v>
      </c>
      <c r="AY855" s="16" t="n">
        <v>0</v>
      </c>
      <c r="AZ855" s="17" t="n">
        <v>0</v>
      </c>
      <c r="BA855" s="17" t="n">
        <v>0</v>
      </c>
      <c r="BB855" s="17" t="n">
        <v>0</v>
      </c>
      <c r="BC855" s="17" t="n">
        <v>0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7" t="n">
        <v>0</v>
      </c>
      <c r="BI855" s="18" t="n">
        <v>0</v>
      </c>
      <c r="BJ855" s="16" t="n">
        <v>30</v>
      </c>
      <c r="BK855" s="17" t="n">
        <v>0</v>
      </c>
      <c r="BL855" s="17" t="n">
        <v>0</v>
      </c>
      <c r="BM855" s="17" t="n">
        <v>30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7" t="n">
        <v>0</v>
      </c>
      <c r="BT855" s="18" t="n">
        <v>0</v>
      </c>
      <c r="BU855" s="17" t="inlineStr">
        <is>
          <t>Unclassified</t>
        </is>
      </c>
    </row>
    <row r="856" ht="20" customHeight="1">
      <c r="A856" s="15" t="inlineStr">
        <is>
          <t>00378581377</t>
        </is>
      </c>
      <c r="B856" s="15" t="inlineStr">
        <is>
          <t>VALSARTAN 80MG TABLET</t>
        </is>
      </c>
      <c r="C856" s="16" t="n">
        <v>90</v>
      </c>
      <c r="D856" s="16" t="n">
        <v>0</v>
      </c>
      <c r="E856" s="16" t="n">
        <v>0</v>
      </c>
      <c r="F856" s="16" t="n">
        <v>0</v>
      </c>
      <c r="G856" s="16" t="n">
        <v>150</v>
      </c>
      <c r="H856" s="17" t="n">
        <v>0</v>
      </c>
      <c r="I856" s="17" t="n">
        <v>0</v>
      </c>
      <c r="J856" s="17" t="n">
        <v>90</v>
      </c>
      <c r="K856" s="17" t="n">
        <v>60</v>
      </c>
      <c r="L856" s="17" t="n">
        <v>0</v>
      </c>
      <c r="M856" s="17" t="n">
        <v>0</v>
      </c>
      <c r="N856" s="17" t="n">
        <v>0</v>
      </c>
      <c r="O856" s="17" t="n">
        <v>0</v>
      </c>
      <c r="P856" s="17" t="n">
        <v>0</v>
      </c>
      <c r="Q856" s="18" t="n">
        <v>0</v>
      </c>
      <c r="R856" s="16" t="n">
        <v>1.667</v>
      </c>
      <c r="S856" s="17" t="n">
        <v>0</v>
      </c>
      <c r="T856" s="17" t="n">
        <v>0</v>
      </c>
      <c r="U856" s="17" t="n">
        <v>1</v>
      </c>
      <c r="V856" s="17" t="n">
        <v>0.667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8" t="n">
        <v>0</v>
      </c>
      <c r="AC856" s="16" t="n">
        <v>-1.667</v>
      </c>
      <c r="AD856" s="17" t="n">
        <v>0</v>
      </c>
      <c r="AE856" s="17" t="n">
        <v>0</v>
      </c>
      <c r="AF856" s="17" t="n">
        <v>-1</v>
      </c>
      <c r="AG856" s="17" t="n">
        <v>-0.667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8" t="n">
        <v>0</v>
      </c>
      <c r="AN856" s="16" t="n">
        <v>37</v>
      </c>
      <c r="AO856" s="17" t="n">
        <v>0</v>
      </c>
      <c r="AP856" s="17" t="n">
        <v>0</v>
      </c>
      <c r="AQ856" s="17" t="n">
        <v>23</v>
      </c>
      <c r="AR856" s="17" t="n">
        <v>14</v>
      </c>
      <c r="AS856" s="17" t="n">
        <v>0</v>
      </c>
      <c r="AT856" s="17" t="n">
        <v>0</v>
      </c>
      <c r="AU856" s="17" t="n">
        <v>0</v>
      </c>
      <c r="AV856" s="17" t="n">
        <v>0</v>
      </c>
      <c r="AW856" s="17" t="n">
        <v>0</v>
      </c>
      <c r="AX856" s="18" t="n">
        <v>0</v>
      </c>
      <c r="AY856" s="16" t="n">
        <v>0</v>
      </c>
      <c r="AZ856" s="17" t="n">
        <v>0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0</v>
      </c>
      <c r="BF856" s="17" t="n">
        <v>0</v>
      </c>
      <c r="BG856" s="17" t="n">
        <v>0</v>
      </c>
      <c r="BH856" s="17" t="n">
        <v>0</v>
      </c>
      <c r="BI856" s="18" t="n">
        <v>0</v>
      </c>
      <c r="BJ856" s="16" t="n">
        <v>37</v>
      </c>
      <c r="BK856" s="17" t="n">
        <v>0</v>
      </c>
      <c r="BL856" s="17" t="n">
        <v>0</v>
      </c>
      <c r="BM856" s="17" t="n">
        <v>23</v>
      </c>
      <c r="BN856" s="17" t="n">
        <v>14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7" t="n">
        <v>0</v>
      </c>
      <c r="BT856" s="18" t="n">
        <v>0</v>
      </c>
      <c r="BU856" s="17" t="inlineStr">
        <is>
          <t>Unclassified</t>
        </is>
      </c>
    </row>
    <row r="857" ht="20" customHeight="1">
      <c r="A857" s="15" t="inlineStr">
        <is>
          <t>00378632377</t>
        </is>
      </c>
      <c r="B857" s="15" t="inlineStr">
        <is>
          <t>VALSARTAN-HCTZ 160-25MG TABLET</t>
        </is>
      </c>
      <c r="C857" s="16" t="n">
        <v>90</v>
      </c>
      <c r="D857" s="16" t="n">
        <v>2</v>
      </c>
      <c r="E857" s="16" t="n">
        <v>2</v>
      </c>
      <c r="F857" s="16" t="n">
        <v>12</v>
      </c>
      <c r="G857" s="16" t="n">
        <v>120</v>
      </c>
      <c r="H857" s="17" t="n">
        <v>0</v>
      </c>
      <c r="I857" s="17" t="n">
        <v>0</v>
      </c>
      <c r="J857" s="17" t="n">
        <v>90</v>
      </c>
      <c r="K857" s="17" t="n">
        <v>30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8" t="n">
        <v>0</v>
      </c>
      <c r="R857" s="16" t="n">
        <v>1.333</v>
      </c>
      <c r="S857" s="17" t="n">
        <v>0</v>
      </c>
      <c r="T857" s="17" t="n">
        <v>0</v>
      </c>
      <c r="U857" s="17" t="n">
        <v>1</v>
      </c>
      <c r="V857" s="17" t="n">
        <v>0.333</v>
      </c>
      <c r="W857" s="17" t="n">
        <v>0</v>
      </c>
      <c r="X857" s="17" t="n">
        <v>0</v>
      </c>
      <c r="Y857" s="17" t="n">
        <v>0</v>
      </c>
      <c r="Z857" s="17" t="n">
        <v>0</v>
      </c>
      <c r="AA857" s="17" t="n">
        <v>0</v>
      </c>
      <c r="AB857" s="18" t="n">
        <v>0</v>
      </c>
      <c r="AC857" s="16" t="n">
        <v>0.667</v>
      </c>
      <c r="AD857" s="17" t="n">
        <v>2</v>
      </c>
      <c r="AE857" s="17" t="n">
        <v>2</v>
      </c>
      <c r="AF857" s="17" t="n">
        <v>1</v>
      </c>
      <c r="AG857" s="17" t="n">
        <v>1.667</v>
      </c>
      <c r="AH857" s="17" t="n">
        <v>2</v>
      </c>
      <c r="AI857" s="17" t="n">
        <v>2</v>
      </c>
      <c r="AJ857" s="17" t="n">
        <v>2</v>
      </c>
      <c r="AK857" s="17" t="n">
        <v>2</v>
      </c>
      <c r="AL857" s="17" t="n">
        <v>2</v>
      </c>
      <c r="AM857" s="18" t="n">
        <v>2</v>
      </c>
      <c r="AN857" s="16" t="n">
        <v>23</v>
      </c>
      <c r="AO857" s="17" t="n">
        <v>0</v>
      </c>
      <c r="AP857" s="17" t="n">
        <v>0</v>
      </c>
      <c r="AQ857" s="17" t="n">
        <v>16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8" t="n">
        <v>0</v>
      </c>
      <c r="AY857" s="16" t="n">
        <v>16</v>
      </c>
      <c r="AZ857" s="17" t="n">
        <v>0</v>
      </c>
      <c r="BA857" s="17" t="n">
        <v>0</v>
      </c>
      <c r="BB857" s="17" t="n">
        <v>12</v>
      </c>
      <c r="BC857" s="17" t="n">
        <v>4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8" t="n">
        <v>0</v>
      </c>
      <c r="BJ857" s="16" t="n">
        <v>7</v>
      </c>
      <c r="BK857" s="17" t="n">
        <v>0</v>
      </c>
      <c r="BL857" s="17" t="n">
        <v>0</v>
      </c>
      <c r="BM857" s="17" t="n">
        <v>4</v>
      </c>
      <c r="BN857" s="17" t="n">
        <v>-4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8" t="n">
        <v>0</v>
      </c>
      <c r="BU857" s="17" t="inlineStr">
        <is>
          <t>Generic Drug</t>
        </is>
      </c>
    </row>
    <row r="858" ht="20" customHeight="1">
      <c r="A858" s="15" t="inlineStr">
        <is>
          <t>00378632177</t>
        </is>
      </c>
      <c r="B858" s="15" t="inlineStr">
        <is>
          <t>VALSARTAN-HYDROCHLOROTHIAZIDE 80-12.5 MG ORAL TABLET</t>
        </is>
      </c>
      <c r="C858" s="16" t="n">
        <v>90</v>
      </c>
      <c r="D858" s="16" t="n">
        <v>2</v>
      </c>
      <c r="E858" s="16" t="n">
        <v>2</v>
      </c>
      <c r="F858" s="16" t="n">
        <v>9</v>
      </c>
      <c r="G858" s="16" t="n">
        <v>90</v>
      </c>
      <c r="H858" s="17" t="n">
        <v>0</v>
      </c>
      <c r="I858" s="17" t="n">
        <v>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90</v>
      </c>
      <c r="O858" s="17" t="n">
        <v>0</v>
      </c>
      <c r="P858" s="17" t="n">
        <v>0</v>
      </c>
      <c r="Q858" s="18" t="n">
        <v>0</v>
      </c>
      <c r="R858" s="16" t="n">
        <v>1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7" t="n">
        <v>0</v>
      </c>
      <c r="Y858" s="17" t="n">
        <v>1</v>
      </c>
      <c r="Z858" s="17" t="n">
        <v>0</v>
      </c>
      <c r="AA858" s="17" t="n">
        <v>0</v>
      </c>
      <c r="AB858" s="18" t="n">
        <v>0</v>
      </c>
      <c r="AC858" s="16" t="n">
        <v>1</v>
      </c>
      <c r="AD858" s="17" t="n">
        <v>2</v>
      </c>
      <c r="AE858" s="17" t="n">
        <v>2</v>
      </c>
      <c r="AF858" s="17" t="n">
        <v>2</v>
      </c>
      <c r="AG858" s="17" t="n">
        <v>2</v>
      </c>
      <c r="AH858" s="17" t="n">
        <v>2</v>
      </c>
      <c r="AI858" s="17" t="n">
        <v>2</v>
      </c>
      <c r="AJ858" s="17" t="n">
        <v>1</v>
      </c>
      <c r="AK858" s="17" t="n">
        <v>2</v>
      </c>
      <c r="AL858" s="17" t="n">
        <v>2</v>
      </c>
      <c r="AM858" s="18" t="n">
        <v>2</v>
      </c>
      <c r="AN858" s="16" t="n">
        <v>23</v>
      </c>
      <c r="AO858" s="17" t="n">
        <v>0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23</v>
      </c>
      <c r="AV858" s="17" t="n">
        <v>0</v>
      </c>
      <c r="AW858" s="17" t="n">
        <v>0</v>
      </c>
      <c r="AX858" s="18" t="n">
        <v>0</v>
      </c>
      <c r="AY858" s="16" t="n">
        <v>9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7" t="n">
        <v>9</v>
      </c>
      <c r="BG858" s="17" t="n">
        <v>0</v>
      </c>
      <c r="BH858" s="17" t="n">
        <v>0</v>
      </c>
      <c r="BI858" s="18" t="n">
        <v>0</v>
      </c>
      <c r="BJ858" s="16" t="n">
        <v>14</v>
      </c>
      <c r="BK858" s="17" t="n">
        <v>0</v>
      </c>
      <c r="BL858" s="17" t="n">
        <v>0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14</v>
      </c>
      <c r="BR858" s="17" t="n">
        <v>0</v>
      </c>
      <c r="BS858" s="17" t="n">
        <v>0</v>
      </c>
      <c r="BT858" s="18" t="n">
        <v>0</v>
      </c>
      <c r="BU858" s="17" t="inlineStr">
        <is>
          <t>Generic Drug</t>
        </is>
      </c>
    </row>
    <row r="859" ht="20" customHeight="1">
      <c r="A859" s="15" t="inlineStr">
        <is>
          <t>52937000340</t>
        </is>
      </c>
      <c r="B859" s="15" t="inlineStr">
        <is>
          <t>VASCEPA 0.5 GM ORAL CAPSULE</t>
        </is>
      </c>
      <c r="C859" s="16" t="n">
        <v>240</v>
      </c>
      <c r="D859" s="16" t="n">
        <v>0</v>
      </c>
      <c r="E859" s="16" t="n">
        <v>0</v>
      </c>
      <c r="F859" s="16" t="n">
        <v>0</v>
      </c>
      <c r="G859" s="16" t="n">
        <v>60</v>
      </c>
      <c r="H859" s="17" t="n">
        <v>0</v>
      </c>
      <c r="I859" s="17" t="n">
        <v>0</v>
      </c>
      <c r="J859" s="17" t="n">
        <v>60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8" t="n">
        <v>0</v>
      </c>
      <c r="R859" s="16" t="n">
        <v>0.25</v>
      </c>
      <c r="S859" s="17" t="n">
        <v>0</v>
      </c>
      <c r="T859" s="17" t="n">
        <v>0</v>
      </c>
      <c r="U859" s="17" t="n">
        <v>0.25</v>
      </c>
      <c r="V859" s="17" t="n">
        <v>0</v>
      </c>
      <c r="W859" s="17" t="n">
        <v>0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8" t="n">
        <v>0</v>
      </c>
      <c r="AC859" s="16" t="n">
        <v>-0.25</v>
      </c>
      <c r="AD859" s="17" t="n">
        <v>0</v>
      </c>
      <c r="AE859" s="17" t="n">
        <v>0</v>
      </c>
      <c r="AF859" s="17" t="n">
        <v>-0.25</v>
      </c>
      <c r="AG859" s="17" t="n">
        <v>0</v>
      </c>
      <c r="AH859" s="17" t="n">
        <v>0</v>
      </c>
      <c r="AI859" s="17" t="n">
        <v>0</v>
      </c>
      <c r="AJ859" s="17" t="n">
        <v>0</v>
      </c>
      <c r="AK859" s="17" t="n">
        <v>0</v>
      </c>
      <c r="AL859" s="17" t="n">
        <v>0</v>
      </c>
      <c r="AM859" s="18" t="n">
        <v>0</v>
      </c>
      <c r="AN859" s="16" t="n">
        <v>99</v>
      </c>
      <c r="AO859" s="17" t="n">
        <v>0</v>
      </c>
      <c r="AP859" s="17" t="n">
        <v>0</v>
      </c>
      <c r="AQ859" s="17" t="n">
        <v>54</v>
      </c>
      <c r="AR859" s="17" t="n">
        <v>0</v>
      </c>
      <c r="AS859" s="17" t="n">
        <v>0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8" t="n">
        <v>0</v>
      </c>
      <c r="AY859" s="16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8" t="n">
        <v>0</v>
      </c>
      <c r="BJ859" s="16" t="n">
        <v>99</v>
      </c>
      <c r="BK859" s="17" t="n">
        <v>0</v>
      </c>
      <c r="BL859" s="17" t="n">
        <v>0</v>
      </c>
      <c r="BM859" s="17" t="n">
        <v>54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8" t="n">
        <v>0</v>
      </c>
      <c r="BU859" s="17" t="inlineStr">
        <is>
          <t>Unclassified</t>
        </is>
      </c>
    </row>
    <row r="860" ht="20" customHeight="1">
      <c r="A860" s="15" t="inlineStr">
        <is>
          <t>52937000120</t>
        </is>
      </c>
      <c r="B860" s="15" t="inlineStr">
        <is>
          <t>VASCEPA 1GM CAPSULE</t>
        </is>
      </c>
      <c r="C860" s="16" t="n">
        <v>120</v>
      </c>
      <c r="D860" s="16" t="n">
        <v>6</v>
      </c>
      <c r="E860" s="16" t="n">
        <v>6</v>
      </c>
      <c r="F860" s="16" t="n">
        <v>345</v>
      </c>
      <c r="G860" s="16" t="n">
        <v>480</v>
      </c>
      <c r="H860" s="17" t="n">
        <v>0</v>
      </c>
      <c r="I860" s="17" t="n">
        <v>0</v>
      </c>
      <c r="J860" s="17" t="n">
        <v>480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8" t="n">
        <v>0</v>
      </c>
      <c r="R860" s="16" t="n">
        <v>4</v>
      </c>
      <c r="S860" s="17" t="n">
        <v>0</v>
      </c>
      <c r="T860" s="17" t="n">
        <v>0</v>
      </c>
      <c r="U860" s="17" t="n">
        <v>4</v>
      </c>
      <c r="V860" s="17" t="n">
        <v>0</v>
      </c>
      <c r="W860" s="17" t="n">
        <v>0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8" t="n">
        <v>0</v>
      </c>
      <c r="AC860" s="16" t="n">
        <v>2</v>
      </c>
      <c r="AD860" s="17" t="n">
        <v>6</v>
      </c>
      <c r="AE860" s="17" t="n">
        <v>6</v>
      </c>
      <c r="AF860" s="17" t="n">
        <v>2</v>
      </c>
      <c r="AG860" s="17" t="n">
        <v>6</v>
      </c>
      <c r="AH860" s="17" t="n">
        <v>6</v>
      </c>
      <c r="AI860" s="17" t="n">
        <v>6</v>
      </c>
      <c r="AJ860" s="17" t="n">
        <v>6</v>
      </c>
      <c r="AK860" s="17" t="n">
        <v>6</v>
      </c>
      <c r="AL860" s="17" t="n">
        <v>6</v>
      </c>
      <c r="AM860" s="18" t="n">
        <v>6</v>
      </c>
      <c r="AN860" s="16" t="n">
        <v>1332</v>
      </c>
      <c r="AO860" s="17" t="n">
        <v>0</v>
      </c>
      <c r="AP860" s="17" t="n">
        <v>0</v>
      </c>
      <c r="AQ860" s="17" t="n">
        <v>1331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8" t="n">
        <v>0</v>
      </c>
      <c r="AY860" s="16" t="n">
        <v>1380</v>
      </c>
      <c r="AZ860" s="17" t="n">
        <v>0</v>
      </c>
      <c r="BA860" s="17" t="n">
        <v>0</v>
      </c>
      <c r="BB860" s="17" t="n">
        <v>1380</v>
      </c>
      <c r="BC860" s="17" t="n">
        <v>0</v>
      </c>
      <c r="BD860" s="17" t="n">
        <v>0</v>
      </c>
      <c r="BE860" s="17" t="n">
        <v>0</v>
      </c>
      <c r="BF860" s="17" t="n">
        <v>0</v>
      </c>
      <c r="BG860" s="17" t="n">
        <v>0</v>
      </c>
      <c r="BH860" s="17" t="n">
        <v>0</v>
      </c>
      <c r="BI860" s="18" t="n">
        <v>0</v>
      </c>
      <c r="BJ860" s="16" t="n">
        <v>-48</v>
      </c>
      <c r="BK860" s="17" t="n">
        <v>0</v>
      </c>
      <c r="BL860" s="17" t="n">
        <v>0</v>
      </c>
      <c r="BM860" s="17" t="n">
        <v>-49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7" t="n">
        <v>0</v>
      </c>
      <c r="BT860" s="18" t="n">
        <v>0</v>
      </c>
      <c r="BU860" s="17" t="inlineStr">
        <is>
          <t>Branded Drug</t>
        </is>
      </c>
    </row>
    <row r="861" ht="20" customHeight="1">
      <c r="A861" s="15" t="inlineStr">
        <is>
          <t>61958230101</t>
        </is>
      </c>
      <c r="B861" s="15" t="inlineStr">
        <is>
          <t>VEMLIDY 25 MG ORAL TABLET</t>
        </is>
      </c>
      <c r="C861" s="16" t="n">
        <v>30</v>
      </c>
      <c r="D861" s="16" t="n">
        <v>1</v>
      </c>
      <c r="E861" s="16" t="n">
        <v>1</v>
      </c>
      <c r="F861" s="16" t="n">
        <v>1572</v>
      </c>
      <c r="G861" s="16" t="n">
        <v>30</v>
      </c>
      <c r="H861" s="17" t="n">
        <v>0</v>
      </c>
      <c r="I861" s="17" t="n">
        <v>0</v>
      </c>
      <c r="J861" s="17" t="n">
        <v>30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8" t="n">
        <v>0</v>
      </c>
      <c r="R861" s="16" t="n">
        <v>1</v>
      </c>
      <c r="S861" s="17" t="n">
        <v>0</v>
      </c>
      <c r="T861" s="17" t="n">
        <v>0</v>
      </c>
      <c r="U861" s="17" t="n">
        <v>1</v>
      </c>
      <c r="V861" s="17" t="n">
        <v>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8" t="n">
        <v>0</v>
      </c>
      <c r="AC861" s="16" t="n">
        <v>0</v>
      </c>
      <c r="AD861" s="17" t="n">
        <v>1</v>
      </c>
      <c r="AE861" s="17" t="n">
        <v>1</v>
      </c>
      <c r="AF861" s="17" t="n">
        <v>0</v>
      </c>
      <c r="AG861" s="17" t="n">
        <v>1</v>
      </c>
      <c r="AH861" s="17" t="n">
        <v>1</v>
      </c>
      <c r="AI861" s="17" t="n">
        <v>1</v>
      </c>
      <c r="AJ861" s="17" t="n">
        <v>1</v>
      </c>
      <c r="AK861" s="17" t="n">
        <v>1</v>
      </c>
      <c r="AL861" s="17" t="n">
        <v>1</v>
      </c>
      <c r="AM861" s="18" t="n">
        <v>1</v>
      </c>
      <c r="AN861" s="16" t="n">
        <v>1538</v>
      </c>
      <c r="AO861" s="17" t="n">
        <v>0</v>
      </c>
      <c r="AP861" s="17" t="n">
        <v>0</v>
      </c>
      <c r="AQ861" s="17" t="n">
        <v>1533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8" t="n">
        <v>0</v>
      </c>
      <c r="AY861" s="16" t="n">
        <v>1572</v>
      </c>
      <c r="AZ861" s="17" t="n">
        <v>0</v>
      </c>
      <c r="BA861" s="17" t="n">
        <v>0</v>
      </c>
      <c r="BB861" s="17" t="n">
        <v>1572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8" t="n">
        <v>0</v>
      </c>
      <c r="BJ861" s="16" t="n">
        <v>-34</v>
      </c>
      <c r="BK861" s="17" t="n">
        <v>0</v>
      </c>
      <c r="BL861" s="17" t="n">
        <v>0</v>
      </c>
      <c r="BM861" s="17" t="n">
        <v>-39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8" t="n">
        <v>0</v>
      </c>
      <c r="BU861" s="17" t="inlineStr">
        <is>
          <t>Branded Drug</t>
        </is>
      </c>
    </row>
    <row r="862" ht="20" customHeight="1">
      <c r="A862" s="15" t="inlineStr">
        <is>
          <t>65862052890</t>
        </is>
      </c>
      <c r="B862" s="15" t="inlineStr">
        <is>
          <t>VENLAFAXINE HCL ER 75 MG CAPSULE</t>
        </is>
      </c>
      <c r="C862" s="16" t="n">
        <v>90</v>
      </c>
      <c r="D862" s="16" t="n">
        <v>0</v>
      </c>
      <c r="E862" s="16" t="n">
        <v>0</v>
      </c>
      <c r="F862" s="16" t="n">
        <v>0</v>
      </c>
      <c r="G862" s="16" t="n">
        <v>90</v>
      </c>
      <c r="H862" s="17" t="n">
        <v>0</v>
      </c>
      <c r="I862" s="17" t="n">
        <v>0</v>
      </c>
      <c r="J862" s="17" t="n">
        <v>30</v>
      </c>
      <c r="K862" s="17" t="n">
        <v>0</v>
      </c>
      <c r="L862" s="17" t="n">
        <v>0</v>
      </c>
      <c r="M862" s="17" t="n">
        <v>0</v>
      </c>
      <c r="N862" s="17" t="n">
        <v>60</v>
      </c>
      <c r="O862" s="17" t="n">
        <v>0</v>
      </c>
      <c r="P862" s="17" t="n">
        <v>0</v>
      </c>
      <c r="Q862" s="18" t="n">
        <v>0</v>
      </c>
      <c r="R862" s="16" t="n">
        <v>1</v>
      </c>
      <c r="S862" s="17" t="n">
        <v>0</v>
      </c>
      <c r="T862" s="17" t="n">
        <v>0</v>
      </c>
      <c r="U862" s="17" t="n">
        <v>0.333</v>
      </c>
      <c r="V862" s="17" t="n">
        <v>0</v>
      </c>
      <c r="W862" s="17" t="n">
        <v>0</v>
      </c>
      <c r="X862" s="17" t="n">
        <v>0</v>
      </c>
      <c r="Y862" s="17" t="n">
        <v>0.667</v>
      </c>
      <c r="Z862" s="17" t="n">
        <v>0</v>
      </c>
      <c r="AA862" s="17" t="n">
        <v>0</v>
      </c>
      <c r="AB862" s="18" t="n">
        <v>0</v>
      </c>
      <c r="AC862" s="16" t="n">
        <v>-1</v>
      </c>
      <c r="AD862" s="17" t="n">
        <v>0</v>
      </c>
      <c r="AE862" s="17" t="n">
        <v>0</v>
      </c>
      <c r="AF862" s="17" t="n">
        <v>-0.333</v>
      </c>
      <c r="AG862" s="17" t="n">
        <v>0</v>
      </c>
      <c r="AH862" s="17" t="n">
        <v>0</v>
      </c>
      <c r="AI862" s="17" t="n">
        <v>0</v>
      </c>
      <c r="AJ862" s="17" t="n">
        <v>-0.667</v>
      </c>
      <c r="AK862" s="17" t="n">
        <v>0</v>
      </c>
      <c r="AL862" s="17" t="n">
        <v>0</v>
      </c>
      <c r="AM862" s="18" t="n">
        <v>0</v>
      </c>
      <c r="AN862" s="16" t="n">
        <v>29</v>
      </c>
      <c r="AO862" s="17" t="n">
        <v>0</v>
      </c>
      <c r="AP862" s="17" t="n">
        <v>0</v>
      </c>
      <c r="AQ862" s="17" t="n">
        <v>3</v>
      </c>
      <c r="AR862" s="17" t="n">
        <v>0</v>
      </c>
      <c r="AS862" s="17" t="n">
        <v>0</v>
      </c>
      <c r="AT862" s="17" t="n">
        <v>0</v>
      </c>
      <c r="AU862" s="17" t="n">
        <v>26</v>
      </c>
      <c r="AV862" s="17" t="n">
        <v>0</v>
      </c>
      <c r="AW862" s="17" t="n">
        <v>0</v>
      </c>
      <c r="AX862" s="18" t="n">
        <v>0</v>
      </c>
      <c r="AY862" s="16" t="n">
        <v>0</v>
      </c>
      <c r="AZ862" s="17" t="n">
        <v>0</v>
      </c>
      <c r="BA862" s="17" t="n">
        <v>0</v>
      </c>
      <c r="BB862" s="17" t="n">
        <v>0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7" t="n">
        <v>0</v>
      </c>
      <c r="BI862" s="18" t="n">
        <v>0</v>
      </c>
      <c r="BJ862" s="16" t="n">
        <v>29</v>
      </c>
      <c r="BK862" s="17" t="n">
        <v>0</v>
      </c>
      <c r="BL862" s="17" t="n">
        <v>0</v>
      </c>
      <c r="BM862" s="17" t="n">
        <v>3</v>
      </c>
      <c r="BN862" s="17" t="n">
        <v>0</v>
      </c>
      <c r="BO862" s="17" t="n">
        <v>0</v>
      </c>
      <c r="BP862" s="17" t="n">
        <v>0</v>
      </c>
      <c r="BQ862" s="17" t="n">
        <v>26</v>
      </c>
      <c r="BR862" s="17" t="n">
        <v>0</v>
      </c>
      <c r="BS862" s="17" t="n">
        <v>0</v>
      </c>
      <c r="BT862" s="18" t="n">
        <v>0</v>
      </c>
      <c r="BU862" s="17" t="inlineStr">
        <is>
          <t>Unclassified</t>
        </is>
      </c>
    </row>
    <row r="863" ht="20" customHeight="1">
      <c r="A863" s="15" t="inlineStr">
        <is>
          <t>68462029201</t>
        </is>
      </c>
      <c r="B863" s="15" t="inlineStr">
        <is>
          <t>VERAPAMIL ER 120MG TABLET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120</v>
      </c>
      <c r="H863" s="17" t="n">
        <v>0</v>
      </c>
      <c r="I863" s="17" t="n">
        <v>0</v>
      </c>
      <c r="J863" s="17" t="n">
        <v>120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8" t="n">
        <v>0</v>
      </c>
      <c r="R863" s="16" t="n">
        <v>1.2</v>
      </c>
      <c r="S863" s="17" t="n">
        <v>0</v>
      </c>
      <c r="T863" s="17" t="n">
        <v>0</v>
      </c>
      <c r="U863" s="17" t="n">
        <v>1.2</v>
      </c>
      <c r="V863" s="17" t="n">
        <v>0</v>
      </c>
      <c r="W863" s="17" t="n">
        <v>0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8" t="n">
        <v>0</v>
      </c>
      <c r="AC863" s="16" t="n">
        <v>-1.2</v>
      </c>
      <c r="AD863" s="17" t="n">
        <v>0</v>
      </c>
      <c r="AE863" s="17" t="n">
        <v>0</v>
      </c>
      <c r="AF863" s="17" t="n">
        <v>-1.2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8" t="n">
        <v>0</v>
      </c>
      <c r="AN863" s="16" t="n">
        <v>20</v>
      </c>
      <c r="AO863" s="17" t="n">
        <v>0</v>
      </c>
      <c r="AP863" s="17" t="n">
        <v>0</v>
      </c>
      <c r="AQ863" s="17" t="n">
        <v>18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8" t="n">
        <v>0</v>
      </c>
      <c r="AY863" s="16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8" t="n">
        <v>0</v>
      </c>
      <c r="BJ863" s="16" t="n">
        <v>20</v>
      </c>
      <c r="BK863" s="17" t="n">
        <v>0</v>
      </c>
      <c r="BL863" s="17" t="n">
        <v>0</v>
      </c>
      <c r="BM863" s="17" t="n">
        <v>18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8" t="n">
        <v>0</v>
      </c>
      <c r="BU863" s="17" t="inlineStr">
        <is>
          <t>Unclassified</t>
        </is>
      </c>
    </row>
    <row r="864" ht="20" customHeight="1">
      <c r="A864" s="15" t="inlineStr">
        <is>
          <t>82667090002</t>
        </is>
      </c>
      <c r="B864" s="15" t="inlineStr">
        <is>
          <t>VEVYE 0.1 % OPHTHALMIC SOLUTION</t>
        </is>
      </c>
      <c r="C864" s="16" t="n">
        <v>2</v>
      </c>
      <c r="D864" s="16" t="n">
        <v>1</v>
      </c>
      <c r="E864" s="16" t="n">
        <v>1</v>
      </c>
      <c r="F864" s="16" t="n">
        <v>749</v>
      </c>
      <c r="G864" s="16" t="n">
        <v>2</v>
      </c>
      <c r="H864" s="17" t="n">
        <v>0</v>
      </c>
      <c r="I864" s="17" t="n">
        <v>0</v>
      </c>
      <c r="J864" s="17" t="n">
        <v>2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8" t="n">
        <v>0</v>
      </c>
      <c r="R864" s="16" t="n">
        <v>1</v>
      </c>
      <c r="S864" s="17" t="n">
        <v>0</v>
      </c>
      <c r="T864" s="17" t="n">
        <v>0</v>
      </c>
      <c r="U864" s="17" t="n">
        <v>1</v>
      </c>
      <c r="V864" s="17" t="n">
        <v>0</v>
      </c>
      <c r="W864" s="17" t="n">
        <v>0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8" t="n">
        <v>0</v>
      </c>
      <c r="AC864" s="16" t="n">
        <v>0</v>
      </c>
      <c r="AD864" s="17" t="n">
        <v>1</v>
      </c>
      <c r="AE864" s="17" t="n">
        <v>1</v>
      </c>
      <c r="AF864" s="17" t="n">
        <v>0</v>
      </c>
      <c r="AG864" s="17" t="n">
        <v>1</v>
      </c>
      <c r="AH864" s="17" t="n">
        <v>1</v>
      </c>
      <c r="AI864" s="17" t="n">
        <v>1</v>
      </c>
      <c r="AJ864" s="17" t="n">
        <v>1</v>
      </c>
      <c r="AK864" s="17" t="n">
        <v>1</v>
      </c>
      <c r="AL864" s="17" t="n">
        <v>1</v>
      </c>
      <c r="AM864" s="18" t="n">
        <v>1</v>
      </c>
      <c r="AN864" s="16" t="n">
        <v>732</v>
      </c>
      <c r="AO864" s="17" t="n">
        <v>0</v>
      </c>
      <c r="AP864" s="17" t="n">
        <v>0</v>
      </c>
      <c r="AQ864" s="17" t="n">
        <v>732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8" t="n">
        <v>0</v>
      </c>
      <c r="AY864" s="16" t="n">
        <v>749</v>
      </c>
      <c r="AZ864" s="17" t="n">
        <v>0</v>
      </c>
      <c r="BA864" s="17" t="n">
        <v>0</v>
      </c>
      <c r="BB864" s="17" t="n">
        <v>749</v>
      </c>
      <c r="BC864" s="17" t="n">
        <v>0</v>
      </c>
      <c r="BD864" s="17" t="n">
        <v>0</v>
      </c>
      <c r="BE864" s="17" t="n">
        <v>0</v>
      </c>
      <c r="BF864" s="17" t="n">
        <v>0</v>
      </c>
      <c r="BG864" s="17" t="n">
        <v>0</v>
      </c>
      <c r="BH864" s="17" t="n">
        <v>0</v>
      </c>
      <c r="BI864" s="18" t="n">
        <v>0</v>
      </c>
      <c r="BJ864" s="16" t="n">
        <v>-17</v>
      </c>
      <c r="BK864" s="17" t="n">
        <v>0</v>
      </c>
      <c r="BL864" s="17" t="n">
        <v>0</v>
      </c>
      <c r="BM864" s="17" t="n">
        <v>-17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7" t="n">
        <v>0</v>
      </c>
      <c r="BT864" s="18" t="n">
        <v>0</v>
      </c>
      <c r="BU864" s="17" t="inlineStr">
        <is>
          <t>Branded Drug</t>
        </is>
      </c>
    </row>
    <row r="865" ht="20" customHeight="1">
      <c r="A865" s="15" t="inlineStr">
        <is>
          <t>00536478701</t>
        </is>
      </c>
      <c r="B865" s="15" t="inlineStr">
        <is>
          <t>VITAMIN B COMPLEX  CAPSULE * NYM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360</v>
      </c>
      <c r="O865" s="17" t="n">
        <v>0</v>
      </c>
      <c r="P865" s="17" t="n">
        <v>0</v>
      </c>
      <c r="Q865" s="18" t="n">
        <v>0</v>
      </c>
      <c r="R865" s="16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3.6</v>
      </c>
      <c r="Z865" s="17" t="n">
        <v>0</v>
      </c>
      <c r="AA865" s="17" t="n">
        <v>0</v>
      </c>
      <c r="AB865" s="18" t="n">
        <v>0</v>
      </c>
      <c r="AC865" s="16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-3.6</v>
      </c>
      <c r="AK865" s="17" t="n">
        <v>0</v>
      </c>
      <c r="AL865" s="17" t="n">
        <v>0</v>
      </c>
      <c r="AM865" s="18" t="n">
        <v>0</v>
      </c>
      <c r="AN865" s="16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26</v>
      </c>
      <c r="AV865" s="17" t="n">
        <v>0</v>
      </c>
      <c r="AW865" s="17" t="n">
        <v>0</v>
      </c>
      <c r="AX865" s="18" t="n">
        <v>0</v>
      </c>
      <c r="AY865" s="16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8" t="n">
        <v>0</v>
      </c>
      <c r="BJ865" s="16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26</v>
      </c>
      <c r="BR865" s="17" t="n">
        <v>0</v>
      </c>
      <c r="BS865" s="17" t="n">
        <v>0</v>
      </c>
      <c r="BT865" s="18" t="n">
        <v>0</v>
      </c>
      <c r="BU865" s="17" t="inlineStr">
        <is>
          <t>Unclassified</t>
        </is>
      </c>
    </row>
    <row r="866" ht="20" customHeight="1">
      <c r="A866" s="15" t="inlineStr">
        <is>
          <t>00536137801</t>
        </is>
      </c>
      <c r="B866" s="15" t="inlineStr">
        <is>
          <t>VITAMIN B COMPLEX CAPSULE</t>
        </is>
      </c>
      <c r="C866" s="16" t="n">
        <v>100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30</v>
      </c>
      <c r="O866" s="17" t="n">
        <v>0</v>
      </c>
      <c r="P866" s="17" t="n">
        <v>0</v>
      </c>
      <c r="Q866" s="18" t="n">
        <v>0</v>
      </c>
      <c r="R866" s="16" t="n">
        <v>0</v>
      </c>
      <c r="S866" s="17" t="n">
        <v>0</v>
      </c>
      <c r="T866" s="17" t="n">
        <v>0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0.3</v>
      </c>
      <c r="Z866" s="17" t="n">
        <v>0</v>
      </c>
      <c r="AA866" s="17" t="n">
        <v>0</v>
      </c>
      <c r="AB866" s="18" t="n">
        <v>0</v>
      </c>
      <c r="AC866" s="16" t="n">
        <v>0</v>
      </c>
      <c r="AD866" s="17" t="n">
        <v>0</v>
      </c>
      <c r="AE866" s="17" t="n">
        <v>0</v>
      </c>
      <c r="AF866" s="17" t="n">
        <v>0</v>
      </c>
      <c r="AG866" s="17" t="n">
        <v>0</v>
      </c>
      <c r="AH866" s="17" t="n">
        <v>0</v>
      </c>
      <c r="AI866" s="17" t="n">
        <v>0</v>
      </c>
      <c r="AJ866" s="17" t="n">
        <v>-0.3</v>
      </c>
      <c r="AK866" s="17" t="n">
        <v>0</v>
      </c>
      <c r="AL866" s="17" t="n">
        <v>0</v>
      </c>
      <c r="AM866" s="18" t="n">
        <v>0</v>
      </c>
      <c r="AN866" s="16" t="n">
        <v>0</v>
      </c>
      <c r="AO866" s="17" t="n">
        <v>0</v>
      </c>
      <c r="AP866" s="17" t="n">
        <v>0</v>
      </c>
      <c r="AQ866" s="17" t="n">
        <v>0</v>
      </c>
      <c r="AR866" s="17" t="n">
        <v>0</v>
      </c>
      <c r="AS866" s="17" t="n">
        <v>0</v>
      </c>
      <c r="AT866" s="17" t="n">
        <v>0</v>
      </c>
      <c r="AU866" s="17" t="n">
        <v>2</v>
      </c>
      <c r="AV866" s="17" t="n">
        <v>0</v>
      </c>
      <c r="AW866" s="17" t="n">
        <v>0</v>
      </c>
      <c r="AX866" s="18" t="n">
        <v>0</v>
      </c>
      <c r="AY866" s="16" t="n">
        <v>0</v>
      </c>
      <c r="AZ866" s="17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0</v>
      </c>
      <c r="BF866" s="17" t="n">
        <v>0</v>
      </c>
      <c r="BG866" s="17" t="n">
        <v>0</v>
      </c>
      <c r="BH866" s="17" t="n">
        <v>0</v>
      </c>
      <c r="BI866" s="18" t="n">
        <v>0</v>
      </c>
      <c r="BJ866" s="16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2</v>
      </c>
      <c r="BR866" s="17" t="n">
        <v>0</v>
      </c>
      <c r="BS866" s="17" t="n">
        <v>0</v>
      </c>
      <c r="BT866" s="18" t="n">
        <v>0</v>
      </c>
      <c r="BU866" s="17" t="inlineStr">
        <is>
          <t>Unclassified</t>
        </is>
      </c>
    </row>
    <row r="867" ht="20" customHeight="1">
      <c r="A867" s="15" t="inlineStr">
        <is>
          <t>80681009800</t>
        </is>
      </c>
      <c r="B867" s="15" t="inlineStr">
        <is>
          <t>VITAMIN B-1 100MG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0</v>
      </c>
      <c r="M867" s="17" t="n">
        <v>0</v>
      </c>
      <c r="N867" s="17" t="n">
        <v>150</v>
      </c>
      <c r="O867" s="17" t="n">
        <v>0</v>
      </c>
      <c r="P867" s="17" t="n">
        <v>0</v>
      </c>
      <c r="Q867" s="18" t="n">
        <v>0</v>
      </c>
      <c r="R867" s="16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0</v>
      </c>
      <c r="Y867" s="17" t="n">
        <v>1.5</v>
      </c>
      <c r="Z867" s="17" t="n">
        <v>0</v>
      </c>
      <c r="AA867" s="17" t="n">
        <v>0</v>
      </c>
      <c r="AB867" s="18" t="n">
        <v>0</v>
      </c>
      <c r="AC867" s="16" t="n">
        <v>0</v>
      </c>
      <c r="AD867" s="17" t="n">
        <v>0</v>
      </c>
      <c r="AE867" s="17" t="n">
        <v>0</v>
      </c>
      <c r="AF867" s="17" t="n">
        <v>0</v>
      </c>
      <c r="AG867" s="17" t="n">
        <v>0</v>
      </c>
      <c r="AH867" s="17" t="n">
        <v>0</v>
      </c>
      <c r="AI867" s="17" t="n">
        <v>0</v>
      </c>
      <c r="AJ867" s="17" t="n">
        <v>-1.5</v>
      </c>
      <c r="AK867" s="17" t="n">
        <v>0</v>
      </c>
      <c r="AL867" s="17" t="n">
        <v>0</v>
      </c>
      <c r="AM867" s="18" t="n">
        <v>0</v>
      </c>
      <c r="AN867" s="16" t="n">
        <v>0</v>
      </c>
      <c r="AO867" s="17" t="n">
        <v>0</v>
      </c>
      <c r="AP867" s="17" t="n">
        <v>0</v>
      </c>
      <c r="AQ867" s="17" t="n">
        <v>0</v>
      </c>
      <c r="AR867" s="17" t="n">
        <v>0</v>
      </c>
      <c r="AS867" s="17" t="n">
        <v>0</v>
      </c>
      <c r="AT867" s="17" t="n">
        <v>0</v>
      </c>
      <c r="AU867" s="17" t="n">
        <v>4</v>
      </c>
      <c r="AV867" s="17" t="n">
        <v>0</v>
      </c>
      <c r="AW867" s="17" t="n">
        <v>0</v>
      </c>
      <c r="AX867" s="18" t="n">
        <v>0</v>
      </c>
      <c r="AY867" s="16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8" t="n">
        <v>0</v>
      </c>
      <c r="BJ867" s="16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4</v>
      </c>
      <c r="BR867" s="17" t="n">
        <v>0</v>
      </c>
      <c r="BS867" s="17" t="n">
        <v>0</v>
      </c>
      <c r="BT867" s="18" t="n">
        <v>0</v>
      </c>
      <c r="BU867" s="17" t="inlineStr">
        <is>
          <t>Unclassified</t>
        </is>
      </c>
    </row>
    <row r="868" ht="20" customHeight="1">
      <c r="A868" s="15" t="inlineStr">
        <is>
          <t>10006070022</t>
        </is>
      </c>
      <c r="B868" s="15" t="inlineStr">
        <is>
          <t>VITAMIN B-12 1000MCG TABLET</t>
        </is>
      </c>
      <c r="C868" s="16" t="n">
        <v>130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30</v>
      </c>
      <c r="K868" s="17" t="n">
        <v>0</v>
      </c>
      <c r="L868" s="17" t="n">
        <v>0</v>
      </c>
      <c r="M868" s="17" t="n">
        <v>0</v>
      </c>
      <c r="N868" s="17" t="n">
        <v>1200</v>
      </c>
      <c r="O868" s="17" t="n">
        <v>0</v>
      </c>
      <c r="P868" s="17" t="n">
        <v>90</v>
      </c>
      <c r="Q868" s="18" t="n">
        <v>0</v>
      </c>
      <c r="R868" s="16" t="n">
        <v>0</v>
      </c>
      <c r="S868" s="17" t="n">
        <v>0</v>
      </c>
      <c r="T868" s="17" t="n">
        <v>0</v>
      </c>
      <c r="U868" s="17" t="n">
        <v>0.231</v>
      </c>
      <c r="V868" s="17" t="n">
        <v>0</v>
      </c>
      <c r="W868" s="17" t="n">
        <v>0</v>
      </c>
      <c r="X868" s="17" t="n">
        <v>0</v>
      </c>
      <c r="Y868" s="17" t="n">
        <v>9.231</v>
      </c>
      <c r="Z868" s="17" t="n">
        <v>0</v>
      </c>
      <c r="AA868" s="17" t="n">
        <v>0.6919999999999999</v>
      </c>
      <c r="AB868" s="18" t="n">
        <v>0</v>
      </c>
      <c r="AC868" s="16" t="n">
        <v>0</v>
      </c>
      <c r="AD868" s="17" t="n">
        <v>0</v>
      </c>
      <c r="AE868" s="17" t="n">
        <v>0</v>
      </c>
      <c r="AF868" s="17" t="n">
        <v>-0.231</v>
      </c>
      <c r="AG868" s="17" t="n">
        <v>0</v>
      </c>
      <c r="AH868" s="17" t="n">
        <v>0</v>
      </c>
      <c r="AI868" s="17" t="n">
        <v>0</v>
      </c>
      <c r="AJ868" s="17" t="n">
        <v>-9.231</v>
      </c>
      <c r="AK868" s="17" t="n">
        <v>0</v>
      </c>
      <c r="AL868" s="17" t="n">
        <v>-0.6919999999999999</v>
      </c>
      <c r="AM868" s="18" t="n">
        <v>0</v>
      </c>
      <c r="AN868" s="16" t="n">
        <v>0</v>
      </c>
      <c r="AO868" s="17" t="n">
        <v>0</v>
      </c>
      <c r="AP868" s="17" t="n">
        <v>0</v>
      </c>
      <c r="AQ868" s="17" t="n">
        <v>0</v>
      </c>
      <c r="AR868" s="17" t="n">
        <v>0</v>
      </c>
      <c r="AS868" s="17" t="n">
        <v>0</v>
      </c>
      <c r="AT868" s="17" t="n">
        <v>0</v>
      </c>
      <c r="AU868" s="17" t="n">
        <v>30</v>
      </c>
      <c r="AV868" s="17" t="n">
        <v>0</v>
      </c>
      <c r="AW868" s="17" t="n">
        <v>0</v>
      </c>
      <c r="AX868" s="18" t="n">
        <v>0</v>
      </c>
      <c r="AY868" s="16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7" t="n">
        <v>0</v>
      </c>
      <c r="BG868" s="17" t="n">
        <v>0</v>
      </c>
      <c r="BH868" s="17" t="n">
        <v>0</v>
      </c>
      <c r="BI868" s="18" t="n">
        <v>0</v>
      </c>
      <c r="BJ868" s="16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30</v>
      </c>
      <c r="BR868" s="17" t="n">
        <v>0</v>
      </c>
      <c r="BS868" s="17" t="n">
        <v>0</v>
      </c>
      <c r="BT868" s="18" t="n">
        <v>0</v>
      </c>
      <c r="BU868" s="17" t="inlineStr">
        <is>
          <t>Unclassified</t>
        </is>
      </c>
    </row>
    <row r="869" ht="20" customHeight="1">
      <c r="A869" s="15" t="inlineStr">
        <is>
          <t>00536440601</t>
        </is>
      </c>
      <c r="B869" s="15" t="inlineStr">
        <is>
          <t>VITAMIN B-6 25 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60</v>
      </c>
      <c r="O869" s="17" t="n">
        <v>0</v>
      </c>
      <c r="P869" s="17" t="n">
        <v>0</v>
      </c>
      <c r="Q869" s="18" t="n">
        <v>0</v>
      </c>
      <c r="R869" s="16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0.6</v>
      </c>
      <c r="Z869" s="17" t="n">
        <v>0</v>
      </c>
      <c r="AA869" s="17" t="n">
        <v>0</v>
      </c>
      <c r="AB869" s="18" t="n">
        <v>0</v>
      </c>
      <c r="AC869" s="16" t="n">
        <v>0</v>
      </c>
      <c r="AD869" s="17" t="n">
        <v>0</v>
      </c>
      <c r="AE869" s="17" t="n">
        <v>0</v>
      </c>
      <c r="AF869" s="17" t="n">
        <v>0</v>
      </c>
      <c r="AG869" s="17" t="n">
        <v>0</v>
      </c>
      <c r="AH869" s="17" t="n">
        <v>0</v>
      </c>
      <c r="AI869" s="17" t="n">
        <v>0</v>
      </c>
      <c r="AJ869" s="17" t="n">
        <v>-0.6</v>
      </c>
      <c r="AK869" s="17" t="n">
        <v>0</v>
      </c>
      <c r="AL869" s="17" t="n">
        <v>0</v>
      </c>
      <c r="AM869" s="18" t="n">
        <v>0</v>
      </c>
      <c r="AN869" s="16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1</v>
      </c>
      <c r="AV869" s="17" t="n">
        <v>0</v>
      </c>
      <c r="AW869" s="17" t="n">
        <v>0</v>
      </c>
      <c r="AX869" s="18" t="n">
        <v>0</v>
      </c>
      <c r="AY869" s="16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8" t="n">
        <v>0</v>
      </c>
      <c r="BJ869" s="16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1</v>
      </c>
      <c r="BR869" s="17" t="n">
        <v>0</v>
      </c>
      <c r="BS869" s="17" t="n">
        <v>0</v>
      </c>
      <c r="BT869" s="18" t="n">
        <v>0</v>
      </c>
      <c r="BU869" s="17" t="inlineStr">
        <is>
          <t>Unclassified</t>
        </is>
      </c>
    </row>
    <row r="870" ht="20" customHeight="1">
      <c r="A870" s="15" t="inlineStr">
        <is>
          <t>10006073016</t>
        </is>
      </c>
      <c r="B870" s="15" t="inlineStr">
        <is>
          <t>VITAMIN B-6 50MG TABLET</t>
        </is>
      </c>
      <c r="C870" s="16" t="n">
        <v>1000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120</v>
      </c>
      <c r="O870" s="17" t="n">
        <v>0</v>
      </c>
      <c r="P870" s="17" t="n">
        <v>0</v>
      </c>
      <c r="Q870" s="18" t="n">
        <v>0</v>
      </c>
      <c r="R870" s="16" t="n">
        <v>0</v>
      </c>
      <c r="S870" s="17" t="n">
        <v>0</v>
      </c>
      <c r="T870" s="17" t="n">
        <v>0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0.12</v>
      </c>
      <c r="Z870" s="17" t="n">
        <v>0</v>
      </c>
      <c r="AA870" s="17" t="n">
        <v>0</v>
      </c>
      <c r="AB870" s="18" t="n">
        <v>0</v>
      </c>
      <c r="AC870" s="16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-0.12</v>
      </c>
      <c r="AK870" s="17" t="n">
        <v>0</v>
      </c>
      <c r="AL870" s="17" t="n">
        <v>0</v>
      </c>
      <c r="AM870" s="18" t="n">
        <v>0</v>
      </c>
      <c r="AN870" s="16" t="n">
        <v>0</v>
      </c>
      <c r="AO870" s="17" t="n">
        <v>0</v>
      </c>
      <c r="AP870" s="17" t="n">
        <v>0</v>
      </c>
      <c r="AQ870" s="17" t="n">
        <v>0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  <c r="AW870" s="17" t="n">
        <v>0</v>
      </c>
      <c r="AX870" s="18" t="n">
        <v>0</v>
      </c>
      <c r="AY870" s="16" t="n">
        <v>0</v>
      </c>
      <c r="AZ870" s="17" t="n">
        <v>0</v>
      </c>
      <c r="BA870" s="17" t="n">
        <v>0</v>
      </c>
      <c r="BB870" s="17" t="n">
        <v>0</v>
      </c>
      <c r="BC870" s="17" t="n">
        <v>0</v>
      </c>
      <c r="BD870" s="17" t="n">
        <v>0</v>
      </c>
      <c r="BE870" s="17" t="n">
        <v>0</v>
      </c>
      <c r="BF870" s="17" t="n">
        <v>0</v>
      </c>
      <c r="BG870" s="17" t="n">
        <v>0</v>
      </c>
      <c r="BH870" s="17" t="n">
        <v>0</v>
      </c>
      <c r="BI870" s="18" t="n">
        <v>0</v>
      </c>
      <c r="BJ870" s="16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2</v>
      </c>
      <c r="BR870" s="17" t="n">
        <v>0</v>
      </c>
      <c r="BS870" s="17" t="n">
        <v>0</v>
      </c>
      <c r="BT870" s="18" t="n">
        <v>0</v>
      </c>
      <c r="BU870" s="17" t="inlineStr">
        <is>
          <t>Unclassified</t>
        </is>
      </c>
    </row>
    <row r="871" ht="20" customHeight="1">
      <c r="A871" s="15" t="inlineStr">
        <is>
          <t>80681016600</t>
        </is>
      </c>
      <c r="B871" s="15" t="inlineStr">
        <is>
          <t>VITAMIN C 1000MG TABLET</t>
        </is>
      </c>
      <c r="C871" s="16" t="n">
        <v>100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60</v>
      </c>
      <c r="O871" s="17" t="n">
        <v>0</v>
      </c>
      <c r="P871" s="17" t="n">
        <v>0</v>
      </c>
      <c r="Q871" s="18" t="n">
        <v>0</v>
      </c>
      <c r="R871" s="16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0.6</v>
      </c>
      <c r="Z871" s="17" t="n">
        <v>0</v>
      </c>
      <c r="AA871" s="17" t="n">
        <v>0</v>
      </c>
      <c r="AB871" s="18" t="n">
        <v>0</v>
      </c>
      <c r="AC871" s="16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-0.6</v>
      </c>
      <c r="AK871" s="17" t="n">
        <v>0</v>
      </c>
      <c r="AL871" s="17" t="n">
        <v>0</v>
      </c>
      <c r="AM871" s="18" t="n">
        <v>0</v>
      </c>
      <c r="AN871" s="16" t="n">
        <v>0</v>
      </c>
      <c r="AO871" s="17" t="n">
        <v>0</v>
      </c>
      <c r="AP871" s="17" t="n">
        <v>0</v>
      </c>
      <c r="AQ871" s="17" t="n">
        <v>0</v>
      </c>
      <c r="AR871" s="17" t="n">
        <v>0</v>
      </c>
      <c r="AS871" s="17" t="n">
        <v>0</v>
      </c>
      <c r="AT871" s="17" t="n">
        <v>0</v>
      </c>
      <c r="AU871" s="17" t="n">
        <v>2</v>
      </c>
      <c r="AV871" s="17" t="n">
        <v>0</v>
      </c>
      <c r="AW871" s="17" t="n">
        <v>0</v>
      </c>
      <c r="AX871" s="18" t="n">
        <v>0</v>
      </c>
      <c r="AY871" s="16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8" t="n">
        <v>0</v>
      </c>
      <c r="BJ871" s="16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2</v>
      </c>
      <c r="BR871" s="17" t="n">
        <v>0</v>
      </c>
      <c r="BS871" s="17" t="n">
        <v>0</v>
      </c>
      <c r="BT871" s="18" t="n">
        <v>0</v>
      </c>
      <c r="BU871" s="17" t="inlineStr">
        <is>
          <t>Unclassified</t>
        </is>
      </c>
    </row>
    <row r="872" ht="20" customHeight="1">
      <c r="A872" s="15" t="inlineStr">
        <is>
          <t>00904052360</t>
        </is>
      </c>
      <c r="B872" s="15" t="inlineStr">
        <is>
          <t>VITAMIN C 500MG TABLET</t>
        </is>
      </c>
      <c r="C872" s="16" t="n">
        <v>100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90</v>
      </c>
      <c r="K872" s="17" t="n">
        <v>0</v>
      </c>
      <c r="L872" s="17" t="n">
        <v>0</v>
      </c>
      <c r="M872" s="17" t="n">
        <v>0</v>
      </c>
      <c r="N872" s="17" t="n">
        <v>285</v>
      </c>
      <c r="O872" s="17" t="n">
        <v>0</v>
      </c>
      <c r="P872" s="17" t="n">
        <v>0</v>
      </c>
      <c r="Q872" s="18" t="n">
        <v>0</v>
      </c>
      <c r="R872" s="16" t="n">
        <v>0</v>
      </c>
      <c r="S872" s="17" t="n">
        <v>0</v>
      </c>
      <c r="T872" s="17" t="n">
        <v>0</v>
      </c>
      <c r="U872" s="17" t="n">
        <v>0.9</v>
      </c>
      <c r="V872" s="17" t="n">
        <v>0</v>
      </c>
      <c r="W872" s="17" t="n">
        <v>0</v>
      </c>
      <c r="X872" s="17" t="n">
        <v>0</v>
      </c>
      <c r="Y872" s="17" t="n">
        <v>2.85</v>
      </c>
      <c r="Z872" s="17" t="n">
        <v>0</v>
      </c>
      <c r="AA872" s="17" t="n">
        <v>0</v>
      </c>
      <c r="AB872" s="18" t="n">
        <v>0</v>
      </c>
      <c r="AC872" s="16" t="n">
        <v>0</v>
      </c>
      <c r="AD872" s="17" t="n">
        <v>0</v>
      </c>
      <c r="AE872" s="17" t="n">
        <v>0</v>
      </c>
      <c r="AF872" s="17" t="n">
        <v>-0.9</v>
      </c>
      <c r="AG872" s="17" t="n">
        <v>0</v>
      </c>
      <c r="AH872" s="17" t="n">
        <v>0</v>
      </c>
      <c r="AI872" s="17" t="n">
        <v>0</v>
      </c>
      <c r="AJ872" s="17" t="n">
        <v>-2.85</v>
      </c>
      <c r="AK872" s="17" t="n">
        <v>0</v>
      </c>
      <c r="AL872" s="17" t="n">
        <v>0</v>
      </c>
      <c r="AM872" s="18" t="n">
        <v>0</v>
      </c>
      <c r="AN872" s="16" t="n">
        <v>0</v>
      </c>
      <c r="AO872" s="17" t="n">
        <v>0</v>
      </c>
      <c r="AP872" s="17" t="n">
        <v>0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5</v>
      </c>
      <c r="AV872" s="17" t="n">
        <v>0</v>
      </c>
      <c r="AW872" s="17" t="n">
        <v>0</v>
      </c>
      <c r="AX872" s="18" t="n">
        <v>0</v>
      </c>
      <c r="AY872" s="16" t="n">
        <v>0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7" t="n">
        <v>0</v>
      </c>
      <c r="BG872" s="17" t="n">
        <v>0</v>
      </c>
      <c r="BH872" s="17" t="n">
        <v>0</v>
      </c>
      <c r="BI872" s="18" t="n">
        <v>0</v>
      </c>
      <c r="BJ872" s="16" t="n">
        <v>0</v>
      </c>
      <c r="BK872" s="17" t="n">
        <v>0</v>
      </c>
      <c r="BL872" s="17" t="n">
        <v>0</v>
      </c>
      <c r="BM872" s="17" t="n">
        <v>1</v>
      </c>
      <c r="BN872" s="17" t="n">
        <v>0</v>
      </c>
      <c r="BO872" s="17" t="n">
        <v>0</v>
      </c>
      <c r="BP872" s="17" t="n">
        <v>0</v>
      </c>
      <c r="BQ872" s="17" t="n">
        <v>5</v>
      </c>
      <c r="BR872" s="17" t="n">
        <v>0</v>
      </c>
      <c r="BS872" s="17" t="n">
        <v>0</v>
      </c>
      <c r="BT872" s="18" t="n">
        <v>0</v>
      </c>
      <c r="BU872" s="17" t="inlineStr">
        <is>
          <t>Unclassified</t>
        </is>
      </c>
    </row>
    <row r="873" ht="20" customHeight="1">
      <c r="A873" s="15" t="inlineStr">
        <is>
          <t>54838000650</t>
        </is>
      </c>
      <c r="B873" s="15" t="inlineStr">
        <is>
          <t>VITAMIN D 10MCG/ML LIQUID</t>
        </is>
      </c>
      <c r="C873" s="16" t="n">
        <v>50</v>
      </c>
      <c r="D873" s="16" t="n">
        <v>0</v>
      </c>
      <c r="E873" s="16" t="n">
        <v>0</v>
      </c>
      <c r="F873" s="16" t="n">
        <v>0</v>
      </c>
      <c r="G873" s="16" t="n">
        <v>0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0</v>
      </c>
      <c r="N873" s="17" t="n">
        <v>350</v>
      </c>
      <c r="O873" s="17" t="n">
        <v>0</v>
      </c>
      <c r="P873" s="17" t="n">
        <v>0</v>
      </c>
      <c r="Q873" s="18" t="n">
        <v>0</v>
      </c>
      <c r="R873" s="16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7</v>
      </c>
      <c r="Z873" s="17" t="n">
        <v>0</v>
      </c>
      <c r="AA873" s="17" t="n">
        <v>0</v>
      </c>
      <c r="AB873" s="18" t="n">
        <v>0</v>
      </c>
      <c r="AC873" s="16" t="n">
        <v>0</v>
      </c>
      <c r="AD873" s="17" t="n">
        <v>0</v>
      </c>
      <c r="AE873" s="17" t="n">
        <v>0</v>
      </c>
      <c r="AF873" s="17" t="n">
        <v>0</v>
      </c>
      <c r="AG873" s="17" t="n">
        <v>0</v>
      </c>
      <c r="AH873" s="17" t="n">
        <v>0</v>
      </c>
      <c r="AI873" s="17" t="n">
        <v>0</v>
      </c>
      <c r="AJ873" s="17" t="n">
        <v>-7</v>
      </c>
      <c r="AK873" s="17" t="n">
        <v>0</v>
      </c>
      <c r="AL873" s="17" t="n">
        <v>0</v>
      </c>
      <c r="AM873" s="18" t="n">
        <v>0</v>
      </c>
      <c r="AN873" s="16" t="n">
        <v>0</v>
      </c>
      <c r="AO873" s="17" t="n">
        <v>0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17</v>
      </c>
      <c r="AV873" s="17" t="n">
        <v>0</v>
      </c>
      <c r="AW873" s="17" t="n">
        <v>0</v>
      </c>
      <c r="AX873" s="18" t="n">
        <v>0</v>
      </c>
      <c r="AY873" s="16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8" t="n">
        <v>0</v>
      </c>
      <c r="BJ873" s="16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17</v>
      </c>
      <c r="BR873" s="17" t="n">
        <v>0</v>
      </c>
      <c r="BS873" s="17" t="n">
        <v>0</v>
      </c>
      <c r="BT873" s="18" t="n">
        <v>0</v>
      </c>
      <c r="BU873" s="17" t="inlineStr">
        <is>
          <t>Unclassified</t>
        </is>
      </c>
    </row>
    <row r="874" ht="20" customHeight="1">
      <c r="A874" s="15" t="inlineStr">
        <is>
          <t>80681013200</t>
        </is>
      </c>
      <c r="B874" s="15" t="inlineStr">
        <is>
          <t>VITAMIN D 2 000 U TABLET</t>
        </is>
      </c>
      <c r="C874" s="16" t="n">
        <v>500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0</v>
      </c>
      <c r="J874" s="17" t="n">
        <v>0</v>
      </c>
      <c r="K874" s="17" t="n">
        <v>30</v>
      </c>
      <c r="L874" s="17" t="n">
        <v>0</v>
      </c>
      <c r="M874" s="17" t="n">
        <v>0</v>
      </c>
      <c r="N874" s="17" t="n">
        <v>510</v>
      </c>
      <c r="O874" s="17" t="n">
        <v>0</v>
      </c>
      <c r="P874" s="17" t="n">
        <v>0</v>
      </c>
      <c r="Q874" s="18" t="n">
        <v>0</v>
      </c>
      <c r="R874" s="16" t="n">
        <v>0</v>
      </c>
      <c r="S874" s="17" t="n">
        <v>0</v>
      </c>
      <c r="T874" s="17" t="n">
        <v>0</v>
      </c>
      <c r="U874" s="17" t="n">
        <v>0</v>
      </c>
      <c r="V874" s="17" t="n">
        <v>0.06</v>
      </c>
      <c r="W874" s="17" t="n">
        <v>0</v>
      </c>
      <c r="X874" s="17" t="n">
        <v>0</v>
      </c>
      <c r="Y874" s="17" t="n">
        <v>1.02</v>
      </c>
      <c r="Z874" s="17" t="n">
        <v>0</v>
      </c>
      <c r="AA874" s="17" t="n">
        <v>0</v>
      </c>
      <c r="AB874" s="18" t="n">
        <v>0</v>
      </c>
      <c r="AC874" s="16" t="n">
        <v>0</v>
      </c>
      <c r="AD874" s="17" t="n">
        <v>0</v>
      </c>
      <c r="AE874" s="17" t="n">
        <v>0</v>
      </c>
      <c r="AF874" s="17" t="n">
        <v>0</v>
      </c>
      <c r="AG874" s="17" t="n">
        <v>-0.06</v>
      </c>
      <c r="AH874" s="17" t="n">
        <v>0</v>
      </c>
      <c r="AI874" s="17" t="n">
        <v>0</v>
      </c>
      <c r="AJ874" s="17" t="n">
        <v>-1.02</v>
      </c>
      <c r="AK874" s="17" t="n">
        <v>0</v>
      </c>
      <c r="AL874" s="17" t="n">
        <v>0</v>
      </c>
      <c r="AM874" s="18" t="n">
        <v>0</v>
      </c>
      <c r="AN874" s="16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13</v>
      </c>
      <c r="AV874" s="17" t="n">
        <v>0</v>
      </c>
      <c r="AW874" s="17" t="n">
        <v>0</v>
      </c>
      <c r="AX874" s="18" t="n">
        <v>0</v>
      </c>
      <c r="AY874" s="16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7" t="n">
        <v>0</v>
      </c>
      <c r="BG874" s="17" t="n">
        <v>0</v>
      </c>
      <c r="BH874" s="17" t="n">
        <v>0</v>
      </c>
      <c r="BI874" s="18" t="n">
        <v>0</v>
      </c>
      <c r="BJ874" s="16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13</v>
      </c>
      <c r="BR874" s="17" t="n">
        <v>0</v>
      </c>
      <c r="BS874" s="17" t="n">
        <v>0</v>
      </c>
      <c r="BT874" s="18" t="n">
        <v>0</v>
      </c>
      <c r="BU874" s="17" t="inlineStr">
        <is>
          <t>Unclassified</t>
        </is>
      </c>
    </row>
    <row r="875" ht="20" customHeight="1">
      <c r="A875" s="15" t="inlineStr">
        <is>
          <t>64380073706</t>
        </is>
      </c>
      <c r="B875" s="15" t="inlineStr">
        <is>
          <t>VITAMIN D 50 000 U CAPSULE</t>
        </is>
      </c>
      <c r="C875" s="16" t="n">
        <v>100</v>
      </c>
      <c r="D875" s="16" t="n">
        <v>2</v>
      </c>
      <c r="E875" s="16" t="n">
        <v>2</v>
      </c>
      <c r="F875" s="16" t="n">
        <v>10</v>
      </c>
      <c r="G875" s="16" t="n">
        <v>314</v>
      </c>
      <c r="H875" s="17" t="n">
        <v>0</v>
      </c>
      <c r="I875" s="17" t="n">
        <v>0</v>
      </c>
      <c r="J875" s="17" t="n">
        <v>88</v>
      </c>
      <c r="K875" s="17" t="n">
        <v>20</v>
      </c>
      <c r="L875" s="17" t="n">
        <v>0</v>
      </c>
      <c r="M875" s="17" t="n">
        <v>0</v>
      </c>
      <c r="N875" s="17" t="n">
        <v>186</v>
      </c>
      <c r="O875" s="17" t="n">
        <v>8</v>
      </c>
      <c r="P875" s="17" t="n">
        <v>12</v>
      </c>
      <c r="Q875" s="18" t="n">
        <v>0</v>
      </c>
      <c r="R875" s="16" t="n">
        <v>3.14</v>
      </c>
      <c r="S875" s="17" t="n">
        <v>0</v>
      </c>
      <c r="T875" s="17" t="n">
        <v>0</v>
      </c>
      <c r="U875" s="17" t="n">
        <v>0.88</v>
      </c>
      <c r="V875" s="17" t="n">
        <v>0.2</v>
      </c>
      <c r="W875" s="17" t="n">
        <v>0</v>
      </c>
      <c r="X875" s="17" t="n">
        <v>0</v>
      </c>
      <c r="Y875" s="17" t="n">
        <v>1.86</v>
      </c>
      <c r="Z875" s="17" t="n">
        <v>0.08</v>
      </c>
      <c r="AA875" s="17" t="n">
        <v>0.12</v>
      </c>
      <c r="AB875" s="18" t="n">
        <v>0</v>
      </c>
      <c r="AC875" s="16" t="n">
        <v>-1.14</v>
      </c>
      <c r="AD875" s="17" t="n">
        <v>2</v>
      </c>
      <c r="AE875" s="17" t="n">
        <v>2</v>
      </c>
      <c r="AF875" s="17" t="n">
        <v>1.12</v>
      </c>
      <c r="AG875" s="17" t="n">
        <v>1.8</v>
      </c>
      <c r="AH875" s="17" t="n">
        <v>2</v>
      </c>
      <c r="AI875" s="17" t="n">
        <v>2</v>
      </c>
      <c r="AJ875" s="17" t="n">
        <v>0.14</v>
      </c>
      <c r="AK875" s="17" t="n">
        <v>1.92</v>
      </c>
      <c r="AL875" s="17" t="n">
        <v>1.88</v>
      </c>
      <c r="AM875" s="18" t="n">
        <v>2</v>
      </c>
      <c r="AN875" s="16" t="n">
        <v>310</v>
      </c>
      <c r="AO875" s="17" t="n">
        <v>0</v>
      </c>
      <c r="AP875" s="17" t="n">
        <v>0</v>
      </c>
      <c r="AQ875" s="17" t="n">
        <v>7</v>
      </c>
      <c r="AR875" s="17" t="n">
        <v>0</v>
      </c>
      <c r="AS875" s="17" t="n">
        <v>0</v>
      </c>
      <c r="AT875" s="17" t="n">
        <v>0</v>
      </c>
      <c r="AU875" s="17" t="n">
        <v>283</v>
      </c>
      <c r="AV875" s="17" t="n">
        <v>3</v>
      </c>
      <c r="AW875" s="17" t="n">
        <v>0</v>
      </c>
      <c r="AX875" s="18" t="n">
        <v>0</v>
      </c>
      <c r="AY875" s="16" t="n">
        <v>31</v>
      </c>
      <c r="AZ875" s="17" t="n">
        <v>0</v>
      </c>
      <c r="BA875" s="17" t="n">
        <v>0</v>
      </c>
      <c r="BB875" s="17" t="n">
        <v>9</v>
      </c>
      <c r="BC875" s="17" t="n">
        <v>2</v>
      </c>
      <c r="BD875" s="17" t="n">
        <v>0</v>
      </c>
      <c r="BE875" s="17" t="n">
        <v>0</v>
      </c>
      <c r="BF875" s="17" t="n">
        <v>19</v>
      </c>
      <c r="BG875" s="17" t="n">
        <v>1</v>
      </c>
      <c r="BH875" s="17" t="n">
        <v>1</v>
      </c>
      <c r="BI875" s="18" t="n">
        <v>0</v>
      </c>
      <c r="BJ875" s="16" t="n">
        <v>279</v>
      </c>
      <c r="BK875" s="17" t="n">
        <v>0</v>
      </c>
      <c r="BL875" s="17" t="n">
        <v>0</v>
      </c>
      <c r="BM875" s="17" t="n">
        <v>-2</v>
      </c>
      <c r="BN875" s="17" t="n">
        <v>-2</v>
      </c>
      <c r="BO875" s="17" t="n">
        <v>0</v>
      </c>
      <c r="BP875" s="17" t="n">
        <v>0</v>
      </c>
      <c r="BQ875" s="17" t="n">
        <v>264</v>
      </c>
      <c r="BR875" s="17" t="n">
        <v>2</v>
      </c>
      <c r="BS875" s="17" t="n">
        <v>-1</v>
      </c>
      <c r="BT875" s="18" t="n">
        <v>0</v>
      </c>
      <c r="BU875" s="17" t="inlineStr">
        <is>
          <t>Generic Drug</t>
        </is>
      </c>
    </row>
    <row r="876" ht="20" customHeight="1">
      <c r="A876" s="15" t="inlineStr">
        <is>
          <t>80681016800</t>
        </is>
      </c>
      <c r="B876" s="15" t="inlineStr">
        <is>
          <t>VITAMIN D3 25MCG (1000 UT) TABLET *NYM</t>
        </is>
      </c>
      <c r="C876" s="16" t="n">
        <v>90</v>
      </c>
      <c r="D876" s="16" t="n">
        <v>0</v>
      </c>
      <c r="E876" s="16" t="n">
        <v>0</v>
      </c>
      <c r="F876" s="16" t="n">
        <v>0</v>
      </c>
      <c r="G876" s="16" t="n">
        <v>0</v>
      </c>
      <c r="H876" s="17" t="n">
        <v>0</v>
      </c>
      <c r="I876" s="17" t="n">
        <v>0</v>
      </c>
      <c r="J876" s="17" t="n">
        <v>30</v>
      </c>
      <c r="K876" s="17" t="n">
        <v>0</v>
      </c>
      <c r="L876" s="17" t="n">
        <v>0</v>
      </c>
      <c r="M876" s="17" t="n">
        <v>0</v>
      </c>
      <c r="N876" s="17" t="n">
        <v>840</v>
      </c>
      <c r="O876" s="17" t="n">
        <v>0</v>
      </c>
      <c r="P876" s="17" t="n">
        <v>0</v>
      </c>
      <c r="Q876" s="18" t="n">
        <v>0</v>
      </c>
      <c r="R876" s="16" t="n">
        <v>0</v>
      </c>
      <c r="S876" s="17" t="n">
        <v>0</v>
      </c>
      <c r="T876" s="17" t="n">
        <v>0</v>
      </c>
      <c r="U876" s="17" t="n">
        <v>0.333</v>
      </c>
      <c r="V876" s="17" t="n">
        <v>0</v>
      </c>
      <c r="W876" s="17" t="n">
        <v>0</v>
      </c>
      <c r="X876" s="17" t="n">
        <v>0</v>
      </c>
      <c r="Y876" s="17" t="n">
        <v>9.333</v>
      </c>
      <c r="Z876" s="17" t="n">
        <v>0</v>
      </c>
      <c r="AA876" s="17" t="n">
        <v>0</v>
      </c>
      <c r="AB876" s="18" t="n">
        <v>0</v>
      </c>
      <c r="AC876" s="16" t="n">
        <v>0</v>
      </c>
      <c r="AD876" s="17" t="n">
        <v>0</v>
      </c>
      <c r="AE876" s="17" t="n">
        <v>0</v>
      </c>
      <c r="AF876" s="17" t="n">
        <v>-0.333</v>
      </c>
      <c r="AG876" s="17" t="n">
        <v>0</v>
      </c>
      <c r="AH876" s="17" t="n">
        <v>0</v>
      </c>
      <c r="AI876" s="17" t="n">
        <v>0</v>
      </c>
      <c r="AJ876" s="17" t="n">
        <v>-9.333</v>
      </c>
      <c r="AK876" s="17" t="n">
        <v>0</v>
      </c>
      <c r="AL876" s="17" t="n">
        <v>0</v>
      </c>
      <c r="AM876" s="18" t="n">
        <v>0</v>
      </c>
      <c r="AN876" s="16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0</v>
      </c>
      <c r="AT876" s="17" t="n">
        <v>0</v>
      </c>
      <c r="AU876" s="17" t="n">
        <v>6</v>
      </c>
      <c r="AV876" s="17" t="n">
        <v>0</v>
      </c>
      <c r="AW876" s="17" t="n">
        <v>0</v>
      </c>
      <c r="AX876" s="18" t="n">
        <v>0</v>
      </c>
      <c r="AY876" s="16" t="n">
        <v>0</v>
      </c>
      <c r="AZ876" s="17" t="n">
        <v>0</v>
      </c>
      <c r="BA876" s="17" t="n">
        <v>0</v>
      </c>
      <c r="BB876" s="17" t="n">
        <v>0</v>
      </c>
      <c r="BC876" s="17" t="n">
        <v>0</v>
      </c>
      <c r="BD876" s="17" t="n">
        <v>0</v>
      </c>
      <c r="BE876" s="17" t="n">
        <v>0</v>
      </c>
      <c r="BF876" s="17" t="n">
        <v>0</v>
      </c>
      <c r="BG876" s="17" t="n">
        <v>0</v>
      </c>
      <c r="BH876" s="17" t="n">
        <v>0</v>
      </c>
      <c r="BI876" s="18" t="n">
        <v>0</v>
      </c>
      <c r="BJ876" s="16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6</v>
      </c>
      <c r="BR876" s="17" t="n">
        <v>0</v>
      </c>
      <c r="BS876" s="17" t="n">
        <v>0</v>
      </c>
      <c r="BT876" s="18" t="n">
        <v>0</v>
      </c>
      <c r="BU876" s="17" t="inlineStr">
        <is>
          <t>Unclassified</t>
        </is>
      </c>
    </row>
    <row r="877" ht="20" customHeight="1">
      <c r="A877" s="15" t="inlineStr">
        <is>
          <t>81520010030</t>
        </is>
      </c>
      <c r="B877" s="15" t="inlineStr">
        <is>
          <t>VOQUEZNA 10 MG ORAL TABLET</t>
        </is>
      </c>
      <c r="C877" s="16" t="n">
        <v>30</v>
      </c>
      <c r="D877" s="16" t="n">
        <v>1</v>
      </c>
      <c r="E877" s="16" t="n">
        <v>1</v>
      </c>
      <c r="F877" s="16" t="n">
        <v>684</v>
      </c>
      <c r="G877" s="16" t="n">
        <v>30</v>
      </c>
      <c r="H877" s="17" t="n">
        <v>0</v>
      </c>
      <c r="I877" s="17" t="n">
        <v>0</v>
      </c>
      <c r="J877" s="17" t="n">
        <v>30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8" t="n">
        <v>0</v>
      </c>
      <c r="R877" s="16" t="n">
        <v>1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8" t="n">
        <v>0</v>
      </c>
      <c r="AC877" s="16" t="n">
        <v>0</v>
      </c>
      <c r="AD877" s="17" t="n">
        <v>1</v>
      </c>
      <c r="AE877" s="17" t="n">
        <v>1</v>
      </c>
      <c r="AF877" s="17" t="n">
        <v>0</v>
      </c>
      <c r="AG877" s="17" t="n">
        <v>1</v>
      </c>
      <c r="AH877" s="17" t="n">
        <v>1</v>
      </c>
      <c r="AI877" s="17" t="n">
        <v>1</v>
      </c>
      <c r="AJ877" s="17" t="n">
        <v>1</v>
      </c>
      <c r="AK877" s="17" t="n">
        <v>1</v>
      </c>
      <c r="AL877" s="17" t="n">
        <v>1</v>
      </c>
      <c r="AM877" s="18" t="n">
        <v>1</v>
      </c>
      <c r="AN877" s="16" t="n">
        <v>669</v>
      </c>
      <c r="AO877" s="17" t="n">
        <v>0</v>
      </c>
      <c r="AP877" s="17" t="n">
        <v>0</v>
      </c>
      <c r="AQ877" s="17" t="n">
        <v>669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0</v>
      </c>
      <c r="AW877" s="17" t="n">
        <v>0</v>
      </c>
      <c r="AX877" s="18" t="n">
        <v>0</v>
      </c>
      <c r="AY877" s="16" t="n">
        <v>684</v>
      </c>
      <c r="AZ877" s="17" t="n">
        <v>0</v>
      </c>
      <c r="BA877" s="17" t="n">
        <v>0</v>
      </c>
      <c r="BB877" s="17" t="n">
        <v>684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8" t="n">
        <v>0</v>
      </c>
      <c r="BJ877" s="16" t="n">
        <v>-15</v>
      </c>
      <c r="BK877" s="17" t="n">
        <v>0</v>
      </c>
      <c r="BL877" s="17" t="n">
        <v>0</v>
      </c>
      <c r="BM877" s="17" t="n">
        <v>-15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8" t="n">
        <v>0</v>
      </c>
      <c r="BU877" s="17" t="inlineStr">
        <is>
          <t>Branded Drug</t>
        </is>
      </c>
    </row>
    <row r="878" ht="20" customHeight="1">
      <c r="A878" s="15" t="inlineStr">
        <is>
          <t>61874011530</t>
        </is>
      </c>
      <c r="B878" s="15" t="inlineStr">
        <is>
          <t>VRAYLAR 1.5MG CAPSULE</t>
        </is>
      </c>
      <c r="C878" s="16" t="n">
        <v>30</v>
      </c>
      <c r="D878" s="16" t="n">
        <v>2</v>
      </c>
      <c r="E878" s="16" t="n">
        <v>2</v>
      </c>
      <c r="F878" s="16" t="n">
        <v>1551</v>
      </c>
      <c r="G878" s="16" t="n">
        <v>120</v>
      </c>
      <c r="H878" s="17" t="n">
        <v>0</v>
      </c>
      <c r="I878" s="17" t="n">
        <v>0</v>
      </c>
      <c r="J878" s="17" t="n">
        <v>0</v>
      </c>
      <c r="K878" s="17" t="n">
        <v>0</v>
      </c>
      <c r="L878" s="17" t="n">
        <v>0</v>
      </c>
      <c r="M878" s="17" t="n">
        <v>30</v>
      </c>
      <c r="N878" s="17" t="n">
        <v>90</v>
      </c>
      <c r="O878" s="17" t="n">
        <v>0</v>
      </c>
      <c r="P878" s="17" t="n">
        <v>0</v>
      </c>
      <c r="Q878" s="18" t="n">
        <v>0</v>
      </c>
      <c r="R878" s="16" t="n">
        <v>4</v>
      </c>
      <c r="S878" s="17" t="n">
        <v>0</v>
      </c>
      <c r="T878" s="17" t="n">
        <v>0</v>
      </c>
      <c r="U878" s="17" t="n">
        <v>0</v>
      </c>
      <c r="V878" s="17" t="n">
        <v>0</v>
      </c>
      <c r="W878" s="17" t="n">
        <v>0</v>
      </c>
      <c r="X878" s="17" t="n">
        <v>1</v>
      </c>
      <c r="Y878" s="17" t="n">
        <v>3</v>
      </c>
      <c r="Z878" s="17" t="n">
        <v>0</v>
      </c>
      <c r="AA878" s="17" t="n">
        <v>0</v>
      </c>
      <c r="AB878" s="18" t="n">
        <v>0</v>
      </c>
      <c r="AC878" s="16" t="n">
        <v>-2</v>
      </c>
      <c r="AD878" s="17" t="n">
        <v>2</v>
      </c>
      <c r="AE878" s="17" t="n">
        <v>2</v>
      </c>
      <c r="AF878" s="17" t="n">
        <v>2</v>
      </c>
      <c r="AG878" s="17" t="n">
        <v>2</v>
      </c>
      <c r="AH878" s="17" t="n">
        <v>2</v>
      </c>
      <c r="AI878" s="17" t="n">
        <v>1</v>
      </c>
      <c r="AJ878" s="17" t="n">
        <v>-1</v>
      </c>
      <c r="AK878" s="17" t="n">
        <v>2</v>
      </c>
      <c r="AL878" s="17" t="n">
        <v>2</v>
      </c>
      <c r="AM878" s="18" t="n">
        <v>2</v>
      </c>
      <c r="AN878" s="16" t="n">
        <v>6129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1507</v>
      </c>
      <c r="AU878" s="17" t="n">
        <v>4617</v>
      </c>
      <c r="AV878" s="17" t="n">
        <v>0</v>
      </c>
      <c r="AW878" s="17" t="n">
        <v>0</v>
      </c>
      <c r="AX878" s="18" t="n">
        <v>0</v>
      </c>
      <c r="AY878" s="16" t="n">
        <v>6204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1551</v>
      </c>
      <c r="BF878" s="17" t="n">
        <v>4653</v>
      </c>
      <c r="BG878" s="17" t="n">
        <v>0</v>
      </c>
      <c r="BH878" s="17" t="n">
        <v>0</v>
      </c>
      <c r="BI878" s="18" t="n">
        <v>0</v>
      </c>
      <c r="BJ878" s="16" t="n">
        <v>-75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-44</v>
      </c>
      <c r="BQ878" s="17" t="n">
        <v>-36</v>
      </c>
      <c r="BR878" s="17" t="n">
        <v>0</v>
      </c>
      <c r="BS878" s="17" t="n">
        <v>0</v>
      </c>
      <c r="BT878" s="18" t="n">
        <v>0</v>
      </c>
      <c r="BU878" s="17" t="inlineStr">
        <is>
          <t>Branded Drug</t>
        </is>
      </c>
    </row>
    <row r="879" ht="20" customHeight="1">
      <c r="A879" s="15" t="inlineStr">
        <is>
          <t>61874013030</t>
        </is>
      </c>
      <c r="B879" s="15" t="inlineStr">
        <is>
          <t>VRAYLAR 3MG CAPSULE</t>
        </is>
      </c>
      <c r="C879" s="16" t="n">
        <v>30</v>
      </c>
      <c r="D879" s="16" t="n">
        <v>1</v>
      </c>
      <c r="E879" s="16" t="n">
        <v>1</v>
      </c>
      <c r="F879" s="16" t="n">
        <v>1551</v>
      </c>
      <c r="G879" s="16" t="n">
        <v>30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30</v>
      </c>
      <c r="O879" s="17" t="n">
        <v>0</v>
      </c>
      <c r="P879" s="17" t="n">
        <v>0</v>
      </c>
      <c r="Q879" s="18" t="n">
        <v>0</v>
      </c>
      <c r="R879" s="16" t="n">
        <v>1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1</v>
      </c>
      <c r="Z879" s="17" t="n">
        <v>0</v>
      </c>
      <c r="AA879" s="17" t="n">
        <v>0</v>
      </c>
      <c r="AB879" s="18" t="n">
        <v>0</v>
      </c>
      <c r="AC879" s="16" t="n">
        <v>0</v>
      </c>
      <c r="AD879" s="17" t="n">
        <v>1</v>
      </c>
      <c r="AE879" s="17" t="n">
        <v>1</v>
      </c>
      <c r="AF879" s="17" t="n">
        <v>1</v>
      </c>
      <c r="AG879" s="17" t="n">
        <v>1</v>
      </c>
      <c r="AH879" s="17" t="n">
        <v>1</v>
      </c>
      <c r="AI879" s="17" t="n">
        <v>1</v>
      </c>
      <c r="AJ879" s="17" t="n">
        <v>0</v>
      </c>
      <c r="AK879" s="17" t="n">
        <v>1</v>
      </c>
      <c r="AL879" s="17" t="n">
        <v>1</v>
      </c>
      <c r="AM879" s="18" t="n">
        <v>1</v>
      </c>
      <c r="AN879" s="16" t="n">
        <v>1539</v>
      </c>
      <c r="AO879" s="17" t="n">
        <v>0</v>
      </c>
      <c r="AP879" s="17" t="n">
        <v>0</v>
      </c>
      <c r="AQ879" s="17" t="n">
        <v>0</v>
      </c>
      <c r="AR879" s="17" t="n">
        <v>0</v>
      </c>
      <c r="AS879" s="17" t="n">
        <v>0</v>
      </c>
      <c r="AT879" s="17" t="n">
        <v>0</v>
      </c>
      <c r="AU879" s="17" t="n">
        <v>1539</v>
      </c>
      <c r="AV879" s="17" t="n">
        <v>0</v>
      </c>
      <c r="AW879" s="17" t="n">
        <v>0</v>
      </c>
      <c r="AX879" s="18" t="n">
        <v>0</v>
      </c>
      <c r="AY879" s="16" t="n">
        <v>1551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1551</v>
      </c>
      <c r="BG879" s="17" t="n">
        <v>0</v>
      </c>
      <c r="BH879" s="17" t="n">
        <v>0</v>
      </c>
      <c r="BI879" s="18" t="n">
        <v>0</v>
      </c>
      <c r="BJ879" s="16" t="n">
        <v>-12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-12</v>
      </c>
      <c r="BR879" s="17" t="n">
        <v>0</v>
      </c>
      <c r="BS879" s="17" t="n">
        <v>0</v>
      </c>
      <c r="BT879" s="18" t="n">
        <v>0</v>
      </c>
      <c r="BU879" s="17" t="inlineStr">
        <is>
          <t>Branded Drug</t>
        </is>
      </c>
    </row>
    <row r="880" ht="20" customHeight="1">
      <c r="A880" s="15" t="inlineStr">
        <is>
          <t>24208050402</t>
        </is>
      </c>
      <c r="B880" s="15" t="inlineStr">
        <is>
          <t>VYZULTA 0.024 % OPHTHALMIC SOLUTION</t>
        </is>
      </c>
      <c r="C880" s="16" t="n">
        <v>2.5</v>
      </c>
      <c r="D880" s="16" t="n">
        <v>0</v>
      </c>
      <c r="E880" s="16" t="n">
        <v>0</v>
      </c>
      <c r="F880" s="16" t="n">
        <v>0</v>
      </c>
      <c r="G880" s="16" t="n">
        <v>12.5</v>
      </c>
      <c r="H880" s="17" t="n">
        <v>0</v>
      </c>
      <c r="I880" s="17" t="n">
        <v>0</v>
      </c>
      <c r="J880" s="17" t="n">
        <v>10</v>
      </c>
      <c r="K880" s="17" t="n">
        <v>0</v>
      </c>
      <c r="L880" s="17" t="n">
        <v>0</v>
      </c>
      <c r="M880" s="17" t="n">
        <v>2.5</v>
      </c>
      <c r="N880" s="17" t="n">
        <v>0</v>
      </c>
      <c r="O880" s="17" t="n">
        <v>0</v>
      </c>
      <c r="P880" s="17" t="n">
        <v>0</v>
      </c>
      <c r="Q880" s="18" t="n">
        <v>0</v>
      </c>
      <c r="R880" s="16" t="n">
        <v>5</v>
      </c>
      <c r="S880" s="17" t="n">
        <v>0</v>
      </c>
      <c r="T880" s="17" t="n">
        <v>0</v>
      </c>
      <c r="U880" s="17" t="n">
        <v>4</v>
      </c>
      <c r="V880" s="17" t="n">
        <v>0</v>
      </c>
      <c r="W880" s="17" t="n">
        <v>0</v>
      </c>
      <c r="X880" s="17" t="n">
        <v>1</v>
      </c>
      <c r="Y880" s="17" t="n">
        <v>0</v>
      </c>
      <c r="Z880" s="17" t="n">
        <v>0</v>
      </c>
      <c r="AA880" s="17" t="n">
        <v>0</v>
      </c>
      <c r="AB880" s="18" t="n">
        <v>0</v>
      </c>
      <c r="AC880" s="16" t="n">
        <v>-5</v>
      </c>
      <c r="AD880" s="17" t="n">
        <v>0</v>
      </c>
      <c r="AE880" s="17" t="n">
        <v>0</v>
      </c>
      <c r="AF880" s="17" t="n">
        <v>-4</v>
      </c>
      <c r="AG880" s="17" t="n">
        <v>0</v>
      </c>
      <c r="AH880" s="17" t="n">
        <v>0</v>
      </c>
      <c r="AI880" s="17" t="n">
        <v>-1</v>
      </c>
      <c r="AJ880" s="17" t="n">
        <v>0</v>
      </c>
      <c r="AK880" s="17" t="n">
        <v>0</v>
      </c>
      <c r="AL880" s="17" t="n">
        <v>0</v>
      </c>
      <c r="AM880" s="18" t="n">
        <v>0</v>
      </c>
      <c r="AN880" s="16" t="n">
        <v>1269</v>
      </c>
      <c r="AO880" s="17" t="n">
        <v>0</v>
      </c>
      <c r="AP880" s="17" t="n">
        <v>0</v>
      </c>
      <c r="AQ880" s="17" t="n">
        <v>1006</v>
      </c>
      <c r="AR880" s="17" t="n">
        <v>0</v>
      </c>
      <c r="AS880" s="17" t="n">
        <v>0</v>
      </c>
      <c r="AT880" s="17" t="n">
        <v>248</v>
      </c>
      <c r="AU880" s="17" t="n">
        <v>0</v>
      </c>
      <c r="AV880" s="17" t="n">
        <v>0</v>
      </c>
      <c r="AW880" s="17" t="n">
        <v>0</v>
      </c>
      <c r="AX880" s="18" t="n">
        <v>0</v>
      </c>
      <c r="AY880" s="16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7" t="n">
        <v>0</v>
      </c>
      <c r="BI880" s="18" t="n">
        <v>0</v>
      </c>
      <c r="BJ880" s="16" t="n">
        <v>1269</v>
      </c>
      <c r="BK880" s="17" t="n">
        <v>0</v>
      </c>
      <c r="BL880" s="17" t="n">
        <v>0</v>
      </c>
      <c r="BM880" s="17" t="n">
        <v>1006</v>
      </c>
      <c r="BN880" s="17" t="n">
        <v>0</v>
      </c>
      <c r="BO880" s="17" t="n">
        <v>0</v>
      </c>
      <c r="BP880" s="17" t="n">
        <v>248</v>
      </c>
      <c r="BQ880" s="17" t="n">
        <v>0</v>
      </c>
      <c r="BR880" s="17" t="n">
        <v>0</v>
      </c>
      <c r="BS880" s="17" t="n">
        <v>0</v>
      </c>
      <c r="BT880" s="18" t="n">
        <v>0</v>
      </c>
      <c r="BU880" s="17" t="inlineStr">
        <is>
          <t>Unclassified</t>
        </is>
      </c>
    </row>
    <row r="881" ht="20" customHeight="1">
      <c r="A881" s="15" t="inlineStr">
        <is>
          <t>00093171401</t>
        </is>
      </c>
      <c r="B881" s="15" t="inlineStr">
        <is>
          <t>WARFARIN 2.5MG TABLET</t>
        </is>
      </c>
      <c r="C881" s="16" t="n">
        <v>100</v>
      </c>
      <c r="D881" s="16" t="n">
        <v>2</v>
      </c>
      <c r="E881" s="16" t="n">
        <v>2</v>
      </c>
      <c r="F881" s="16" t="n">
        <v>9</v>
      </c>
      <c r="G881" s="16" t="n">
        <v>90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90</v>
      </c>
      <c r="O881" s="17" t="n">
        <v>0</v>
      </c>
      <c r="P881" s="17" t="n">
        <v>0</v>
      </c>
      <c r="Q881" s="18" t="n">
        <v>0</v>
      </c>
      <c r="R881" s="16" t="n">
        <v>0.9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0.9</v>
      </c>
      <c r="Z881" s="17" t="n">
        <v>0</v>
      </c>
      <c r="AA881" s="17" t="n">
        <v>0</v>
      </c>
      <c r="AB881" s="18" t="n">
        <v>0</v>
      </c>
      <c r="AC881" s="16" t="n">
        <v>1.1</v>
      </c>
      <c r="AD881" s="17" t="n">
        <v>2</v>
      </c>
      <c r="AE881" s="17" t="n">
        <v>2</v>
      </c>
      <c r="AF881" s="17" t="n">
        <v>2</v>
      </c>
      <c r="AG881" s="17" t="n">
        <v>2</v>
      </c>
      <c r="AH881" s="17" t="n">
        <v>2</v>
      </c>
      <c r="AI881" s="17" t="n">
        <v>2</v>
      </c>
      <c r="AJ881" s="17" t="n">
        <v>1.1</v>
      </c>
      <c r="AK881" s="17" t="n">
        <v>2</v>
      </c>
      <c r="AL881" s="17" t="n">
        <v>2</v>
      </c>
      <c r="AM881" s="18" t="n">
        <v>2</v>
      </c>
      <c r="AN881" s="16" t="n">
        <v>18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18</v>
      </c>
      <c r="AV881" s="17" t="n">
        <v>0</v>
      </c>
      <c r="AW881" s="17" t="n">
        <v>0</v>
      </c>
      <c r="AX881" s="18" t="n">
        <v>0</v>
      </c>
      <c r="AY881" s="16" t="n">
        <v>8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8</v>
      </c>
      <c r="BG881" s="17" t="n">
        <v>0</v>
      </c>
      <c r="BH881" s="17" t="n">
        <v>0</v>
      </c>
      <c r="BI881" s="18" t="n">
        <v>0</v>
      </c>
      <c r="BJ881" s="16" t="n">
        <v>10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10</v>
      </c>
      <c r="BR881" s="17" t="n">
        <v>0</v>
      </c>
      <c r="BS881" s="17" t="n">
        <v>0</v>
      </c>
      <c r="BT881" s="18" t="n">
        <v>0</v>
      </c>
      <c r="BU881" s="17" t="inlineStr">
        <is>
          <t>Generic Drug</t>
        </is>
      </c>
    </row>
    <row r="882" ht="20" customHeight="1">
      <c r="A882" s="15" t="inlineStr">
        <is>
          <t>00093171601</t>
        </is>
      </c>
      <c r="B882" s="15" t="inlineStr">
        <is>
          <t xml:space="preserve">WARFARIN 4MG TAB </t>
        </is>
      </c>
      <c r="C882" s="16" t="n">
        <v>100</v>
      </c>
      <c r="D882" s="16" t="n">
        <v>1</v>
      </c>
      <c r="E882" s="16" t="n">
        <v>1</v>
      </c>
      <c r="F882" s="16" t="n">
        <v>9</v>
      </c>
      <c r="G882" s="16" t="n">
        <v>50</v>
      </c>
      <c r="H882" s="17" t="n">
        <v>0</v>
      </c>
      <c r="I882" s="17" t="n">
        <v>0</v>
      </c>
      <c r="J882" s="17" t="n">
        <v>50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8" t="n">
        <v>0</v>
      </c>
      <c r="R882" s="16" t="n">
        <v>0.5</v>
      </c>
      <c r="S882" s="17" t="n">
        <v>0</v>
      </c>
      <c r="T882" s="17" t="n">
        <v>0</v>
      </c>
      <c r="U882" s="17" t="n">
        <v>0.5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8" t="n">
        <v>0</v>
      </c>
      <c r="AC882" s="16" t="n">
        <v>0.5</v>
      </c>
      <c r="AD882" s="17" t="n">
        <v>1</v>
      </c>
      <c r="AE882" s="17" t="n">
        <v>1</v>
      </c>
      <c r="AF882" s="17" t="n">
        <v>0.5</v>
      </c>
      <c r="AG882" s="17" t="n">
        <v>1</v>
      </c>
      <c r="AH882" s="17" t="n">
        <v>1</v>
      </c>
      <c r="AI882" s="17" t="n">
        <v>1</v>
      </c>
      <c r="AJ882" s="17" t="n">
        <v>1</v>
      </c>
      <c r="AK882" s="17" t="n">
        <v>1</v>
      </c>
      <c r="AL882" s="17" t="n">
        <v>1</v>
      </c>
      <c r="AM882" s="18" t="n">
        <v>1</v>
      </c>
      <c r="AN882" s="16" t="n">
        <v>2</v>
      </c>
      <c r="AO882" s="17" t="n">
        <v>0</v>
      </c>
      <c r="AP882" s="17" t="n">
        <v>0</v>
      </c>
      <c r="AQ882" s="17" t="n">
        <v>2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  <c r="AW882" s="17" t="n">
        <v>0</v>
      </c>
      <c r="AX882" s="18" t="n">
        <v>0</v>
      </c>
      <c r="AY882" s="16" t="n">
        <v>4</v>
      </c>
      <c r="AZ882" s="17" t="n">
        <v>0</v>
      </c>
      <c r="BA882" s="17" t="n">
        <v>0</v>
      </c>
      <c r="BB882" s="17" t="n">
        <v>4</v>
      </c>
      <c r="BC882" s="17" t="n">
        <v>0</v>
      </c>
      <c r="BD882" s="17" t="n">
        <v>0</v>
      </c>
      <c r="BE882" s="17" t="n">
        <v>0</v>
      </c>
      <c r="BF882" s="17" t="n">
        <v>0</v>
      </c>
      <c r="BG882" s="17" t="n">
        <v>0</v>
      </c>
      <c r="BH882" s="17" t="n">
        <v>0</v>
      </c>
      <c r="BI882" s="18" t="n">
        <v>0</v>
      </c>
      <c r="BJ882" s="16" t="n">
        <v>-2</v>
      </c>
      <c r="BK882" s="17" t="n">
        <v>0</v>
      </c>
      <c r="BL882" s="17" t="n">
        <v>0</v>
      </c>
      <c r="BM882" s="17" t="n">
        <v>-2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7" t="n">
        <v>0</v>
      </c>
      <c r="BT882" s="18" t="n">
        <v>0</v>
      </c>
      <c r="BU882" s="17" t="inlineStr">
        <is>
          <t>Generic Drug</t>
        </is>
      </c>
    </row>
    <row r="883" ht="20" customHeight="1">
      <c r="A883" s="15" t="inlineStr">
        <is>
          <t>00093172001</t>
        </is>
      </c>
      <c r="B883" s="15" t="inlineStr">
        <is>
          <t>WARFARIN SODIUM 10 MG ORAL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30</v>
      </c>
      <c r="O883" s="17" t="n">
        <v>0</v>
      </c>
      <c r="P883" s="17" t="n">
        <v>0</v>
      </c>
      <c r="Q883" s="18" t="n">
        <v>0</v>
      </c>
      <c r="R883" s="16" t="n">
        <v>0.3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0</v>
      </c>
      <c r="X883" s="17" t="n">
        <v>0</v>
      </c>
      <c r="Y883" s="17" t="n">
        <v>0.3</v>
      </c>
      <c r="Z883" s="17" t="n">
        <v>0</v>
      </c>
      <c r="AA883" s="17" t="n">
        <v>0</v>
      </c>
      <c r="AB883" s="18" t="n">
        <v>0</v>
      </c>
      <c r="AC883" s="16" t="n">
        <v>-0.3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-0.3</v>
      </c>
      <c r="AK883" s="17" t="n">
        <v>0</v>
      </c>
      <c r="AL883" s="17" t="n">
        <v>0</v>
      </c>
      <c r="AM883" s="18" t="n">
        <v>0</v>
      </c>
      <c r="AN883" s="16" t="n">
        <v>13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13</v>
      </c>
      <c r="AV883" s="17" t="n">
        <v>0</v>
      </c>
      <c r="AW883" s="17" t="n">
        <v>0</v>
      </c>
      <c r="AX883" s="18" t="n">
        <v>0</v>
      </c>
      <c r="AY883" s="16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8" t="n">
        <v>0</v>
      </c>
      <c r="BJ883" s="16" t="n">
        <v>13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13</v>
      </c>
      <c r="BR883" s="17" t="n">
        <v>0</v>
      </c>
      <c r="BS883" s="17" t="n">
        <v>0</v>
      </c>
      <c r="BT883" s="18" t="n">
        <v>0</v>
      </c>
      <c r="BU883" s="17" t="inlineStr">
        <is>
          <t>Unclassified</t>
        </is>
      </c>
    </row>
    <row r="884" ht="20" customHeight="1">
      <c r="A884" s="15" t="inlineStr">
        <is>
          <t>00093171201</t>
        </is>
      </c>
      <c r="B884" s="15" t="inlineStr">
        <is>
          <t xml:space="preserve">WARFARIN SODIUM 1MG TAB </t>
        </is>
      </c>
      <c r="C884" s="16" t="n">
        <v>100</v>
      </c>
      <c r="D884" s="16" t="n">
        <v>1</v>
      </c>
      <c r="E884" s="16" t="n">
        <v>1</v>
      </c>
      <c r="F884" s="16" t="n">
        <v>8</v>
      </c>
      <c r="G884" s="16" t="n">
        <v>60</v>
      </c>
      <c r="H884" s="17" t="n">
        <v>0</v>
      </c>
      <c r="I884" s="17" t="n">
        <v>0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60</v>
      </c>
      <c r="O884" s="17" t="n">
        <v>0</v>
      </c>
      <c r="P884" s="17" t="n">
        <v>0</v>
      </c>
      <c r="Q884" s="18" t="n">
        <v>0</v>
      </c>
      <c r="R884" s="16" t="n">
        <v>0.6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0.6</v>
      </c>
      <c r="Z884" s="17" t="n">
        <v>0</v>
      </c>
      <c r="AA884" s="17" t="n">
        <v>0</v>
      </c>
      <c r="AB884" s="18" t="n">
        <v>0</v>
      </c>
      <c r="AC884" s="16" t="n">
        <v>0.4</v>
      </c>
      <c r="AD884" s="17" t="n">
        <v>1</v>
      </c>
      <c r="AE884" s="17" t="n">
        <v>1</v>
      </c>
      <c r="AF884" s="17" t="n">
        <v>1</v>
      </c>
      <c r="AG884" s="17" t="n">
        <v>1</v>
      </c>
      <c r="AH884" s="17" t="n">
        <v>1</v>
      </c>
      <c r="AI884" s="17" t="n">
        <v>1</v>
      </c>
      <c r="AJ884" s="17" t="n">
        <v>0.4</v>
      </c>
      <c r="AK884" s="17" t="n">
        <v>1</v>
      </c>
      <c r="AL884" s="17" t="n">
        <v>1</v>
      </c>
      <c r="AM884" s="18" t="n">
        <v>1</v>
      </c>
      <c r="AN884" s="16" t="n">
        <v>14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14</v>
      </c>
      <c r="AV884" s="17" t="n">
        <v>0</v>
      </c>
      <c r="AW884" s="17" t="n">
        <v>0</v>
      </c>
      <c r="AX884" s="18" t="n">
        <v>0</v>
      </c>
      <c r="AY884" s="16" t="n">
        <v>5</v>
      </c>
      <c r="AZ884" s="17" t="n">
        <v>0</v>
      </c>
      <c r="BA884" s="17" t="n">
        <v>0</v>
      </c>
      <c r="BB884" s="17" t="n">
        <v>0</v>
      </c>
      <c r="BC884" s="17" t="n">
        <v>0</v>
      </c>
      <c r="BD884" s="17" t="n">
        <v>0</v>
      </c>
      <c r="BE884" s="17" t="n">
        <v>0</v>
      </c>
      <c r="BF884" s="17" t="n">
        <v>5</v>
      </c>
      <c r="BG884" s="17" t="n">
        <v>0</v>
      </c>
      <c r="BH884" s="17" t="n">
        <v>0</v>
      </c>
      <c r="BI884" s="18" t="n">
        <v>0</v>
      </c>
      <c r="BJ884" s="16" t="n">
        <v>9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9</v>
      </c>
      <c r="BR884" s="17" t="n">
        <v>0</v>
      </c>
      <c r="BS884" s="17" t="n">
        <v>0</v>
      </c>
      <c r="BT884" s="18" t="n">
        <v>0</v>
      </c>
      <c r="BU884" s="17" t="inlineStr">
        <is>
          <t>Generic Drug</t>
        </is>
      </c>
    </row>
    <row r="885" ht="20" customHeight="1">
      <c r="A885" s="15" t="inlineStr">
        <is>
          <t>00093171301</t>
        </is>
      </c>
      <c r="B885" s="15" t="inlineStr">
        <is>
          <t>WARFARIN SODIUM 2 MG TABLET</t>
        </is>
      </c>
      <c r="C885" s="16" t="n">
        <v>100</v>
      </c>
      <c r="D885" s="16" t="n">
        <v>0</v>
      </c>
      <c r="E885" s="16" t="n">
        <v>0</v>
      </c>
      <c r="F885" s="16" t="n">
        <v>0</v>
      </c>
      <c r="G885" s="16" t="n">
        <v>30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30</v>
      </c>
      <c r="O885" s="17" t="n">
        <v>0</v>
      </c>
      <c r="P885" s="17" t="n">
        <v>0</v>
      </c>
      <c r="Q885" s="18" t="n">
        <v>0</v>
      </c>
      <c r="R885" s="16" t="n">
        <v>0.3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0.3</v>
      </c>
      <c r="Z885" s="17" t="n">
        <v>0</v>
      </c>
      <c r="AA885" s="17" t="n">
        <v>0</v>
      </c>
      <c r="AB885" s="18" t="n">
        <v>0</v>
      </c>
      <c r="AC885" s="16" t="n">
        <v>-0.3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-0.3</v>
      </c>
      <c r="AK885" s="17" t="n">
        <v>0</v>
      </c>
      <c r="AL885" s="17" t="n">
        <v>0</v>
      </c>
      <c r="AM885" s="18" t="n">
        <v>0</v>
      </c>
      <c r="AN885" s="16" t="n">
        <v>13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7" t="n">
        <v>0</v>
      </c>
      <c r="AT885" s="17" t="n">
        <v>0</v>
      </c>
      <c r="AU885" s="17" t="n">
        <v>13</v>
      </c>
      <c r="AV885" s="17" t="n">
        <v>0</v>
      </c>
      <c r="AW885" s="17" t="n">
        <v>0</v>
      </c>
      <c r="AX885" s="18" t="n">
        <v>0</v>
      </c>
      <c r="AY885" s="16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8" t="n">
        <v>0</v>
      </c>
      <c r="BJ885" s="16" t="n">
        <v>13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13</v>
      </c>
      <c r="BR885" s="17" t="n">
        <v>0</v>
      </c>
      <c r="BS885" s="17" t="n">
        <v>0</v>
      </c>
      <c r="BT885" s="18" t="n">
        <v>0</v>
      </c>
      <c r="BU885" s="17" t="inlineStr">
        <is>
          <t>Unclassified</t>
        </is>
      </c>
    </row>
    <row r="886" ht="20" customHeight="1">
      <c r="A886" s="15" t="inlineStr">
        <is>
          <t>51672403001</t>
        </is>
      </c>
      <c r="B886" s="15" t="inlineStr">
        <is>
          <t>WARFARIN SODIUM 3MG TABLET</t>
        </is>
      </c>
      <c r="C886" s="16" t="n">
        <v>100</v>
      </c>
      <c r="D886" s="16" t="n">
        <v>0</v>
      </c>
      <c r="E886" s="16" t="n">
        <v>0</v>
      </c>
      <c r="F886" s="16" t="n">
        <v>0</v>
      </c>
      <c r="G886" s="16" t="n">
        <v>35</v>
      </c>
      <c r="H886" s="17" t="n">
        <v>0</v>
      </c>
      <c r="I886" s="17" t="n">
        <v>0</v>
      </c>
      <c r="J886" s="17" t="n">
        <v>35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8" t="n">
        <v>0</v>
      </c>
      <c r="R886" s="16" t="n">
        <v>0.35</v>
      </c>
      <c r="S886" s="17" t="n">
        <v>0</v>
      </c>
      <c r="T886" s="17" t="n">
        <v>0</v>
      </c>
      <c r="U886" s="17" t="n">
        <v>0.35</v>
      </c>
      <c r="V886" s="17" t="n">
        <v>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8" t="n">
        <v>0</v>
      </c>
      <c r="AC886" s="16" t="n">
        <v>-0.35</v>
      </c>
      <c r="AD886" s="17" t="n">
        <v>0</v>
      </c>
      <c r="AE886" s="17" t="n">
        <v>0</v>
      </c>
      <c r="AF886" s="17" t="n">
        <v>-0.35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8" t="n">
        <v>0</v>
      </c>
      <c r="AN886" s="16" t="n">
        <v>1</v>
      </c>
      <c r="AO886" s="17" t="n">
        <v>0</v>
      </c>
      <c r="AP886" s="17" t="n">
        <v>0</v>
      </c>
      <c r="AQ886" s="17" t="n">
        <v>1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8" t="n">
        <v>0</v>
      </c>
      <c r="AY886" s="16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7" t="n">
        <v>0</v>
      </c>
      <c r="BI886" s="18" t="n">
        <v>0</v>
      </c>
      <c r="BJ886" s="16" t="n">
        <v>1</v>
      </c>
      <c r="BK886" s="17" t="n">
        <v>0</v>
      </c>
      <c r="BL886" s="17" t="n">
        <v>0</v>
      </c>
      <c r="BM886" s="17" t="n">
        <v>1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7" t="n">
        <v>0</v>
      </c>
      <c r="BT886" s="18" t="n">
        <v>0</v>
      </c>
      <c r="BU886" s="17" t="inlineStr">
        <is>
          <t>Unclassified</t>
        </is>
      </c>
    </row>
    <row r="887" ht="20" customHeight="1">
      <c r="A887" s="15" t="inlineStr">
        <is>
          <t>00093172101</t>
        </is>
      </c>
      <c r="B887" s="15" t="inlineStr">
        <is>
          <t xml:space="preserve">WARFARIN SODIUM 5MG TAB </t>
        </is>
      </c>
      <c r="C887" s="16" t="n">
        <v>100</v>
      </c>
      <c r="D887" s="16" t="n">
        <v>2</v>
      </c>
      <c r="E887" s="16" t="n">
        <v>2</v>
      </c>
      <c r="F887" s="16" t="n">
        <v>9</v>
      </c>
      <c r="G887" s="16" t="n">
        <v>150</v>
      </c>
      <c r="H887" s="17" t="n">
        <v>0</v>
      </c>
      <c r="I887" s="17" t="n">
        <v>0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150</v>
      </c>
      <c r="O887" s="17" t="n">
        <v>0</v>
      </c>
      <c r="P887" s="17" t="n">
        <v>0</v>
      </c>
      <c r="Q887" s="18" t="n">
        <v>0</v>
      </c>
      <c r="R887" s="16" t="n">
        <v>1.5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1.5</v>
      </c>
      <c r="Z887" s="17" t="n">
        <v>0</v>
      </c>
      <c r="AA887" s="17" t="n">
        <v>0</v>
      </c>
      <c r="AB887" s="18" t="n">
        <v>0</v>
      </c>
      <c r="AC887" s="16" t="n">
        <v>0.5</v>
      </c>
      <c r="AD887" s="17" t="n">
        <v>2</v>
      </c>
      <c r="AE887" s="17" t="n">
        <v>2</v>
      </c>
      <c r="AF887" s="17" t="n">
        <v>2</v>
      </c>
      <c r="AG887" s="17" t="n">
        <v>2</v>
      </c>
      <c r="AH887" s="17" t="n">
        <v>2</v>
      </c>
      <c r="AI887" s="17" t="n">
        <v>2</v>
      </c>
      <c r="AJ887" s="17" t="n">
        <v>0.5</v>
      </c>
      <c r="AK887" s="17" t="n">
        <v>2</v>
      </c>
      <c r="AL887" s="17" t="n">
        <v>2</v>
      </c>
      <c r="AM887" s="18" t="n">
        <v>2</v>
      </c>
      <c r="AN887" s="16" t="n">
        <v>42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42</v>
      </c>
      <c r="AV887" s="17" t="n">
        <v>0</v>
      </c>
      <c r="AW887" s="17" t="n">
        <v>0</v>
      </c>
      <c r="AX887" s="18" t="n">
        <v>0</v>
      </c>
      <c r="AY887" s="16" t="n">
        <v>14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14</v>
      </c>
      <c r="BG887" s="17" t="n">
        <v>0</v>
      </c>
      <c r="BH887" s="17" t="n">
        <v>0</v>
      </c>
      <c r="BI887" s="18" t="n">
        <v>0</v>
      </c>
      <c r="BJ887" s="16" t="n">
        <v>28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28</v>
      </c>
      <c r="BR887" s="17" t="n">
        <v>0</v>
      </c>
      <c r="BS887" s="17" t="n">
        <v>0</v>
      </c>
      <c r="BT887" s="18" t="n">
        <v>0</v>
      </c>
      <c r="BU887" s="17" t="inlineStr">
        <is>
          <t>Generic Drug</t>
        </is>
      </c>
    </row>
    <row r="888" ht="20" customHeight="1">
      <c r="A888" s="15" t="inlineStr">
        <is>
          <t>00169451714</t>
        </is>
      </c>
      <c r="B888" s="15" t="inlineStr">
        <is>
          <t>WEGOVY 1.7 MG/0.75ML AUTO-INJECTOR</t>
        </is>
      </c>
      <c r="C888" s="16" t="n">
        <v>3</v>
      </c>
      <c r="D888" s="16" t="n">
        <v>1</v>
      </c>
      <c r="E888" s="16" t="n">
        <v>1</v>
      </c>
      <c r="F888" s="16" t="n">
        <v>1312</v>
      </c>
      <c r="G888" s="16" t="n">
        <v>3</v>
      </c>
      <c r="H888" s="17" t="n">
        <v>0</v>
      </c>
      <c r="I888" s="17" t="n">
        <v>0</v>
      </c>
      <c r="J888" s="17" t="n">
        <v>3</v>
      </c>
      <c r="K888" s="17" t="n">
        <v>0</v>
      </c>
      <c r="L888" s="17" t="n">
        <v>0</v>
      </c>
      <c r="M888" s="17" t="n">
        <v>0</v>
      </c>
      <c r="N888" s="17" t="n">
        <v>0</v>
      </c>
      <c r="O888" s="17" t="n">
        <v>0</v>
      </c>
      <c r="P888" s="17" t="n">
        <v>0</v>
      </c>
      <c r="Q888" s="18" t="n">
        <v>0</v>
      </c>
      <c r="R888" s="16" t="n">
        <v>1</v>
      </c>
      <c r="S888" s="17" t="n">
        <v>0</v>
      </c>
      <c r="T888" s="17" t="n">
        <v>0</v>
      </c>
      <c r="U888" s="17" t="n">
        <v>1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8" t="n">
        <v>0</v>
      </c>
      <c r="AC888" s="16" t="n">
        <v>0</v>
      </c>
      <c r="AD888" s="17" t="n">
        <v>1</v>
      </c>
      <c r="AE888" s="17" t="n">
        <v>1</v>
      </c>
      <c r="AF888" s="17" t="n">
        <v>0</v>
      </c>
      <c r="AG888" s="17" t="n">
        <v>1</v>
      </c>
      <c r="AH888" s="17" t="n">
        <v>1</v>
      </c>
      <c r="AI888" s="17" t="n">
        <v>1</v>
      </c>
      <c r="AJ888" s="17" t="n">
        <v>1</v>
      </c>
      <c r="AK888" s="17" t="n">
        <v>1</v>
      </c>
      <c r="AL888" s="17" t="n">
        <v>1</v>
      </c>
      <c r="AM888" s="18" t="n">
        <v>1</v>
      </c>
      <c r="AN888" s="16" t="n">
        <v>1260</v>
      </c>
      <c r="AO888" s="17" t="n">
        <v>0</v>
      </c>
      <c r="AP888" s="17" t="n">
        <v>0</v>
      </c>
      <c r="AQ888" s="17" t="n">
        <v>1260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8" t="n">
        <v>0</v>
      </c>
      <c r="AY888" s="16" t="n">
        <v>1312</v>
      </c>
      <c r="AZ888" s="17" t="n">
        <v>0</v>
      </c>
      <c r="BA888" s="17" t="n">
        <v>0</v>
      </c>
      <c r="BB888" s="17" t="n">
        <v>1312</v>
      </c>
      <c r="BC888" s="17" t="n">
        <v>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7" t="n">
        <v>0</v>
      </c>
      <c r="BI888" s="18" t="n">
        <v>0</v>
      </c>
      <c r="BJ888" s="16" t="n">
        <v>-52</v>
      </c>
      <c r="BK888" s="17" t="n">
        <v>0</v>
      </c>
      <c r="BL888" s="17" t="n">
        <v>0</v>
      </c>
      <c r="BM888" s="17" t="n">
        <v>-52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7" t="n">
        <v>0</v>
      </c>
      <c r="BT888" s="18" t="n">
        <v>0</v>
      </c>
      <c r="BU888" s="17" t="inlineStr">
        <is>
          <t>Branded Drug</t>
        </is>
      </c>
    </row>
    <row r="889" ht="20" customHeight="1">
      <c r="A889" s="15" t="inlineStr">
        <is>
          <t>00169452414</t>
        </is>
      </c>
      <c r="B889" s="15" t="inlineStr">
        <is>
          <t>WEGOVY 2.4 MG/0.75ML AUTO-INJECTOR</t>
        </is>
      </c>
      <c r="C889" s="16" t="n">
        <v>3</v>
      </c>
      <c r="D889" s="16" t="n">
        <v>1</v>
      </c>
      <c r="E889" s="16" t="n">
        <v>1</v>
      </c>
      <c r="F889" s="16" t="n">
        <v>1312</v>
      </c>
      <c r="G889" s="16" t="n">
        <v>3</v>
      </c>
      <c r="H889" s="17" t="n">
        <v>0</v>
      </c>
      <c r="I889" s="17" t="n">
        <v>0</v>
      </c>
      <c r="J889" s="17" t="n">
        <v>3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8" t="n">
        <v>0</v>
      </c>
      <c r="R889" s="16" t="n">
        <v>1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8" t="n">
        <v>0</v>
      </c>
      <c r="AC889" s="16" t="n">
        <v>0</v>
      </c>
      <c r="AD889" s="17" t="n">
        <v>1</v>
      </c>
      <c r="AE889" s="17" t="n">
        <v>1</v>
      </c>
      <c r="AF889" s="17" t="n">
        <v>0</v>
      </c>
      <c r="AG889" s="17" t="n">
        <v>1</v>
      </c>
      <c r="AH889" s="17" t="n">
        <v>1</v>
      </c>
      <c r="AI889" s="17" t="n">
        <v>1</v>
      </c>
      <c r="AJ889" s="17" t="n">
        <v>1</v>
      </c>
      <c r="AK889" s="17" t="n">
        <v>1</v>
      </c>
      <c r="AL889" s="17" t="n">
        <v>1</v>
      </c>
      <c r="AM889" s="18" t="n">
        <v>1</v>
      </c>
      <c r="AN889" s="16" t="n">
        <v>1283</v>
      </c>
      <c r="AO889" s="17" t="n">
        <v>0</v>
      </c>
      <c r="AP889" s="17" t="n">
        <v>0</v>
      </c>
      <c r="AQ889" s="17" t="n">
        <v>1279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  <c r="AW889" s="17" t="n">
        <v>0</v>
      </c>
      <c r="AX889" s="18" t="n">
        <v>0</v>
      </c>
      <c r="AY889" s="16" t="n">
        <v>1312</v>
      </c>
      <c r="AZ889" s="17" t="n">
        <v>0</v>
      </c>
      <c r="BA889" s="17" t="n">
        <v>0</v>
      </c>
      <c r="BB889" s="17" t="n">
        <v>1312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8" t="n">
        <v>0</v>
      </c>
      <c r="BJ889" s="16" t="n">
        <v>-29</v>
      </c>
      <c r="BK889" s="17" t="n">
        <v>0</v>
      </c>
      <c r="BL889" s="17" t="n">
        <v>0</v>
      </c>
      <c r="BM889" s="17" t="n">
        <v>-33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8" t="n">
        <v>0</v>
      </c>
      <c r="BU889" s="17" t="inlineStr">
        <is>
          <t>Branded Drug</t>
        </is>
      </c>
    </row>
    <row r="890" ht="20" customHeight="1">
      <c r="A890" s="15" t="inlineStr">
        <is>
          <t>50458057830</t>
        </is>
      </c>
      <c r="B890" s="15" t="inlineStr">
        <is>
          <t>XARELTO 15MG TAB</t>
        </is>
      </c>
      <c r="C890" s="16" t="n">
        <v>30</v>
      </c>
      <c r="D890" s="16" t="n">
        <v>0</v>
      </c>
      <c r="E890" s="16" t="n">
        <v>0</v>
      </c>
      <c r="F890" s="16" t="n">
        <v>0</v>
      </c>
      <c r="G890" s="16" t="n">
        <v>90</v>
      </c>
      <c r="H890" s="17" t="n">
        <v>0</v>
      </c>
      <c r="I890" s="17" t="n">
        <v>0</v>
      </c>
      <c r="J890" s="17" t="n">
        <v>0</v>
      </c>
      <c r="K890" s="17" t="n">
        <v>90</v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8" t="n">
        <v>0</v>
      </c>
      <c r="R890" s="16" t="n">
        <v>3</v>
      </c>
      <c r="S890" s="17" t="n">
        <v>0</v>
      </c>
      <c r="T890" s="17" t="n">
        <v>0</v>
      </c>
      <c r="U890" s="17" t="n">
        <v>0</v>
      </c>
      <c r="V890" s="17" t="n">
        <v>3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8" t="n">
        <v>0</v>
      </c>
      <c r="AC890" s="16" t="n">
        <v>-3</v>
      </c>
      <c r="AD890" s="17" t="n">
        <v>0</v>
      </c>
      <c r="AE890" s="17" t="n">
        <v>0</v>
      </c>
      <c r="AF890" s="17" t="n">
        <v>0</v>
      </c>
      <c r="AG890" s="17" t="n">
        <v>-3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8" t="n">
        <v>0</v>
      </c>
      <c r="AN890" s="16" t="n">
        <v>620</v>
      </c>
      <c r="AO890" s="17" t="n">
        <v>0</v>
      </c>
      <c r="AP890" s="17" t="n">
        <v>0</v>
      </c>
      <c r="AQ890" s="17" t="n">
        <v>0</v>
      </c>
      <c r="AR890" s="17" t="n">
        <v>620</v>
      </c>
      <c r="AS890" s="17" t="n">
        <v>0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8" t="n">
        <v>0</v>
      </c>
      <c r="AY890" s="16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7" t="n">
        <v>0</v>
      </c>
      <c r="BI890" s="18" t="n">
        <v>0</v>
      </c>
      <c r="BJ890" s="16" t="n">
        <v>620</v>
      </c>
      <c r="BK890" s="17" t="n">
        <v>0</v>
      </c>
      <c r="BL890" s="17" t="n">
        <v>0</v>
      </c>
      <c r="BM890" s="17" t="n">
        <v>0</v>
      </c>
      <c r="BN890" s="17" t="n">
        <v>620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7" t="n">
        <v>0</v>
      </c>
      <c r="BT890" s="18" t="n">
        <v>0</v>
      </c>
      <c r="BU890" s="17" t="inlineStr">
        <is>
          <t>Unclassified</t>
        </is>
      </c>
    </row>
    <row r="891" ht="20" customHeight="1">
      <c r="A891" s="15" t="inlineStr">
        <is>
          <t>50458057930</t>
        </is>
      </c>
      <c r="B891" s="15" t="inlineStr">
        <is>
          <t>XARELTO 20MG TAB</t>
        </is>
      </c>
      <c r="C891" s="16" t="n">
        <v>30</v>
      </c>
      <c r="D891" s="16" t="n">
        <v>3</v>
      </c>
      <c r="E891" s="16" t="n">
        <v>3</v>
      </c>
      <c r="F891" s="16" t="n">
        <v>595</v>
      </c>
      <c r="G891" s="16" t="n">
        <v>270</v>
      </c>
      <c r="H891" s="17" t="n">
        <v>0</v>
      </c>
      <c r="I891" s="17" t="n">
        <v>0</v>
      </c>
      <c r="J891" s="17" t="n">
        <v>180</v>
      </c>
      <c r="K891" s="17" t="n">
        <v>90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8" t="n">
        <v>0</v>
      </c>
      <c r="R891" s="16" t="n">
        <v>9</v>
      </c>
      <c r="S891" s="17" t="n">
        <v>0</v>
      </c>
      <c r="T891" s="17" t="n">
        <v>0</v>
      </c>
      <c r="U891" s="17" t="n">
        <v>6</v>
      </c>
      <c r="V891" s="17" t="n">
        <v>3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8" t="n">
        <v>0</v>
      </c>
      <c r="AC891" s="16" t="n">
        <v>-6</v>
      </c>
      <c r="AD891" s="17" t="n">
        <v>3</v>
      </c>
      <c r="AE891" s="17" t="n">
        <v>3</v>
      </c>
      <c r="AF891" s="17" t="n">
        <v>-3</v>
      </c>
      <c r="AG891" s="17" t="n">
        <v>0</v>
      </c>
      <c r="AH891" s="17" t="n">
        <v>3</v>
      </c>
      <c r="AI891" s="17" t="n">
        <v>3</v>
      </c>
      <c r="AJ891" s="17" t="n">
        <v>3</v>
      </c>
      <c r="AK891" s="17" t="n">
        <v>3</v>
      </c>
      <c r="AL891" s="17" t="n">
        <v>3</v>
      </c>
      <c r="AM891" s="18" t="n">
        <v>3</v>
      </c>
      <c r="AN891" s="16" t="n">
        <v>1858</v>
      </c>
      <c r="AO891" s="17" t="n">
        <v>0</v>
      </c>
      <c r="AP891" s="17" t="n">
        <v>0</v>
      </c>
      <c r="AQ891" s="17" t="n">
        <v>1233</v>
      </c>
      <c r="AR891" s="17" t="n">
        <v>620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8" t="n">
        <v>0</v>
      </c>
      <c r="AY891" s="16" t="n">
        <v>5355</v>
      </c>
      <c r="AZ891" s="17" t="n">
        <v>0</v>
      </c>
      <c r="BA891" s="17" t="n">
        <v>0</v>
      </c>
      <c r="BB891" s="17" t="n">
        <v>3570</v>
      </c>
      <c r="BC891" s="17" t="n">
        <v>1785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8" t="n">
        <v>0</v>
      </c>
      <c r="BJ891" s="16" t="n">
        <v>-3497</v>
      </c>
      <c r="BK891" s="17" t="n">
        <v>0</v>
      </c>
      <c r="BL891" s="17" t="n">
        <v>0</v>
      </c>
      <c r="BM891" s="17" t="n">
        <v>-2337</v>
      </c>
      <c r="BN891" s="17" t="n">
        <v>-1165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8" t="n">
        <v>0</v>
      </c>
      <c r="BU891" s="17" t="inlineStr">
        <is>
          <t>Branded Drug</t>
        </is>
      </c>
    </row>
    <row r="892" ht="20" customHeight="1">
      <c r="A892" s="15" t="inlineStr">
        <is>
          <t>71699020030</t>
        </is>
      </c>
      <c r="B892" s="15" t="inlineStr">
        <is>
          <t>XCOPRI 200 MG ORAL TABLET</t>
        </is>
      </c>
      <c r="C892" s="16" t="n">
        <v>30</v>
      </c>
      <c r="D892" s="16" t="n">
        <v>1</v>
      </c>
      <c r="E892" s="16" t="n">
        <v>1</v>
      </c>
      <c r="F892" s="16" t="n">
        <v>1217</v>
      </c>
      <c r="G892" s="16" t="n">
        <v>30</v>
      </c>
      <c r="H892" s="17" t="n">
        <v>0</v>
      </c>
      <c r="I892" s="17" t="n">
        <v>0</v>
      </c>
      <c r="J892" s="17" t="n">
        <v>30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8" t="n">
        <v>0</v>
      </c>
      <c r="R892" s="16" t="n">
        <v>1</v>
      </c>
      <c r="S892" s="17" t="n">
        <v>0</v>
      </c>
      <c r="T892" s="17" t="n">
        <v>0</v>
      </c>
      <c r="U892" s="17" t="n">
        <v>1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8" t="n">
        <v>0</v>
      </c>
      <c r="AC892" s="16" t="n">
        <v>0</v>
      </c>
      <c r="AD892" s="17" t="n">
        <v>1</v>
      </c>
      <c r="AE892" s="17" t="n">
        <v>1</v>
      </c>
      <c r="AF892" s="17" t="n">
        <v>0</v>
      </c>
      <c r="AG892" s="17" t="n">
        <v>1</v>
      </c>
      <c r="AH892" s="17" t="n">
        <v>1</v>
      </c>
      <c r="AI892" s="17" t="n">
        <v>1</v>
      </c>
      <c r="AJ892" s="17" t="n">
        <v>1</v>
      </c>
      <c r="AK892" s="17" t="n">
        <v>1</v>
      </c>
      <c r="AL892" s="17" t="n">
        <v>1</v>
      </c>
      <c r="AM892" s="18" t="n">
        <v>1</v>
      </c>
      <c r="AN892" s="16" t="n">
        <v>1191</v>
      </c>
      <c r="AO892" s="17" t="n">
        <v>0</v>
      </c>
      <c r="AP892" s="17" t="n">
        <v>0</v>
      </c>
      <c r="AQ892" s="17" t="n">
        <v>1191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8" t="n">
        <v>0</v>
      </c>
      <c r="AY892" s="16" t="n">
        <v>1217</v>
      </c>
      <c r="AZ892" s="17" t="n">
        <v>0</v>
      </c>
      <c r="BA892" s="17" t="n">
        <v>0</v>
      </c>
      <c r="BB892" s="17" t="n">
        <v>1217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7" t="n">
        <v>0</v>
      </c>
      <c r="BI892" s="18" t="n">
        <v>0</v>
      </c>
      <c r="BJ892" s="16" t="n">
        <v>-26</v>
      </c>
      <c r="BK892" s="17" t="n">
        <v>0</v>
      </c>
      <c r="BL892" s="17" t="n">
        <v>0</v>
      </c>
      <c r="BM892" s="17" t="n">
        <v>-26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7" t="n">
        <v>0</v>
      </c>
      <c r="BT892" s="18" t="n">
        <v>0</v>
      </c>
      <c r="BU892" s="17" t="inlineStr">
        <is>
          <t>Branded Drug</t>
        </is>
      </c>
    </row>
    <row r="893" ht="20" customHeight="1">
      <c r="A893" s="15" t="inlineStr">
        <is>
          <t>71143037501</t>
        </is>
      </c>
      <c r="B893" s="15" t="inlineStr">
        <is>
          <t>XHANCE 93 MCG/ACT NASAL EXHALER SUSPENSION</t>
        </is>
      </c>
      <c r="C893" s="16" t="n">
        <v>16</v>
      </c>
      <c r="D893" s="16" t="n">
        <v>0</v>
      </c>
      <c r="E893" s="16" t="n">
        <v>0</v>
      </c>
      <c r="F893" s="16" t="n">
        <v>0</v>
      </c>
      <c r="G893" s="16" t="n">
        <v>16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16</v>
      </c>
      <c r="O893" s="17" t="n">
        <v>0</v>
      </c>
      <c r="P893" s="17" t="n">
        <v>0</v>
      </c>
      <c r="Q893" s="18" t="n">
        <v>0</v>
      </c>
      <c r="R893" s="16" t="n">
        <v>1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8" t="n">
        <v>0</v>
      </c>
      <c r="AC893" s="16" t="n">
        <v>-1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8" t="n">
        <v>0</v>
      </c>
      <c r="AN893" s="16" t="n">
        <v>665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665</v>
      </c>
      <c r="AV893" s="17" t="n">
        <v>0</v>
      </c>
      <c r="AW893" s="17" t="n">
        <v>0</v>
      </c>
      <c r="AX893" s="18" t="n">
        <v>0</v>
      </c>
      <c r="AY893" s="16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8" t="n">
        <v>0</v>
      </c>
      <c r="BJ893" s="16" t="n">
        <v>665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665</v>
      </c>
      <c r="BR893" s="17" t="n">
        <v>0</v>
      </c>
      <c r="BS893" s="17" t="n">
        <v>0</v>
      </c>
      <c r="BT893" s="18" t="n">
        <v>0</v>
      </c>
      <c r="BU893" s="17" t="inlineStr">
        <is>
          <t>Unclassified</t>
        </is>
      </c>
    </row>
    <row r="894" ht="20" customHeight="1">
      <c r="A894" s="15" t="inlineStr">
        <is>
          <t>00310626060</t>
        </is>
      </c>
      <c r="B894" s="15" t="inlineStr">
        <is>
          <t>XIGDUO XR 5-1000 MG TABLET ER</t>
        </is>
      </c>
      <c r="C894" s="16" t="n">
        <v>60</v>
      </c>
      <c r="D894" s="16" t="n">
        <v>0</v>
      </c>
      <c r="E894" s="16" t="n">
        <v>0</v>
      </c>
      <c r="F894" s="16" t="n">
        <v>0</v>
      </c>
      <c r="G894" s="16" t="n">
        <v>180</v>
      </c>
      <c r="H894" s="17" t="n">
        <v>0</v>
      </c>
      <c r="I894" s="17" t="n">
        <v>0</v>
      </c>
      <c r="J894" s="17" t="n">
        <v>180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8" t="n">
        <v>0</v>
      </c>
      <c r="R894" s="16" t="n">
        <v>3</v>
      </c>
      <c r="S894" s="17" t="n">
        <v>0</v>
      </c>
      <c r="T894" s="17" t="n">
        <v>0</v>
      </c>
      <c r="U894" s="17" t="n">
        <v>3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8" t="n">
        <v>0</v>
      </c>
      <c r="AC894" s="16" t="n">
        <v>-3</v>
      </c>
      <c r="AD894" s="17" t="n">
        <v>0</v>
      </c>
      <c r="AE894" s="17" t="n">
        <v>0</v>
      </c>
      <c r="AF894" s="17" t="n">
        <v>-3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8" t="n">
        <v>0</v>
      </c>
      <c r="AN894" s="16" t="n">
        <v>1684</v>
      </c>
      <c r="AO894" s="17" t="n">
        <v>0</v>
      </c>
      <c r="AP894" s="17" t="n">
        <v>0</v>
      </c>
      <c r="AQ894" s="17" t="n">
        <v>1682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8" t="n">
        <v>0</v>
      </c>
      <c r="AY894" s="16" t="n">
        <v>0</v>
      </c>
      <c r="AZ894" s="17" t="n">
        <v>0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0</v>
      </c>
      <c r="BF894" s="17" t="n">
        <v>0</v>
      </c>
      <c r="BG894" s="17" t="n">
        <v>0</v>
      </c>
      <c r="BH894" s="17" t="n">
        <v>0</v>
      </c>
      <c r="BI894" s="18" t="n">
        <v>0</v>
      </c>
      <c r="BJ894" s="16" t="n">
        <v>1684</v>
      </c>
      <c r="BK894" s="17" t="n">
        <v>0</v>
      </c>
      <c r="BL894" s="17" t="n">
        <v>0</v>
      </c>
      <c r="BM894" s="17" t="n">
        <v>1682</v>
      </c>
      <c r="BN894" s="17" t="n">
        <v>0</v>
      </c>
      <c r="BO894" s="17" t="n">
        <v>0</v>
      </c>
      <c r="BP894" s="17" t="n">
        <v>0</v>
      </c>
      <c r="BQ894" s="17" t="n">
        <v>0</v>
      </c>
      <c r="BR894" s="17" t="n">
        <v>0</v>
      </c>
      <c r="BS894" s="17" t="n">
        <v>0</v>
      </c>
      <c r="BT894" s="18" t="n">
        <v>0</v>
      </c>
      <c r="BU894" s="17" t="inlineStr">
        <is>
          <t>Unclassified</t>
        </is>
      </c>
    </row>
    <row r="895" ht="20" customHeight="1">
      <c r="A895" s="15" t="inlineStr">
        <is>
          <t>24208091112</t>
        </is>
      </c>
      <c r="B895" s="15" t="inlineStr">
        <is>
          <t>XIIDRA 5 % OPHTHALMIC SOLUTION</t>
        </is>
      </c>
      <c r="C895" s="16" t="n">
        <v>60</v>
      </c>
      <c r="D895" s="16" t="n">
        <v>24</v>
      </c>
      <c r="E895" s="16" t="n">
        <v>24</v>
      </c>
      <c r="F895" s="16" t="n">
        <v>720</v>
      </c>
      <c r="G895" s="16" t="n">
        <v>840</v>
      </c>
      <c r="H895" s="17" t="n">
        <v>0</v>
      </c>
      <c r="I895" s="17" t="n">
        <v>0</v>
      </c>
      <c r="J895" s="17" t="n">
        <v>360</v>
      </c>
      <c r="K895" s="17" t="n">
        <v>180</v>
      </c>
      <c r="L895" s="17" t="n">
        <v>0</v>
      </c>
      <c r="M895" s="17" t="n">
        <v>180</v>
      </c>
      <c r="N895" s="17" t="n">
        <v>120</v>
      </c>
      <c r="O895" s="17" t="n">
        <v>0</v>
      </c>
      <c r="P895" s="17" t="n">
        <v>0</v>
      </c>
      <c r="Q895" s="18" t="n">
        <v>0</v>
      </c>
      <c r="R895" s="16" t="n">
        <v>14</v>
      </c>
      <c r="S895" s="17" t="n">
        <v>0</v>
      </c>
      <c r="T895" s="17" t="n">
        <v>0</v>
      </c>
      <c r="U895" s="17" t="n">
        <v>6</v>
      </c>
      <c r="V895" s="17" t="n">
        <v>3</v>
      </c>
      <c r="W895" s="17" t="n">
        <v>0</v>
      </c>
      <c r="X895" s="17" t="n">
        <v>3</v>
      </c>
      <c r="Y895" s="17" t="n">
        <v>2</v>
      </c>
      <c r="Z895" s="17" t="n">
        <v>0</v>
      </c>
      <c r="AA895" s="17" t="n">
        <v>0</v>
      </c>
      <c r="AB895" s="18" t="n">
        <v>0</v>
      </c>
      <c r="AC895" s="16" t="n">
        <v>10</v>
      </c>
      <c r="AD895" s="17" t="n">
        <v>24</v>
      </c>
      <c r="AE895" s="17" t="n">
        <v>24</v>
      </c>
      <c r="AF895" s="17" t="n">
        <v>18</v>
      </c>
      <c r="AG895" s="17" t="n">
        <v>21</v>
      </c>
      <c r="AH895" s="17" t="n">
        <v>24</v>
      </c>
      <c r="AI895" s="17" t="n">
        <v>21</v>
      </c>
      <c r="AJ895" s="17" t="n">
        <v>22</v>
      </c>
      <c r="AK895" s="17" t="n">
        <v>24</v>
      </c>
      <c r="AL895" s="17" t="n">
        <v>24</v>
      </c>
      <c r="AM895" s="18" t="n">
        <v>24</v>
      </c>
      <c r="AN895" s="16" t="n">
        <v>9811</v>
      </c>
      <c r="AO895" s="17" t="n">
        <v>0</v>
      </c>
      <c r="AP895" s="17" t="n">
        <v>0</v>
      </c>
      <c r="AQ895" s="17" t="n">
        <v>4181</v>
      </c>
      <c r="AR895" s="17" t="n">
        <v>1797</v>
      </c>
      <c r="AS895" s="17" t="n">
        <v>0</v>
      </c>
      <c r="AT895" s="17" t="n">
        <v>2102</v>
      </c>
      <c r="AU895" s="17" t="n">
        <v>1441</v>
      </c>
      <c r="AV895" s="17" t="n">
        <v>0</v>
      </c>
      <c r="AW895" s="17" t="n">
        <v>0</v>
      </c>
      <c r="AX895" s="18" t="n">
        <v>0</v>
      </c>
      <c r="AY895" s="16" t="n">
        <v>10080</v>
      </c>
      <c r="AZ895" s="17" t="n">
        <v>0</v>
      </c>
      <c r="BA895" s="17" t="n">
        <v>0</v>
      </c>
      <c r="BB895" s="17" t="n">
        <v>4320</v>
      </c>
      <c r="BC895" s="17" t="n">
        <v>2160</v>
      </c>
      <c r="BD895" s="17" t="n">
        <v>0</v>
      </c>
      <c r="BE895" s="17" t="n">
        <v>2160</v>
      </c>
      <c r="BF895" s="17" t="n">
        <v>1440</v>
      </c>
      <c r="BG895" s="17" t="n">
        <v>0</v>
      </c>
      <c r="BH895" s="17" t="n">
        <v>0</v>
      </c>
      <c r="BI895" s="18" t="n">
        <v>0</v>
      </c>
      <c r="BJ895" s="16" t="n">
        <v>-269</v>
      </c>
      <c r="BK895" s="17" t="n">
        <v>0</v>
      </c>
      <c r="BL895" s="17" t="n">
        <v>0</v>
      </c>
      <c r="BM895" s="17" t="n">
        <v>-139</v>
      </c>
      <c r="BN895" s="17" t="n">
        <v>-363</v>
      </c>
      <c r="BO895" s="17" t="n">
        <v>0</v>
      </c>
      <c r="BP895" s="17" t="n">
        <v>-58</v>
      </c>
      <c r="BQ895" s="17" t="n">
        <v>1</v>
      </c>
      <c r="BR895" s="17" t="n">
        <v>0</v>
      </c>
      <c r="BS895" s="17" t="n">
        <v>0</v>
      </c>
      <c r="BT895" s="18" t="n">
        <v>0</v>
      </c>
      <c r="BU895" s="17" t="inlineStr">
        <is>
          <t>Branded Drug</t>
        </is>
      </c>
    </row>
    <row r="896" ht="20" customHeight="1">
      <c r="A896" s="15" t="inlineStr">
        <is>
          <t>65162035803</t>
        </is>
      </c>
      <c r="B896" s="15" t="inlineStr">
        <is>
          <t>ZAFEMY 150-35 MCG/24HR TRANSDERMAL PATCH WEEKLY</t>
        </is>
      </c>
      <c r="C896" s="16" t="n">
        <v>3</v>
      </c>
      <c r="D896" s="16" t="n">
        <v>0</v>
      </c>
      <c r="E896" s="16" t="n">
        <v>0</v>
      </c>
      <c r="F896" s="16" t="n">
        <v>0</v>
      </c>
      <c r="G896" s="16" t="n">
        <v>3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0</v>
      </c>
      <c r="N896" s="17" t="n">
        <v>3</v>
      </c>
      <c r="O896" s="17" t="n">
        <v>0</v>
      </c>
      <c r="P896" s="17" t="n">
        <v>0</v>
      </c>
      <c r="Q896" s="18" t="n">
        <v>0</v>
      </c>
      <c r="R896" s="16" t="n">
        <v>1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1</v>
      </c>
      <c r="Z896" s="17" t="n">
        <v>0</v>
      </c>
      <c r="AA896" s="17" t="n">
        <v>0</v>
      </c>
      <c r="AB896" s="18" t="n">
        <v>0</v>
      </c>
      <c r="AC896" s="16" t="n">
        <v>-1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-1</v>
      </c>
      <c r="AK896" s="17" t="n">
        <v>0</v>
      </c>
      <c r="AL896" s="17" t="n">
        <v>0</v>
      </c>
      <c r="AM896" s="18" t="n">
        <v>0</v>
      </c>
      <c r="AN896" s="16" t="n">
        <v>105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105</v>
      </c>
      <c r="AV896" s="17" t="n">
        <v>0</v>
      </c>
      <c r="AW896" s="17" t="n">
        <v>0</v>
      </c>
      <c r="AX896" s="18" t="n">
        <v>0</v>
      </c>
      <c r="AY896" s="16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0</v>
      </c>
      <c r="BG896" s="17" t="n">
        <v>0</v>
      </c>
      <c r="BH896" s="17" t="n">
        <v>0</v>
      </c>
      <c r="BI896" s="18" t="n">
        <v>0</v>
      </c>
      <c r="BJ896" s="16" t="n">
        <v>105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105</v>
      </c>
      <c r="BR896" s="17" t="n">
        <v>0</v>
      </c>
      <c r="BS896" s="17" t="n">
        <v>0</v>
      </c>
      <c r="BT896" s="18" t="n">
        <v>0</v>
      </c>
      <c r="BU896" s="17" t="inlineStr">
        <is>
          <t>Unclassified</t>
        </is>
      </c>
    </row>
    <row r="897" ht="20" customHeight="1">
      <c r="A897" s="15" t="inlineStr">
        <is>
          <t>00002247180</t>
        </is>
      </c>
      <c r="B897" s="15" t="inlineStr">
        <is>
          <t>ZEPBOUND 10 MG/0.5ML AUTO-INJECTOR</t>
        </is>
      </c>
      <c r="C897" s="16" t="n">
        <v>2</v>
      </c>
      <c r="D897" s="16" t="n">
        <v>2</v>
      </c>
      <c r="E897" s="16" t="n">
        <v>2</v>
      </c>
      <c r="F897" s="16" t="n">
        <v>1056</v>
      </c>
      <c r="G897" s="16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2</v>
      </c>
      <c r="P897" s="17" t="n">
        <v>0</v>
      </c>
      <c r="Q897" s="18" t="n">
        <v>0</v>
      </c>
      <c r="R897" s="16" t="n">
        <v>1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8" t="n">
        <v>0</v>
      </c>
      <c r="AC897" s="16" t="n">
        <v>1</v>
      </c>
      <c r="AD897" s="17" t="n">
        <v>2</v>
      </c>
      <c r="AE897" s="17" t="n">
        <v>2</v>
      </c>
      <c r="AF897" s="17" t="n">
        <v>2</v>
      </c>
      <c r="AG897" s="17" t="n">
        <v>2</v>
      </c>
      <c r="AH897" s="17" t="n">
        <v>2</v>
      </c>
      <c r="AI897" s="17" t="n">
        <v>2</v>
      </c>
      <c r="AJ897" s="17" t="n">
        <v>2</v>
      </c>
      <c r="AK897" s="17" t="n">
        <v>1</v>
      </c>
      <c r="AL897" s="17" t="n">
        <v>2</v>
      </c>
      <c r="AM897" s="18" t="n">
        <v>2</v>
      </c>
      <c r="AN897" s="16" t="n">
        <v>1050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1025</v>
      </c>
      <c r="AW897" s="17" t="n">
        <v>0</v>
      </c>
      <c r="AX897" s="18" t="n">
        <v>0</v>
      </c>
      <c r="AY897" s="16" t="n">
        <v>1056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1056</v>
      </c>
      <c r="BH897" s="17" t="n">
        <v>0</v>
      </c>
      <c r="BI897" s="18" t="n">
        <v>0</v>
      </c>
      <c r="BJ897" s="16" t="n">
        <v>-6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-31</v>
      </c>
      <c r="BS897" s="17" t="n">
        <v>0</v>
      </c>
      <c r="BT897" s="18" t="n">
        <v>0</v>
      </c>
      <c r="BU897" s="17" t="inlineStr">
        <is>
          <t>Branded Drug</t>
        </is>
      </c>
    </row>
    <row r="898" ht="20" customHeight="1">
      <c r="A898" s="15" t="inlineStr">
        <is>
          <t>00002246080</t>
        </is>
      </c>
      <c r="B898" s="15" t="inlineStr">
        <is>
          <t>ZEPBOUND 12.5 MG/0.5ML AUTO-INJECTOR</t>
        </is>
      </c>
      <c r="C898" s="16" t="n">
        <v>2</v>
      </c>
      <c r="D898" s="16" t="n">
        <v>1</v>
      </c>
      <c r="E898" s="16" t="n">
        <v>1</v>
      </c>
      <c r="F898" s="16" t="n">
        <v>1056</v>
      </c>
      <c r="G898" s="16" t="n">
        <v>2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2</v>
      </c>
      <c r="P898" s="17" t="n">
        <v>0</v>
      </c>
      <c r="Q898" s="18" t="n">
        <v>0</v>
      </c>
      <c r="R898" s="16" t="n">
        <v>1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1</v>
      </c>
      <c r="AA898" s="17" t="n">
        <v>0</v>
      </c>
      <c r="AB898" s="18" t="n">
        <v>0</v>
      </c>
      <c r="AC898" s="16" t="n">
        <v>0</v>
      </c>
      <c r="AD898" s="17" t="n">
        <v>1</v>
      </c>
      <c r="AE898" s="17" t="n">
        <v>1</v>
      </c>
      <c r="AF898" s="17" t="n">
        <v>1</v>
      </c>
      <c r="AG898" s="17" t="n">
        <v>1</v>
      </c>
      <c r="AH898" s="17" t="n">
        <v>1</v>
      </c>
      <c r="AI898" s="17" t="n">
        <v>1</v>
      </c>
      <c r="AJ898" s="17" t="n">
        <v>1</v>
      </c>
      <c r="AK898" s="17" t="n">
        <v>0</v>
      </c>
      <c r="AL898" s="17" t="n">
        <v>1</v>
      </c>
      <c r="AM898" s="18" t="n">
        <v>1</v>
      </c>
      <c r="AN898" s="16" t="n">
        <v>1052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960</v>
      </c>
      <c r="AW898" s="17" t="n">
        <v>0</v>
      </c>
      <c r="AX898" s="18" t="n">
        <v>0</v>
      </c>
      <c r="AY898" s="16" t="n">
        <v>1056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7" t="n">
        <v>0</v>
      </c>
      <c r="BG898" s="17" t="n">
        <v>1056</v>
      </c>
      <c r="BH898" s="17" t="n">
        <v>0</v>
      </c>
      <c r="BI898" s="18" t="n">
        <v>0</v>
      </c>
      <c r="BJ898" s="16" t="n">
        <v>-4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-96</v>
      </c>
      <c r="BS898" s="17" t="n">
        <v>0</v>
      </c>
      <c r="BT898" s="18" t="n">
        <v>0</v>
      </c>
      <c r="BU898" s="17" t="inlineStr">
        <is>
          <t>Branded Drug</t>
        </is>
      </c>
    </row>
    <row r="899" ht="20" customHeight="1">
      <c r="A899" s="15" t="inlineStr">
        <is>
          <t>00536131698</t>
        </is>
      </c>
      <c r="B899" s="15" t="inlineStr">
        <is>
          <t>ZINC OXIDE 20 % EXTERNAL OINTMENT</t>
        </is>
      </c>
      <c r="C899" s="16" t="n">
        <v>454</v>
      </c>
      <c r="D899" s="16" t="n">
        <v>4</v>
      </c>
      <c r="E899" s="16" t="n">
        <v>4</v>
      </c>
      <c r="F899" s="16" t="n">
        <v>8</v>
      </c>
      <c r="G899" s="16" t="n">
        <v>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1362</v>
      </c>
      <c r="O899" s="17" t="n">
        <v>0</v>
      </c>
      <c r="P899" s="17" t="n">
        <v>0</v>
      </c>
      <c r="Q899" s="18" t="n">
        <v>0</v>
      </c>
      <c r="R899" s="16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3</v>
      </c>
      <c r="Z899" s="17" t="n">
        <v>0</v>
      </c>
      <c r="AA899" s="17" t="n">
        <v>0</v>
      </c>
      <c r="AB899" s="18" t="n">
        <v>0</v>
      </c>
      <c r="AC899" s="16" t="n">
        <v>4</v>
      </c>
      <c r="AD899" s="17" t="n">
        <v>4</v>
      </c>
      <c r="AE899" s="17" t="n">
        <v>4</v>
      </c>
      <c r="AF899" s="17" t="n">
        <v>4</v>
      </c>
      <c r="AG899" s="17" t="n">
        <v>4</v>
      </c>
      <c r="AH899" s="17" t="n">
        <v>4</v>
      </c>
      <c r="AI899" s="17" t="n">
        <v>4</v>
      </c>
      <c r="AJ899" s="17" t="n">
        <v>1</v>
      </c>
      <c r="AK899" s="17" t="n">
        <v>4</v>
      </c>
      <c r="AL899" s="17" t="n">
        <v>4</v>
      </c>
      <c r="AM899" s="18" t="n">
        <v>4</v>
      </c>
      <c r="AN899" s="16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41</v>
      </c>
      <c r="AV899" s="17" t="n">
        <v>0</v>
      </c>
      <c r="AW899" s="17" t="n">
        <v>0</v>
      </c>
      <c r="AX899" s="18" t="n">
        <v>0</v>
      </c>
      <c r="AY899" s="16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24</v>
      </c>
      <c r="BG899" s="17" t="n">
        <v>0</v>
      </c>
      <c r="BH899" s="17" t="n">
        <v>0</v>
      </c>
      <c r="BI899" s="18" t="n">
        <v>0</v>
      </c>
      <c r="BJ899" s="16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17</v>
      </c>
      <c r="BR899" s="17" t="n">
        <v>0</v>
      </c>
      <c r="BS899" s="17" t="n">
        <v>0</v>
      </c>
      <c r="BT899" s="18" t="n">
        <v>0</v>
      </c>
      <c r="BU899" s="17" t="inlineStr">
        <is>
          <t>OTC Drug</t>
        </is>
      </c>
    </row>
    <row r="900" ht="20" customHeight="1">
      <c r="A900" s="15" t="inlineStr">
        <is>
          <t>55111025660</t>
        </is>
      </c>
      <c r="B900" s="15" t="inlineStr">
        <is>
          <t xml:space="preserve">ZIPRASIDONE 20MG CAP </t>
        </is>
      </c>
      <c r="C900" s="16" t="n">
        <v>60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0</v>
      </c>
      <c r="K900" s="17" t="n">
        <v>0</v>
      </c>
      <c r="L900" s="17" t="n">
        <v>0</v>
      </c>
      <c r="M900" s="17" t="n">
        <v>0</v>
      </c>
      <c r="N900" s="17" t="n">
        <v>60</v>
      </c>
      <c r="O900" s="17" t="n">
        <v>0</v>
      </c>
      <c r="P900" s="17" t="n">
        <v>0</v>
      </c>
      <c r="Q900" s="18" t="n">
        <v>0</v>
      </c>
      <c r="R900" s="16" t="n">
        <v>1</v>
      </c>
      <c r="S900" s="17" t="n">
        <v>0</v>
      </c>
      <c r="T900" s="17" t="n">
        <v>0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1</v>
      </c>
      <c r="Z900" s="17" t="n">
        <v>0</v>
      </c>
      <c r="AA900" s="17" t="n">
        <v>0</v>
      </c>
      <c r="AB900" s="18" t="n">
        <v>0</v>
      </c>
      <c r="AC900" s="16" t="n">
        <v>-1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-1</v>
      </c>
      <c r="AK900" s="17" t="n">
        <v>0</v>
      </c>
      <c r="AL900" s="17" t="n">
        <v>0</v>
      </c>
      <c r="AM900" s="18" t="n">
        <v>0</v>
      </c>
      <c r="AN900" s="16" t="n">
        <v>29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29</v>
      </c>
      <c r="AV900" s="17" t="n">
        <v>0</v>
      </c>
      <c r="AW900" s="17" t="n">
        <v>0</v>
      </c>
      <c r="AX900" s="18" t="n">
        <v>0</v>
      </c>
      <c r="AY900" s="16" t="n">
        <v>0</v>
      </c>
      <c r="AZ900" s="17" t="n">
        <v>0</v>
      </c>
      <c r="BA900" s="17" t="n">
        <v>0</v>
      </c>
      <c r="BB900" s="17" t="n">
        <v>0</v>
      </c>
      <c r="BC900" s="17" t="n">
        <v>0</v>
      </c>
      <c r="BD900" s="17" t="n">
        <v>0</v>
      </c>
      <c r="BE900" s="17" t="n">
        <v>0</v>
      </c>
      <c r="BF900" s="17" t="n">
        <v>0</v>
      </c>
      <c r="BG900" s="17" t="n">
        <v>0</v>
      </c>
      <c r="BH900" s="17" t="n">
        <v>0</v>
      </c>
      <c r="BI900" s="18" t="n">
        <v>0</v>
      </c>
      <c r="BJ900" s="16" t="n">
        <v>29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29</v>
      </c>
      <c r="BR900" s="17" t="n">
        <v>0</v>
      </c>
      <c r="BS900" s="17" t="n">
        <v>0</v>
      </c>
      <c r="BT900" s="18" t="n">
        <v>0</v>
      </c>
      <c r="BU900" s="17" t="inlineStr">
        <is>
          <t>Unclassified</t>
        </is>
      </c>
    </row>
    <row r="901" ht="20" customHeight="1">
      <c r="A901" s="15" t="inlineStr">
        <is>
          <t>62332018203</t>
        </is>
      </c>
      <c r="B901" s="15" t="inlineStr">
        <is>
          <t>ZOLMITRIPTAN 5 MG ORAL TABLET DISINTEGRATING</t>
        </is>
      </c>
      <c r="C901" s="16" t="n">
        <v>3</v>
      </c>
      <c r="D901" s="16" t="n">
        <v>3</v>
      </c>
      <c r="E901" s="16" t="n">
        <v>3</v>
      </c>
      <c r="F901" s="16" t="n">
        <v>11</v>
      </c>
      <c r="G901" s="16" t="n">
        <v>9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9</v>
      </c>
      <c r="O901" s="17" t="n">
        <v>0</v>
      </c>
      <c r="P901" s="17" t="n">
        <v>0</v>
      </c>
      <c r="Q901" s="18" t="n">
        <v>0</v>
      </c>
      <c r="R901" s="16" t="n">
        <v>3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3</v>
      </c>
      <c r="Z901" s="17" t="n">
        <v>0</v>
      </c>
      <c r="AA901" s="17" t="n">
        <v>0</v>
      </c>
      <c r="AB901" s="18" t="n">
        <v>0</v>
      </c>
      <c r="AC901" s="16" t="n">
        <v>0</v>
      </c>
      <c r="AD901" s="17" t="n">
        <v>3</v>
      </c>
      <c r="AE901" s="17" t="n">
        <v>3</v>
      </c>
      <c r="AF901" s="17" t="n">
        <v>3</v>
      </c>
      <c r="AG901" s="17" t="n">
        <v>3</v>
      </c>
      <c r="AH901" s="17" t="n">
        <v>3</v>
      </c>
      <c r="AI901" s="17" t="n">
        <v>3</v>
      </c>
      <c r="AJ901" s="17" t="n">
        <v>0</v>
      </c>
      <c r="AK901" s="17" t="n">
        <v>3</v>
      </c>
      <c r="AL901" s="17" t="n">
        <v>3</v>
      </c>
      <c r="AM901" s="18" t="n">
        <v>3</v>
      </c>
      <c r="AN901" s="16" t="n">
        <v>41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41</v>
      </c>
      <c r="AV901" s="17" t="n">
        <v>0</v>
      </c>
      <c r="AW901" s="17" t="n">
        <v>0</v>
      </c>
      <c r="AX901" s="18" t="n">
        <v>0</v>
      </c>
      <c r="AY901" s="16" t="n">
        <v>33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33</v>
      </c>
      <c r="BG901" s="17" t="n">
        <v>0</v>
      </c>
      <c r="BH901" s="17" t="n">
        <v>0</v>
      </c>
      <c r="BI901" s="18" t="n">
        <v>0</v>
      </c>
      <c r="BJ901" s="16" t="n">
        <v>8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8</v>
      </c>
      <c r="BR901" s="17" t="n">
        <v>0</v>
      </c>
      <c r="BS901" s="17" t="n">
        <v>0</v>
      </c>
      <c r="BT901" s="18" t="n">
        <v>0</v>
      </c>
      <c r="BU901" s="17" t="inlineStr">
        <is>
          <t>Generic Drug</t>
        </is>
      </c>
    </row>
    <row r="902" ht="20" customHeight="1">
      <c r="A902" s="15" t="inlineStr">
        <is>
          <t>13668000805</t>
        </is>
      </c>
      <c r="B902" s="15" t="inlineStr">
        <is>
          <t xml:space="preserve">ZOLPIDEM TARTRATE 10MG TAB </t>
        </is>
      </c>
      <c r="C902" s="16" t="n">
        <v>500</v>
      </c>
      <c r="D902" s="16" t="n">
        <v>0</v>
      </c>
      <c r="E902" s="16" t="n">
        <v>0</v>
      </c>
      <c r="F902" s="16" t="n">
        <v>0</v>
      </c>
      <c r="G902" s="16" t="n">
        <v>345</v>
      </c>
      <c r="H902" s="17" t="n">
        <v>0</v>
      </c>
      <c r="I902" s="17" t="n">
        <v>15</v>
      </c>
      <c r="J902" s="17" t="n">
        <v>270</v>
      </c>
      <c r="K902" s="17" t="n">
        <v>0</v>
      </c>
      <c r="L902" s="17" t="n">
        <v>0</v>
      </c>
      <c r="M902" s="17" t="n">
        <v>30</v>
      </c>
      <c r="N902" s="17" t="n">
        <v>30</v>
      </c>
      <c r="O902" s="17" t="n">
        <v>0</v>
      </c>
      <c r="P902" s="17" t="n">
        <v>0</v>
      </c>
      <c r="Q902" s="18" t="n">
        <v>0</v>
      </c>
      <c r="R902" s="16" t="n">
        <v>0.6899999999999999</v>
      </c>
      <c r="S902" s="17" t="n">
        <v>0</v>
      </c>
      <c r="T902" s="17" t="n">
        <v>0.03</v>
      </c>
      <c r="U902" s="17" t="n">
        <v>0.54</v>
      </c>
      <c r="V902" s="17" t="n">
        <v>0</v>
      </c>
      <c r="W902" s="17" t="n">
        <v>0</v>
      </c>
      <c r="X902" s="17" t="n">
        <v>0.06</v>
      </c>
      <c r="Y902" s="17" t="n">
        <v>0.06</v>
      </c>
      <c r="Z902" s="17" t="n">
        <v>0</v>
      </c>
      <c r="AA902" s="17" t="n">
        <v>0</v>
      </c>
      <c r="AB902" s="18" t="n">
        <v>0</v>
      </c>
      <c r="AC902" s="16" t="n">
        <v>-0.6899999999999999</v>
      </c>
      <c r="AD902" s="17" t="n">
        <v>0</v>
      </c>
      <c r="AE902" s="17" t="n">
        <v>-0.03</v>
      </c>
      <c r="AF902" s="17" t="n">
        <v>-0.54</v>
      </c>
      <c r="AG902" s="17" t="n">
        <v>0</v>
      </c>
      <c r="AH902" s="17" t="n">
        <v>0</v>
      </c>
      <c r="AI902" s="17" t="n">
        <v>-0.06</v>
      </c>
      <c r="AJ902" s="17" t="n">
        <v>-0.06</v>
      </c>
      <c r="AK902" s="17" t="n">
        <v>0</v>
      </c>
      <c r="AL902" s="17" t="n">
        <v>0</v>
      </c>
      <c r="AM902" s="18" t="n">
        <v>0</v>
      </c>
      <c r="AN902" s="16" t="n">
        <v>18</v>
      </c>
      <c r="AO902" s="17" t="n">
        <v>0</v>
      </c>
      <c r="AP902" s="17" t="n">
        <v>0</v>
      </c>
      <c r="AQ902" s="17" t="n">
        <v>2</v>
      </c>
      <c r="AR902" s="17" t="n">
        <v>0</v>
      </c>
      <c r="AS902" s="17" t="n">
        <v>0</v>
      </c>
      <c r="AT902" s="17" t="n">
        <v>3</v>
      </c>
      <c r="AU902" s="17" t="n">
        <v>11</v>
      </c>
      <c r="AV902" s="17" t="n">
        <v>0</v>
      </c>
      <c r="AW902" s="17" t="n">
        <v>0</v>
      </c>
      <c r="AX902" s="18" t="n">
        <v>0</v>
      </c>
      <c r="AY902" s="16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7" t="n">
        <v>0</v>
      </c>
      <c r="BG902" s="17" t="n">
        <v>0</v>
      </c>
      <c r="BH902" s="17" t="n">
        <v>0</v>
      </c>
      <c r="BI902" s="18" t="n">
        <v>0</v>
      </c>
      <c r="BJ902" s="16" t="n">
        <v>18</v>
      </c>
      <c r="BK902" s="17" t="n">
        <v>0</v>
      </c>
      <c r="BL902" s="17" t="n">
        <v>0</v>
      </c>
      <c r="BM902" s="17" t="n">
        <v>2</v>
      </c>
      <c r="BN902" s="17" t="n">
        <v>0</v>
      </c>
      <c r="BO902" s="17" t="n">
        <v>0</v>
      </c>
      <c r="BP902" s="17" t="n">
        <v>3</v>
      </c>
      <c r="BQ902" s="17" t="n">
        <v>11</v>
      </c>
      <c r="BR902" s="17" t="n">
        <v>0</v>
      </c>
      <c r="BS902" s="17" t="n">
        <v>0</v>
      </c>
      <c r="BT902" s="18" t="n">
        <v>0</v>
      </c>
      <c r="BU902" s="17" t="inlineStr">
        <is>
          <t>Unclassified</t>
        </is>
      </c>
    </row>
    <row r="903" ht="20" customHeight="1">
      <c r="A903" s="15" t="inlineStr">
        <is>
          <t>13668000705</t>
        </is>
      </c>
      <c r="B903" s="15" t="inlineStr">
        <is>
          <t xml:space="preserve">ZOLPIDEM TARTRATE 5MG TAB 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80</v>
      </c>
      <c r="H903" s="17" t="n">
        <v>0</v>
      </c>
      <c r="I903" s="17" t="n">
        <v>0</v>
      </c>
      <c r="J903" s="17" t="n">
        <v>50</v>
      </c>
      <c r="K903" s="17" t="n">
        <v>30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8" t="n">
        <v>0</v>
      </c>
      <c r="R903" s="16" t="n">
        <v>0.16</v>
      </c>
      <c r="S903" s="17" t="n">
        <v>0</v>
      </c>
      <c r="T903" s="17" t="n">
        <v>0</v>
      </c>
      <c r="U903" s="17" t="n">
        <v>0.1</v>
      </c>
      <c r="V903" s="17" t="n">
        <v>0.06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8" t="n">
        <v>0</v>
      </c>
      <c r="AC903" s="16" t="n">
        <v>-0.16</v>
      </c>
      <c r="AD903" s="17" t="n">
        <v>0</v>
      </c>
      <c r="AE903" s="17" t="n">
        <v>0</v>
      </c>
      <c r="AF903" s="17" t="n">
        <v>-0.1</v>
      </c>
      <c r="AG903" s="17" t="n">
        <v>-0.06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8" t="n">
        <v>0</v>
      </c>
      <c r="AN903" s="16" t="n">
        <v>1</v>
      </c>
      <c r="AO903" s="17" t="n">
        <v>0</v>
      </c>
      <c r="AP903" s="17" t="n">
        <v>0</v>
      </c>
      <c r="AQ903" s="17" t="n">
        <v>0</v>
      </c>
      <c r="AR903" s="17" t="n">
        <v>1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8" t="n">
        <v>0</v>
      </c>
      <c r="AY903" s="16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8" t="n">
        <v>0</v>
      </c>
      <c r="BJ903" s="16" t="n">
        <v>1</v>
      </c>
      <c r="BK903" s="17" t="n">
        <v>0</v>
      </c>
      <c r="BL903" s="17" t="n">
        <v>0</v>
      </c>
      <c r="BM903" s="17" t="n">
        <v>0</v>
      </c>
      <c r="BN903" s="17" t="n">
        <v>1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8" t="n">
        <v>0</v>
      </c>
      <c r="BU903" s="17" t="inlineStr">
        <is>
          <t>Unclassified</t>
        </is>
      </c>
    </row>
    <row r="904" ht="20" customHeight="1">
      <c r="A904" s="15" t="inlineStr">
        <is>
          <t>80610013060</t>
        </is>
      </c>
      <c r="B904" s="15" t="inlineStr">
        <is>
          <t>ZORYVE 0.3 % EXTERNAL CREAM</t>
        </is>
      </c>
      <c r="C904" s="16" t="n">
        <v>60</v>
      </c>
      <c r="D904" s="16" t="n">
        <v>0</v>
      </c>
      <c r="E904" s="16" t="n">
        <v>0</v>
      </c>
      <c r="F904" s="16" t="n">
        <v>0</v>
      </c>
      <c r="G904" s="16" t="n">
        <v>60</v>
      </c>
      <c r="H904" s="17" t="n">
        <v>0</v>
      </c>
      <c r="I904" s="17" t="n">
        <v>0</v>
      </c>
      <c r="J904" s="17" t="n">
        <v>0</v>
      </c>
      <c r="K904" s="17" t="n">
        <v>0</v>
      </c>
      <c r="L904" s="17" t="n">
        <v>0</v>
      </c>
      <c r="M904" s="17" t="n">
        <v>0</v>
      </c>
      <c r="N904" s="17" t="n">
        <v>60</v>
      </c>
      <c r="O904" s="17" t="n">
        <v>0</v>
      </c>
      <c r="P904" s="17" t="n">
        <v>0</v>
      </c>
      <c r="Q904" s="18" t="n">
        <v>0</v>
      </c>
      <c r="R904" s="16" t="n">
        <v>1</v>
      </c>
      <c r="S904" s="17" t="n">
        <v>0</v>
      </c>
      <c r="T904" s="17" t="n">
        <v>0</v>
      </c>
      <c r="U904" s="17" t="n">
        <v>0</v>
      </c>
      <c r="V904" s="17" t="n">
        <v>0</v>
      </c>
      <c r="W904" s="17" t="n">
        <v>0</v>
      </c>
      <c r="X904" s="17" t="n">
        <v>0</v>
      </c>
      <c r="Y904" s="17" t="n">
        <v>1</v>
      </c>
      <c r="Z904" s="17" t="n">
        <v>0</v>
      </c>
      <c r="AA904" s="17" t="n">
        <v>0</v>
      </c>
      <c r="AB904" s="18" t="n">
        <v>0</v>
      </c>
      <c r="AC904" s="16" t="n">
        <v>-1</v>
      </c>
      <c r="AD904" s="17" t="n">
        <v>0</v>
      </c>
      <c r="AE904" s="17" t="n">
        <v>0</v>
      </c>
      <c r="AF904" s="17" t="n">
        <v>0</v>
      </c>
      <c r="AG904" s="17" t="n">
        <v>0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8" t="n">
        <v>0</v>
      </c>
      <c r="AN904" s="16" t="n">
        <v>934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7" t="n">
        <v>0</v>
      </c>
      <c r="AT904" s="17" t="n">
        <v>0</v>
      </c>
      <c r="AU904" s="17" t="n">
        <v>934</v>
      </c>
      <c r="AV904" s="17" t="n">
        <v>0</v>
      </c>
      <c r="AW904" s="17" t="n">
        <v>0</v>
      </c>
      <c r="AX904" s="18" t="n">
        <v>0</v>
      </c>
      <c r="AY904" s="16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7" t="n">
        <v>0</v>
      </c>
      <c r="BG904" s="17" t="n">
        <v>0</v>
      </c>
      <c r="BH904" s="17" t="n">
        <v>0</v>
      </c>
      <c r="BI904" s="18" t="n">
        <v>0</v>
      </c>
      <c r="BJ904" s="16" t="n">
        <v>934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934</v>
      </c>
      <c r="BR904" s="17" t="n">
        <v>0</v>
      </c>
      <c r="BS904" s="17" t="n">
        <v>0</v>
      </c>
      <c r="BT904" s="18" t="n">
        <v>0</v>
      </c>
      <c r="BU904" s="17" t="inlineStr">
        <is>
          <t>Unclassified</t>
        </is>
      </c>
    </row>
    <row r="905" ht="20" customHeight="1">
      <c r="A905" s="15" t="inlineStr">
        <is>
          <t>80610043060</t>
        </is>
      </c>
      <c r="B905" s="15" t="inlineStr">
        <is>
          <t>ZORYVE 0.3 % EXTERNAL FOAM</t>
        </is>
      </c>
      <c r="C905" s="16" t="n">
        <v>60</v>
      </c>
      <c r="D905" s="16" t="n">
        <v>0</v>
      </c>
      <c r="E905" s="16" t="n">
        <v>0</v>
      </c>
      <c r="F905" s="16" t="n">
        <v>0</v>
      </c>
      <c r="G905" s="16" t="n">
        <v>60</v>
      </c>
      <c r="H905" s="17" t="n">
        <v>0</v>
      </c>
      <c r="I905" s="17" t="n">
        <v>0</v>
      </c>
      <c r="J905" s="17" t="n">
        <v>60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8" t="n">
        <v>0</v>
      </c>
      <c r="R905" s="16" t="n">
        <v>1</v>
      </c>
      <c r="S905" s="17" t="n">
        <v>0</v>
      </c>
      <c r="T905" s="17" t="n">
        <v>0</v>
      </c>
      <c r="U905" s="17" t="n">
        <v>1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8" t="n">
        <v>0</v>
      </c>
      <c r="AC905" s="16" t="n">
        <v>-1</v>
      </c>
      <c r="AD905" s="17" t="n">
        <v>0</v>
      </c>
      <c r="AE905" s="17" t="n">
        <v>0</v>
      </c>
      <c r="AF905" s="17" t="n">
        <v>-1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8" t="n">
        <v>0</v>
      </c>
      <c r="AN905" s="16" t="n">
        <v>918</v>
      </c>
      <c r="AO905" s="17" t="n">
        <v>0</v>
      </c>
      <c r="AP905" s="17" t="n">
        <v>0</v>
      </c>
      <c r="AQ905" s="17" t="n">
        <v>913</v>
      </c>
      <c r="AR905" s="17" t="n">
        <v>0</v>
      </c>
      <c r="AS905" s="17" t="n">
        <v>0</v>
      </c>
      <c r="AT905" s="17" t="n">
        <v>0</v>
      </c>
      <c r="AU905" s="17" t="n">
        <v>0</v>
      </c>
      <c r="AV905" s="17" t="n">
        <v>0</v>
      </c>
      <c r="AW905" s="17" t="n">
        <v>0</v>
      </c>
      <c r="AX905" s="18" t="n">
        <v>0</v>
      </c>
      <c r="AY905" s="16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8" t="n">
        <v>0</v>
      </c>
      <c r="BJ905" s="16" t="n">
        <v>918</v>
      </c>
      <c r="BK905" s="17" t="n">
        <v>0</v>
      </c>
      <c r="BL905" s="17" t="n">
        <v>0</v>
      </c>
      <c r="BM905" s="17" t="n">
        <v>913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8" t="n">
        <v>0</v>
      </c>
      <c r="BU905" s="17" t="inlineStr">
        <is>
          <t>Unclassified</t>
        </is>
      </c>
    </row>
    <row r="906" ht="20" customHeight="1">
      <c r="A906" s="19" t="inlineStr">
        <is>
          <t>69557011130</t>
        </is>
      </c>
      <c r="B906" s="19" t="inlineStr">
        <is>
          <t>ZTLIDO 1.8 % EXTERNAL PATCH</t>
        </is>
      </c>
      <c r="C906" s="20" t="n">
        <v>30</v>
      </c>
      <c r="D906" s="20" t="n">
        <v>0</v>
      </c>
      <c r="E906" s="20" t="n">
        <v>0</v>
      </c>
      <c r="F906" s="20" t="n">
        <v>0</v>
      </c>
      <c r="G906" s="20" t="n">
        <v>60</v>
      </c>
      <c r="H906" s="21" t="n">
        <v>0</v>
      </c>
      <c r="I906" s="21" t="n">
        <v>0</v>
      </c>
      <c r="J906" s="21" t="n">
        <v>60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2" t="n">
        <v>0</v>
      </c>
      <c r="R906" s="20" t="n">
        <v>2</v>
      </c>
      <c r="S906" s="21" t="n">
        <v>0</v>
      </c>
      <c r="T906" s="21" t="n">
        <v>0</v>
      </c>
      <c r="U906" s="21" t="n">
        <v>2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2" t="n">
        <v>0</v>
      </c>
      <c r="AC906" s="20" t="n">
        <v>-2</v>
      </c>
      <c r="AD906" s="21" t="n">
        <v>0</v>
      </c>
      <c r="AE906" s="21" t="n">
        <v>0</v>
      </c>
      <c r="AF906" s="21" t="n">
        <v>-2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2" t="n">
        <v>0</v>
      </c>
      <c r="AN906" s="20" t="n">
        <v>721</v>
      </c>
      <c r="AO906" s="21" t="n">
        <v>0</v>
      </c>
      <c r="AP906" s="21" t="n">
        <v>0</v>
      </c>
      <c r="AQ906" s="21" t="n">
        <v>715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2" t="n">
        <v>0</v>
      </c>
      <c r="AY906" s="20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0</v>
      </c>
      <c r="BI906" s="22" t="n">
        <v>0</v>
      </c>
      <c r="BJ906" s="20" t="n">
        <v>721</v>
      </c>
      <c r="BK906" s="21" t="n">
        <v>0</v>
      </c>
      <c r="BL906" s="21" t="n">
        <v>0</v>
      </c>
      <c r="BM906" s="21" t="n">
        <v>715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2" t="n">
        <v>0</v>
      </c>
      <c r="BU906" s="17" t="inlineStr">
        <is>
          <t>Unclassified</t>
        </is>
      </c>
    </row>
    <row r="907">
      <c r="A907" s="23" t="inlineStr">
        <is>
          <t>Totals</t>
        </is>
      </c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5">
        <f>SUM(AN4:AN906)</f>
        <v/>
      </c>
      <c r="AO907" s="25">
        <f>SUM(AO4:AO906)</f>
        <v/>
      </c>
      <c r="AP907" s="25">
        <f>SUM(AP4:AP906)</f>
        <v/>
      </c>
      <c r="AQ907" s="25">
        <f>SUM(AQ4:AQ906)</f>
        <v/>
      </c>
      <c r="AR907" s="25">
        <f>SUM(AR4:AR906)</f>
        <v/>
      </c>
      <c r="AS907" s="25">
        <f>SUM(AS4:AS906)</f>
        <v/>
      </c>
      <c r="AT907" s="25">
        <f>SUM(AT4:AT906)</f>
        <v/>
      </c>
      <c r="AU907" s="25">
        <f>SUM(AU4:AU906)</f>
        <v/>
      </c>
      <c r="AV907" s="25">
        <f>SUM(AV4:AV906)</f>
        <v/>
      </c>
      <c r="AW907" s="25">
        <f>SUM(AW4:AW906)</f>
        <v/>
      </c>
      <c r="AX907" s="25">
        <f>SUM(AX4:AX906)</f>
        <v/>
      </c>
      <c r="AY907" s="25">
        <f>SUM(AY4:AY906)</f>
        <v/>
      </c>
      <c r="AZ907" s="25">
        <f>SUM(AZ4:AZ906)</f>
        <v/>
      </c>
      <c r="BA907" s="25">
        <f>SUM(BA4:BA906)</f>
        <v/>
      </c>
      <c r="BB907" s="25">
        <f>SUM(BB4:BB906)</f>
        <v/>
      </c>
      <c r="BC907" s="25">
        <f>SUM(BC4:BC906)</f>
        <v/>
      </c>
      <c r="BD907" s="25">
        <f>SUM(BD4:BD906)</f>
        <v/>
      </c>
      <c r="BE907" s="25">
        <f>SUM(BE4:BE906)</f>
        <v/>
      </c>
      <c r="BF907" s="25">
        <f>SUM(BF4:BF906)</f>
        <v/>
      </c>
      <c r="BG907" s="25">
        <f>SUM(BG4:BG906)</f>
        <v/>
      </c>
      <c r="BH907" s="25">
        <f>SUM(BH4:BH906)</f>
        <v/>
      </c>
      <c r="BI907" s="25">
        <f>SUM(BI4:BI906)</f>
        <v/>
      </c>
      <c r="BJ907" s="25">
        <f>SUM(BJ4:BJ906)</f>
        <v/>
      </c>
      <c r="BK907" s="25">
        <f>SUM(BK4:BK906)</f>
        <v/>
      </c>
      <c r="BL907" s="25">
        <f>SUM(BL4:BL906)</f>
        <v/>
      </c>
      <c r="BM907" s="25">
        <f>SUM(BM4:BM906)</f>
        <v/>
      </c>
      <c r="BN907" s="25">
        <f>SUM(BN4:BN906)</f>
        <v/>
      </c>
      <c r="BO907" s="25">
        <f>SUM(BO4:BO906)</f>
        <v/>
      </c>
      <c r="BP907" s="25">
        <f>SUM(BP4:BP906)</f>
        <v/>
      </c>
      <c r="BQ907" s="25">
        <f>SUM(BQ4:BQ906)</f>
        <v/>
      </c>
      <c r="BR907" s="25">
        <f>SUM(BR4:BR906)</f>
        <v/>
      </c>
      <c r="BS907" s="25">
        <f>SUM(BS4:BS906)</f>
        <v/>
      </c>
      <c r="BT907" s="25">
        <f>SUM(BT4:BT906)</f>
        <v/>
      </c>
      <c r="BU907" s="24" t="n"/>
    </row>
  </sheetData>
  <autoFilter ref="A3:BU907"/>
  <mergeCells count="7">
    <mergeCell ref="AC2:AM2"/>
    <mergeCell ref="R2:AB2"/>
    <mergeCell ref="G2:Q2"/>
    <mergeCell ref="AY2:BI2"/>
    <mergeCell ref="AN2:AX2"/>
    <mergeCell ref="A1:BT1"/>
    <mergeCell ref="BJ2:BT2"/>
  </mergeCells>
  <conditionalFormatting sqref="AC4:AC906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D4:AD906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E4:AE906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F4:AF906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G4:AG906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H4:AH906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I4:AI906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J4:AJ906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K4:AK906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L4:AL906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M4:AM906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4:BU906">
    <cfRule type="expression" priority="23" dxfId="2" stopIfTrue="0">
      <formula>COUNTIF($AC4:$AM4,"&lt;0")&gt;0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20" customWidth="1" min="18" max="18"/>
    <col width="20" customWidth="1" min="19" max="19"/>
  </cols>
  <sheetData>
    <row r="1" ht="30" customHeight="1">
      <c r="A1" s="30" t="inlineStr">
        <is>
          <t>Trial 20 (Feb 2026 -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2" t="inlineStr">
        <is>
          <t>TREDIUM_D</t>
        </is>
      </c>
      <c r="N2" s="31" t="inlineStr">
        <is>
          <t>To Order</t>
        </is>
      </c>
      <c r="O2" s="31" t="inlineStr">
        <is>
          <t>Paper Work</t>
        </is>
      </c>
      <c r="P2" s="31" t="inlineStr">
        <is>
          <t>PRICE</t>
        </is>
      </c>
      <c r="Q2" s="31" t="inlineStr">
        <is>
          <t>Total Order Price</t>
        </is>
      </c>
      <c r="R2" s="33" t="inlineStr">
        <is>
          <t>Insurance-wise Order Estimate ($)</t>
        </is>
      </c>
      <c r="S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-1</v>
      </c>
      <c r="K3" s="36" t="n">
        <v>0</v>
      </c>
      <c r="L3" s="36" t="n">
        <v>0</v>
      </c>
      <c r="M3" s="36" t="n">
        <v>0</v>
      </c>
      <c r="N3" s="37" t="n">
        <v>1</v>
      </c>
      <c r="O3" s="38" t="inlineStr">
        <is>
          <t> </t>
        </is>
      </c>
      <c r="P3" s="39" t="n">
        <v>0</v>
      </c>
      <c r="Q3" s="40" t="n">
        <v>0</v>
      </c>
      <c r="R3" s="41" t="inlineStr">
        <is>
          <t>ADAP_D</t>
        </is>
      </c>
      <c r="S3" s="42">
        <f>SUMPRODUCT((-D3:D676)*(D3:D676&lt;0),P3:P676)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0</v>
      </c>
      <c r="F4" s="36" t="n">
        <v>-3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7" t="n">
        <v>3</v>
      </c>
      <c r="O4" s="38" t="inlineStr">
        <is>
          <t> </t>
        </is>
      </c>
      <c r="P4" s="39" t="n">
        <v>0</v>
      </c>
      <c r="Q4" s="40" t="n">
        <v>0</v>
      </c>
      <c r="R4" s="41" t="inlineStr">
        <is>
          <t>ARG/HUM_D</t>
        </is>
      </c>
      <c r="S4" s="42">
        <f>SUMPRODUCT((-E3:E676)*(E3:E676&lt;0),P3:P676)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-1</v>
      </c>
      <c r="K5" s="36" t="n">
        <v>0</v>
      </c>
      <c r="L5" s="36" t="n">
        <v>0</v>
      </c>
      <c r="M5" s="36" t="n">
        <v>0</v>
      </c>
      <c r="N5" s="37" t="n">
        <v>1</v>
      </c>
      <c r="O5" s="38" t="inlineStr">
        <is>
          <t> </t>
        </is>
      </c>
      <c r="P5" s="39" t="n">
        <v>0</v>
      </c>
      <c r="Q5" s="40" t="n">
        <v>0</v>
      </c>
      <c r="R5" s="41" t="inlineStr">
        <is>
          <t>CVS_D</t>
        </is>
      </c>
      <c r="S5" s="42">
        <f>SUMPRODUCT((-F3:F676)*(F3:F676&lt;0),P3:P676)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-1.6</v>
      </c>
      <c r="K6" s="36" t="n">
        <v>0</v>
      </c>
      <c r="L6" s="36" t="n">
        <v>0</v>
      </c>
      <c r="M6" s="36" t="n">
        <v>0</v>
      </c>
      <c r="N6" s="37" t="n">
        <v>1.6</v>
      </c>
      <c r="O6" s="38" t="inlineStr">
        <is>
          <t> </t>
        </is>
      </c>
      <c r="P6" s="39" t="n">
        <v>0</v>
      </c>
      <c r="Q6" s="40" t="n">
        <v>0</v>
      </c>
      <c r="R6" s="41" t="inlineStr">
        <is>
          <t>ESI_D</t>
        </is>
      </c>
      <c r="S6" s="42">
        <f>SUMPRODUCT((-G3:G676)*(G3:G676&lt;0),P3:P676)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0</v>
      </c>
      <c r="F7" s="36" t="n">
        <v>-0.12</v>
      </c>
      <c r="G7" s="36" t="n">
        <v>0</v>
      </c>
      <c r="H7" s="36" t="n">
        <v>0</v>
      </c>
      <c r="I7" s="36" t="n">
        <v>0</v>
      </c>
      <c r="J7" s="36" t="n">
        <v>-0.58</v>
      </c>
      <c r="K7" s="36" t="n">
        <v>0</v>
      </c>
      <c r="L7" s="36" t="n">
        <v>0</v>
      </c>
      <c r="M7" s="36" t="n">
        <v>0</v>
      </c>
      <c r="N7" s="37" t="n">
        <v>0.58</v>
      </c>
      <c r="O7" s="38" t="inlineStr">
        <is>
          <t> </t>
        </is>
      </c>
      <c r="P7" s="39" t="n">
        <v>0</v>
      </c>
      <c r="Q7" s="40" t="n">
        <v>0</v>
      </c>
      <c r="R7" s="41" t="inlineStr">
        <is>
          <t>FDS_D</t>
        </is>
      </c>
      <c r="S7" s="42">
        <f>SUMPRODUCT((-H3:H676)*(H3:H676&lt;0),P3:P676)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-1.69</v>
      </c>
      <c r="K8" s="36" t="n">
        <v>0</v>
      </c>
      <c r="L8" s="36" t="n">
        <v>0</v>
      </c>
      <c r="M8" s="36" t="n">
        <v>0</v>
      </c>
      <c r="N8" s="37" t="n">
        <v>1.69</v>
      </c>
      <c r="O8" s="38" t="inlineStr">
        <is>
          <t> </t>
        </is>
      </c>
      <c r="P8" s="39" t="n">
        <v>0</v>
      </c>
      <c r="Q8" s="40" t="n">
        <v>0</v>
      </c>
      <c r="R8" s="41" t="inlineStr">
        <is>
          <t>MEDIMP_D</t>
        </is>
      </c>
      <c r="S8" s="42">
        <f>SUMPRODUCT((-I3:I676)*(I3:I676&lt;0),P3:P676)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0</v>
      </c>
      <c r="F9" s="36" t="n">
        <v>-2</v>
      </c>
      <c r="G9" s="36" t="n">
        <v>0</v>
      </c>
      <c r="H9" s="36" t="n">
        <v>0</v>
      </c>
      <c r="I9" s="36" t="n">
        <v>0</v>
      </c>
      <c r="J9" s="36" t="n">
        <v>-10</v>
      </c>
      <c r="K9" s="36" t="n">
        <v>0</v>
      </c>
      <c r="L9" s="36" t="n">
        <v>0</v>
      </c>
      <c r="M9" s="36" t="n">
        <v>0</v>
      </c>
      <c r="N9" s="37" t="n">
        <v>10</v>
      </c>
      <c r="O9" s="38" t="inlineStr">
        <is>
          <t> </t>
        </is>
      </c>
      <c r="P9" s="39" t="n">
        <v>0</v>
      </c>
      <c r="Q9" s="40" t="n">
        <v>0</v>
      </c>
      <c r="R9" s="41" t="inlineStr">
        <is>
          <t>NYM_D</t>
        </is>
      </c>
      <c r="S9" s="42">
        <f>SUMPRODUCT((-J3:J676)*(J3:J676&lt;0),P3:P676)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-3</v>
      </c>
      <c r="K10" s="36" t="n">
        <v>0</v>
      </c>
      <c r="L10" s="36" t="n">
        <v>0</v>
      </c>
      <c r="M10" s="36" t="n">
        <v>0</v>
      </c>
      <c r="N10" s="37" t="n">
        <v>3</v>
      </c>
      <c r="O10" s="38" t="inlineStr">
        <is>
          <t> </t>
        </is>
      </c>
      <c r="P10" s="39" t="n">
        <v>0</v>
      </c>
      <c r="Q10" s="40" t="n">
        <v>0</v>
      </c>
      <c r="R10" s="41" t="inlineStr">
        <is>
          <t>OPTUM_D</t>
        </is>
      </c>
      <c r="S10" s="42">
        <f>SUMPRODUCT((-K3:K676)*(K3:K676&lt;0),P3:P676)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0</v>
      </c>
      <c r="F11" s="36" t="n">
        <v>-1.8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7" t="n">
        <v>1.8</v>
      </c>
      <c r="O11" s="38" t="inlineStr">
        <is>
          <t> </t>
        </is>
      </c>
      <c r="P11" s="39" t="n">
        <v>0</v>
      </c>
      <c r="Q11" s="40" t="n">
        <v>0</v>
      </c>
      <c r="R11" s="41" t="inlineStr">
        <is>
          <t>PRIMECAPRX_D</t>
        </is>
      </c>
      <c r="S11" s="42">
        <f>SUMPRODUCT((-L3:L676)*(L3:L676&lt;0),P3:P676)</f>
        <v/>
      </c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0</v>
      </c>
      <c r="F12" s="36" t="n">
        <v>-0.18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7" t="n">
        <v>0.18</v>
      </c>
      <c r="O12" s="38" t="inlineStr">
        <is>
          <t> </t>
        </is>
      </c>
      <c r="P12" s="39" t="n">
        <v>0</v>
      </c>
      <c r="Q12" s="40" t="n">
        <v>0</v>
      </c>
      <c r="R12" s="41" t="inlineStr">
        <is>
          <t>TREDIUM_D</t>
        </is>
      </c>
      <c r="S12" s="42">
        <f>SUMPRODUCT((-M3:M676)*(M3:M676&lt;0),P3:P676)</f>
        <v/>
      </c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0</v>
      </c>
      <c r="F13" s="36" t="n">
        <v>-1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7" t="n">
        <v>1</v>
      </c>
      <c r="O13" s="38" t="inlineStr">
        <is>
          <t> </t>
        </is>
      </c>
      <c r="P13" s="39" t="n">
        <v>0</v>
      </c>
      <c r="Q13" s="40" t="n">
        <v>0</v>
      </c>
      <c r="R13" s="41" t="inlineStr">
        <is>
          <t>Unclassified</t>
        </is>
      </c>
      <c r="S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-0.2</v>
      </c>
      <c r="K14" s="36" t="n">
        <v>0</v>
      </c>
      <c r="L14" s="36" t="n">
        <v>0</v>
      </c>
      <c r="M14" s="36" t="n">
        <v>0</v>
      </c>
      <c r="N14" s="37" t="n">
        <v>0.2</v>
      </c>
      <c r="O14" s="38" t="inlineStr">
        <is>
          <t> </t>
        </is>
      </c>
      <c r="P14" s="39" t="n">
        <v>0</v>
      </c>
      <c r="Q14" s="40" t="n">
        <v>0</v>
      </c>
      <c r="R14" s="41" t="inlineStr">
        <is>
          <t>Unclassified</t>
        </is>
      </c>
      <c r="S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0</v>
      </c>
      <c r="F15" s="36" t="n">
        <v>-1</v>
      </c>
      <c r="G15" s="36" t="n">
        <v>0</v>
      </c>
      <c r="H15" s="36" t="n">
        <v>0</v>
      </c>
      <c r="I15" s="36" t="n">
        <v>0</v>
      </c>
      <c r="J15" s="36" t="n">
        <v>-1</v>
      </c>
      <c r="K15" s="36" t="n">
        <v>0</v>
      </c>
      <c r="L15" s="36" t="n">
        <v>0</v>
      </c>
      <c r="M15" s="36" t="n">
        <v>0</v>
      </c>
      <c r="N15" s="37" t="n">
        <v>1</v>
      </c>
      <c r="O15" s="38" t="inlineStr">
        <is>
          <t> </t>
        </is>
      </c>
      <c r="P15" s="39" t="n">
        <v>0</v>
      </c>
      <c r="Q15" s="40" t="n">
        <v>0</v>
      </c>
      <c r="R15" s="41" t="inlineStr">
        <is>
          <t>Unclassified</t>
        </is>
      </c>
      <c r="S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0</v>
      </c>
      <c r="F16" s="36" t="n">
        <v>-3</v>
      </c>
      <c r="G16" s="36" t="n">
        <v>-2</v>
      </c>
      <c r="H16" s="36" t="n">
        <v>0</v>
      </c>
      <c r="I16" s="36" t="n">
        <v>0</v>
      </c>
      <c r="J16" s="36" t="n">
        <v>-3</v>
      </c>
      <c r="K16" s="36" t="n">
        <v>0</v>
      </c>
      <c r="L16" s="36" t="n">
        <v>0</v>
      </c>
      <c r="M16" s="36" t="n">
        <v>0</v>
      </c>
      <c r="N16" s="37" t="n">
        <v>3</v>
      </c>
      <c r="O16" s="38" t="inlineStr">
        <is>
          <t> </t>
        </is>
      </c>
      <c r="P16" s="39" t="n">
        <v>0</v>
      </c>
      <c r="Q16" s="40" t="n">
        <v>0</v>
      </c>
      <c r="R16" s="41" t="inlineStr">
        <is>
          <t>Unclassified</t>
        </is>
      </c>
      <c r="S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0</v>
      </c>
      <c r="F17" s="36" t="n">
        <v>-2</v>
      </c>
      <c r="G17" s="36" t="n">
        <v>0</v>
      </c>
      <c r="H17" s="36" t="n">
        <v>0</v>
      </c>
      <c r="I17" s="36" t="n">
        <v>0</v>
      </c>
      <c r="J17" s="36" t="n">
        <v>-1</v>
      </c>
      <c r="K17" s="36" t="n">
        <v>0</v>
      </c>
      <c r="L17" s="36" t="n">
        <v>0</v>
      </c>
      <c r="M17" s="36" t="n">
        <v>0</v>
      </c>
      <c r="N17" s="37" t="n">
        <v>2</v>
      </c>
      <c r="O17" s="38" t="inlineStr">
        <is>
          <t> </t>
        </is>
      </c>
      <c r="P17" s="39" t="n">
        <v>0</v>
      </c>
      <c r="Q17" s="40" t="n">
        <v>0</v>
      </c>
      <c r="R17" s="41" t="inlineStr">
        <is>
          <t>Unclassified</t>
        </is>
      </c>
      <c r="S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0</v>
      </c>
      <c r="G18" s="36" t="n">
        <v>-3</v>
      </c>
      <c r="H18" s="36" t="n">
        <v>0</v>
      </c>
      <c r="I18" s="36" t="n">
        <v>-2</v>
      </c>
      <c r="J18" s="36" t="n">
        <v>-1</v>
      </c>
      <c r="K18" s="36" t="n">
        <v>0</v>
      </c>
      <c r="L18" s="36" t="n">
        <v>0</v>
      </c>
      <c r="M18" s="36" t="n">
        <v>0</v>
      </c>
      <c r="N18" s="37" t="n">
        <v>3</v>
      </c>
      <c r="O18" s="38" t="inlineStr">
        <is>
          <t> </t>
        </is>
      </c>
      <c r="P18" s="39" t="n">
        <v>0</v>
      </c>
      <c r="Q18" s="40" t="n">
        <v>0</v>
      </c>
      <c r="R18" s="41" t="inlineStr">
        <is>
          <t>Unclassified</t>
        </is>
      </c>
      <c r="S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0</v>
      </c>
      <c r="F19" s="36" t="n">
        <v>-14</v>
      </c>
      <c r="G19" s="36" t="n">
        <v>-1</v>
      </c>
      <c r="H19" s="36" t="n">
        <v>0</v>
      </c>
      <c r="I19" s="36" t="n">
        <v>0</v>
      </c>
      <c r="J19" s="36" t="n">
        <v>-3</v>
      </c>
      <c r="K19" s="36" t="n">
        <v>-2</v>
      </c>
      <c r="L19" s="36" t="n">
        <v>0</v>
      </c>
      <c r="M19" s="36" t="n">
        <v>0</v>
      </c>
      <c r="N19" s="37" t="n">
        <v>14</v>
      </c>
      <c r="O19" s="38" t="inlineStr">
        <is>
          <t> </t>
        </is>
      </c>
      <c r="P19" s="39" t="n">
        <v>0</v>
      </c>
      <c r="Q19" s="40" t="n">
        <v>0</v>
      </c>
      <c r="R19" s="41" t="inlineStr">
        <is>
          <t>Unclassified</t>
        </is>
      </c>
      <c r="S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0</v>
      </c>
      <c r="F20" s="36" t="n">
        <v>-11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7" t="n">
        <v>11</v>
      </c>
      <c r="O20" s="38" t="inlineStr">
        <is>
          <t> </t>
        </is>
      </c>
      <c r="P20" s="39" t="n">
        <v>0</v>
      </c>
      <c r="Q20" s="40" t="n">
        <v>0</v>
      </c>
      <c r="R20" s="41" t="inlineStr">
        <is>
          <t>Unclassified</t>
        </is>
      </c>
      <c r="S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10</v>
      </c>
      <c r="F21" s="36" t="n">
        <v>-11</v>
      </c>
      <c r="G21" s="36" t="n">
        <v>5</v>
      </c>
      <c r="H21" s="36" t="n">
        <v>10</v>
      </c>
      <c r="I21" s="36" t="n">
        <v>10</v>
      </c>
      <c r="J21" s="36" t="n">
        <v>10</v>
      </c>
      <c r="K21" s="36" t="n">
        <v>9</v>
      </c>
      <c r="L21" s="36" t="n">
        <v>10</v>
      </c>
      <c r="M21" s="36" t="n">
        <v>10</v>
      </c>
      <c r="N21" s="37" t="n">
        <v>11</v>
      </c>
      <c r="O21" s="38" t="inlineStr">
        <is>
          <t> </t>
        </is>
      </c>
      <c r="P21" s="39" t="n">
        <v>1</v>
      </c>
      <c r="Q21" s="40" t="n">
        <v>11</v>
      </c>
      <c r="R21" s="41" t="inlineStr">
        <is>
          <t>Generic Drug</t>
        </is>
      </c>
      <c r="S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0</v>
      </c>
      <c r="F22" s="36" t="n">
        <v>-1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7" t="n">
        <v>1</v>
      </c>
      <c r="O22" s="38" t="inlineStr">
        <is>
          <t> </t>
        </is>
      </c>
      <c r="P22" s="39" t="n">
        <v>0</v>
      </c>
      <c r="Q22" s="40" t="n">
        <v>0</v>
      </c>
      <c r="R22" s="41" t="inlineStr">
        <is>
          <t>Unclassified</t>
        </is>
      </c>
      <c r="S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0</v>
      </c>
      <c r="F23" s="36" t="n">
        <v>-0.28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7" t="n">
        <v>0.28</v>
      </c>
      <c r="O23" s="38" t="inlineStr">
        <is>
          <t> </t>
        </is>
      </c>
      <c r="P23" s="39" t="n">
        <v>0</v>
      </c>
      <c r="Q23" s="40" t="n">
        <v>0</v>
      </c>
      <c r="R23" s="41" t="inlineStr">
        <is>
          <t>Unclassified</t>
        </is>
      </c>
      <c r="S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0</v>
      </c>
      <c r="F24" s="36" t="n">
        <v>-0.91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7" t="n">
        <v>0.91</v>
      </c>
      <c r="O24" s="38" t="inlineStr">
        <is>
          <t> </t>
        </is>
      </c>
      <c r="P24" s="39" t="n">
        <v>0</v>
      </c>
      <c r="Q24" s="40" t="n">
        <v>0</v>
      </c>
      <c r="R24" s="41" t="inlineStr">
        <is>
          <t>Unclassified</t>
        </is>
      </c>
      <c r="S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0</v>
      </c>
      <c r="F25" s="36" t="n">
        <v>-0.09</v>
      </c>
      <c r="G25" s="36" t="n">
        <v>0</v>
      </c>
      <c r="H25" s="36" t="n">
        <v>0</v>
      </c>
      <c r="I25" s="36" t="n">
        <v>0</v>
      </c>
      <c r="J25" s="36" t="n">
        <v>-0.03</v>
      </c>
      <c r="K25" s="36" t="n">
        <v>0</v>
      </c>
      <c r="L25" s="36" t="n">
        <v>0</v>
      </c>
      <c r="M25" s="36" t="n">
        <v>0</v>
      </c>
      <c r="N25" s="37" t="n">
        <v>0.09</v>
      </c>
      <c r="O25" s="38" t="inlineStr">
        <is>
          <t> </t>
        </is>
      </c>
      <c r="P25" s="39" t="n">
        <v>0</v>
      </c>
      <c r="Q25" s="40" t="n">
        <v>0</v>
      </c>
      <c r="R25" s="41" t="inlineStr">
        <is>
          <t>Unclassified</t>
        </is>
      </c>
      <c r="S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0</v>
      </c>
      <c r="F26" s="36" t="n">
        <v>-0.18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7" t="n">
        <v>0.18</v>
      </c>
      <c r="O26" s="38" t="inlineStr">
        <is>
          <t> </t>
        </is>
      </c>
      <c r="P26" s="39" t="n">
        <v>0</v>
      </c>
      <c r="Q26" s="40" t="n">
        <v>0</v>
      </c>
      <c r="R26" s="41" t="inlineStr">
        <is>
          <t>Unclassified</t>
        </is>
      </c>
      <c r="S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-3</v>
      </c>
      <c r="K27" s="36" t="n">
        <v>0</v>
      </c>
      <c r="L27" s="36" t="n">
        <v>0</v>
      </c>
      <c r="M27" s="36" t="n">
        <v>0</v>
      </c>
      <c r="N27" s="37" t="n">
        <v>3</v>
      </c>
      <c r="O27" s="38" t="inlineStr">
        <is>
          <t> </t>
        </is>
      </c>
      <c r="P27" s="39" t="n">
        <v>0</v>
      </c>
      <c r="Q27" s="40" t="n">
        <v>0</v>
      </c>
      <c r="R27" s="41" t="inlineStr">
        <is>
          <t>Unclassified</t>
        </is>
      </c>
      <c r="S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-0.6</v>
      </c>
      <c r="J28" s="36" t="n">
        <v>0</v>
      </c>
      <c r="K28" s="36" t="n">
        <v>0</v>
      </c>
      <c r="L28" s="36" t="n">
        <v>0</v>
      </c>
      <c r="M28" s="36" t="n">
        <v>0</v>
      </c>
      <c r="N28" s="37" t="n">
        <v>0.6</v>
      </c>
      <c r="O28" s="38" t="inlineStr">
        <is>
          <t> </t>
        </is>
      </c>
      <c r="P28" s="39" t="n">
        <v>0</v>
      </c>
      <c r="Q28" s="40" t="n">
        <v>0</v>
      </c>
      <c r="R28" s="41" t="inlineStr">
        <is>
          <t>Unclassified</t>
        </is>
      </c>
      <c r="S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-3</v>
      </c>
      <c r="K29" s="36" t="n">
        <v>1</v>
      </c>
      <c r="L29" s="36" t="n">
        <v>1</v>
      </c>
      <c r="M29" s="36" t="n">
        <v>1</v>
      </c>
      <c r="N29" s="37" t="n">
        <v>3</v>
      </c>
      <c r="O29" s="38" t="inlineStr">
        <is>
          <t> </t>
        </is>
      </c>
      <c r="P29" s="39" t="n">
        <v>14</v>
      </c>
      <c r="Q29" s="40" t="n">
        <v>42</v>
      </c>
      <c r="R29" s="41" t="inlineStr">
        <is>
          <t>Generic Drug</t>
        </is>
      </c>
      <c r="S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0</v>
      </c>
      <c r="F30" s="36" t="n">
        <v>-0.06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7" t="n">
        <v>0.06</v>
      </c>
      <c r="O30" s="38" t="inlineStr">
        <is>
          <t> </t>
        </is>
      </c>
      <c r="P30" s="39" t="n">
        <v>0</v>
      </c>
      <c r="Q30" s="40" t="n">
        <v>0</v>
      </c>
      <c r="R30" s="41" t="inlineStr">
        <is>
          <t>Unclassified</t>
        </is>
      </c>
      <c r="S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0</v>
      </c>
      <c r="F31" s="36" t="n">
        <v>-1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7" t="n">
        <v>1</v>
      </c>
      <c r="O31" s="38" t="inlineStr">
        <is>
          <t> </t>
        </is>
      </c>
      <c r="P31" s="39" t="n">
        <v>0</v>
      </c>
      <c r="Q31" s="40" t="n">
        <v>0</v>
      </c>
      <c r="R31" s="41" t="inlineStr">
        <is>
          <t>Unclassified</t>
        </is>
      </c>
      <c r="S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0</v>
      </c>
      <c r="F32" s="36" t="n">
        <v>-0.24</v>
      </c>
      <c r="G32" s="36" t="n">
        <v>0</v>
      </c>
      <c r="H32" s="36" t="n">
        <v>0</v>
      </c>
      <c r="I32" s="36" t="n">
        <v>-0.18</v>
      </c>
      <c r="J32" s="36" t="n">
        <v>0</v>
      </c>
      <c r="K32" s="36" t="n">
        <v>0</v>
      </c>
      <c r="L32" s="36" t="n">
        <v>0</v>
      </c>
      <c r="M32" s="36" t="n">
        <v>0</v>
      </c>
      <c r="N32" s="37" t="n">
        <v>0.24</v>
      </c>
      <c r="O32" s="38" t="inlineStr">
        <is>
          <t> </t>
        </is>
      </c>
      <c r="P32" s="39" t="n">
        <v>0</v>
      </c>
      <c r="Q32" s="40" t="n">
        <v>0</v>
      </c>
      <c r="R32" s="41" t="inlineStr">
        <is>
          <t>Unclassified</t>
        </is>
      </c>
      <c r="S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-2.4</v>
      </c>
      <c r="K33" s="36" t="n">
        <v>0</v>
      </c>
      <c r="L33" s="36" t="n">
        <v>0</v>
      </c>
      <c r="M33" s="36" t="n">
        <v>0</v>
      </c>
      <c r="N33" s="37" t="n">
        <v>2.4</v>
      </c>
      <c r="O33" s="38" t="inlineStr">
        <is>
          <t> </t>
        </is>
      </c>
      <c r="P33" s="39" t="n">
        <v>0</v>
      </c>
      <c r="Q33" s="40" t="n">
        <v>0</v>
      </c>
      <c r="R33" s="41" t="inlineStr">
        <is>
          <t>Unclassified</t>
        </is>
      </c>
      <c r="S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-0.3</v>
      </c>
      <c r="K34" s="36" t="n">
        <v>0</v>
      </c>
      <c r="L34" s="36" t="n">
        <v>0</v>
      </c>
      <c r="M34" s="36" t="n">
        <v>0</v>
      </c>
      <c r="N34" s="37" t="n">
        <v>0.3</v>
      </c>
      <c r="O34" s="38" t="inlineStr">
        <is>
          <t> </t>
        </is>
      </c>
      <c r="P34" s="39" t="n">
        <v>0</v>
      </c>
      <c r="Q34" s="40" t="n">
        <v>0</v>
      </c>
      <c r="R34" s="41" t="inlineStr">
        <is>
          <t>Unclassified</t>
        </is>
      </c>
      <c r="S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0</v>
      </c>
      <c r="F35" s="36" t="n">
        <v>-0.3</v>
      </c>
      <c r="G35" s="36" t="n">
        <v>0</v>
      </c>
      <c r="H35" s="36" t="n">
        <v>0</v>
      </c>
      <c r="I35" s="36" t="n">
        <v>0</v>
      </c>
      <c r="J35" s="36" t="n">
        <v>-0.3</v>
      </c>
      <c r="K35" s="36" t="n">
        <v>0</v>
      </c>
      <c r="L35" s="36" t="n">
        <v>0</v>
      </c>
      <c r="M35" s="36" t="n">
        <v>0</v>
      </c>
      <c r="N35" s="37" t="n">
        <v>0.3</v>
      </c>
      <c r="O35" s="38" t="inlineStr">
        <is>
          <t> </t>
        </is>
      </c>
      <c r="P35" s="39" t="n">
        <v>0</v>
      </c>
      <c r="Q35" s="40" t="n">
        <v>0</v>
      </c>
      <c r="R35" s="41" t="inlineStr">
        <is>
          <t>Unclassified</t>
        </is>
      </c>
      <c r="S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0</v>
      </c>
      <c r="F36" s="36" t="n">
        <v>-1.98</v>
      </c>
      <c r="G36" s="36" t="n">
        <v>-0.09</v>
      </c>
      <c r="H36" s="36" t="n">
        <v>0</v>
      </c>
      <c r="I36" s="36" t="n">
        <v>-0.12</v>
      </c>
      <c r="J36" s="36" t="n">
        <v>-0.45</v>
      </c>
      <c r="K36" s="36" t="n">
        <v>-0.03</v>
      </c>
      <c r="L36" s="36" t="n">
        <v>0</v>
      </c>
      <c r="M36" s="36" t="n">
        <v>0</v>
      </c>
      <c r="N36" s="37" t="n">
        <v>1.98</v>
      </c>
      <c r="O36" s="38" t="inlineStr">
        <is>
          <t> </t>
        </is>
      </c>
      <c r="P36" s="39" t="n">
        <v>0</v>
      </c>
      <c r="Q36" s="40" t="n">
        <v>0</v>
      </c>
      <c r="R36" s="41" t="inlineStr">
        <is>
          <t>Unclassified</t>
        </is>
      </c>
      <c r="S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0</v>
      </c>
      <c r="F37" s="36" t="n">
        <v>-1.8</v>
      </c>
      <c r="G37" s="36" t="n">
        <v>-0.3</v>
      </c>
      <c r="H37" s="36" t="n">
        <v>0</v>
      </c>
      <c r="I37" s="36" t="n">
        <v>0</v>
      </c>
      <c r="J37" s="36" t="n">
        <v>-0.6899999999999999</v>
      </c>
      <c r="K37" s="36" t="n">
        <v>-0.12</v>
      </c>
      <c r="L37" s="36" t="n">
        <v>0</v>
      </c>
      <c r="M37" s="36" t="n">
        <v>0</v>
      </c>
      <c r="N37" s="37" t="n">
        <v>1.8</v>
      </c>
      <c r="O37" s="38" t="inlineStr">
        <is>
          <t> </t>
        </is>
      </c>
      <c r="P37" s="39" t="n">
        <v>0</v>
      </c>
      <c r="Q37" s="40" t="n">
        <v>0</v>
      </c>
      <c r="R37" s="41" t="inlineStr">
        <is>
          <t>Unclassified</t>
        </is>
      </c>
      <c r="S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0</v>
      </c>
      <c r="F38" s="36" t="n">
        <v>-0.9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7" t="n">
        <v>0.9</v>
      </c>
      <c r="O38" s="38" t="inlineStr">
        <is>
          <t> </t>
        </is>
      </c>
      <c r="P38" s="39" t="n">
        <v>0</v>
      </c>
      <c r="Q38" s="40" t="n">
        <v>0</v>
      </c>
      <c r="R38" s="41" t="inlineStr">
        <is>
          <t>Unclassified</t>
        </is>
      </c>
      <c r="S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-0.3</v>
      </c>
      <c r="J39" s="36" t="n">
        <v>0</v>
      </c>
      <c r="K39" s="36" t="n">
        <v>0</v>
      </c>
      <c r="L39" s="36" t="n">
        <v>0</v>
      </c>
      <c r="M39" s="36" t="n">
        <v>0</v>
      </c>
      <c r="N39" s="37" t="n">
        <v>0.3</v>
      </c>
      <c r="O39" s="38" t="inlineStr">
        <is>
          <t> </t>
        </is>
      </c>
      <c r="P39" s="39" t="n">
        <v>0</v>
      </c>
      <c r="Q39" s="40" t="n">
        <v>0</v>
      </c>
      <c r="R39" s="41" t="inlineStr">
        <is>
          <t>Unclassified</t>
        </is>
      </c>
      <c r="S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0</v>
      </c>
      <c r="F40" s="36" t="n">
        <v>-3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7" t="n">
        <v>3</v>
      </c>
      <c r="O40" s="38" t="inlineStr">
        <is>
          <t> </t>
        </is>
      </c>
      <c r="P40" s="39" t="n">
        <v>0</v>
      </c>
      <c r="Q40" s="40" t="n">
        <v>0</v>
      </c>
      <c r="R40" s="41" t="inlineStr">
        <is>
          <t>Unclassified</t>
        </is>
      </c>
      <c r="S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0</v>
      </c>
      <c r="F41" s="36" t="n">
        <v>-0.9</v>
      </c>
      <c r="G41" s="36" t="n">
        <v>0</v>
      </c>
      <c r="H41" s="36" t="n">
        <v>0</v>
      </c>
      <c r="I41" s="36" t="n">
        <v>-0.9</v>
      </c>
      <c r="J41" s="36" t="n">
        <v>0</v>
      </c>
      <c r="K41" s="36" t="n">
        <v>0</v>
      </c>
      <c r="L41" s="36" t="n">
        <v>0</v>
      </c>
      <c r="M41" s="36" t="n">
        <v>0</v>
      </c>
      <c r="N41" s="37" t="n">
        <v>0.9</v>
      </c>
      <c r="O41" s="38" t="inlineStr">
        <is>
          <t> </t>
        </is>
      </c>
      <c r="P41" s="39" t="n">
        <v>0</v>
      </c>
      <c r="Q41" s="40" t="n">
        <v>0</v>
      </c>
      <c r="R41" s="41" t="inlineStr">
        <is>
          <t>Unclassified</t>
        </is>
      </c>
      <c r="S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-0.3</v>
      </c>
      <c r="J42" s="36" t="n">
        <v>0</v>
      </c>
      <c r="K42" s="36" t="n">
        <v>0</v>
      </c>
      <c r="L42" s="36" t="n">
        <v>0</v>
      </c>
      <c r="M42" s="36" t="n">
        <v>0</v>
      </c>
      <c r="N42" s="37" t="n">
        <v>0.3</v>
      </c>
      <c r="O42" s="38" t="inlineStr">
        <is>
          <t> </t>
        </is>
      </c>
      <c r="P42" s="39" t="n">
        <v>0</v>
      </c>
      <c r="Q42" s="40" t="n">
        <v>0</v>
      </c>
      <c r="R42" s="41" t="inlineStr">
        <is>
          <t>Unclassified</t>
        </is>
      </c>
      <c r="S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0</v>
      </c>
      <c r="F43" s="36" t="n">
        <v>-0.9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7" t="n">
        <v>0.9</v>
      </c>
      <c r="O43" s="38" t="inlineStr">
        <is>
          <t> </t>
        </is>
      </c>
      <c r="P43" s="39" t="n">
        <v>0</v>
      </c>
      <c r="Q43" s="40" t="n">
        <v>0</v>
      </c>
      <c r="R43" s="41" t="inlineStr">
        <is>
          <t>Unclassified</t>
        </is>
      </c>
      <c r="S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0</v>
      </c>
      <c r="F44" s="36" t="n">
        <v>-4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7" t="n">
        <v>4</v>
      </c>
      <c r="O44" s="38" t="inlineStr">
        <is>
          <t> </t>
        </is>
      </c>
      <c r="P44" s="39" t="n">
        <v>0</v>
      </c>
      <c r="Q44" s="40" t="n">
        <v>0</v>
      </c>
      <c r="R44" s="41" t="inlineStr">
        <is>
          <t>Unclassified</t>
        </is>
      </c>
      <c r="S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0</v>
      </c>
      <c r="F45" s="36" t="n">
        <v>-1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7" t="n">
        <v>1</v>
      </c>
      <c r="O45" s="38" t="inlineStr">
        <is>
          <t> </t>
        </is>
      </c>
      <c r="P45" s="39" t="n">
        <v>0</v>
      </c>
      <c r="Q45" s="40" t="n">
        <v>0</v>
      </c>
      <c r="R45" s="41" t="inlineStr">
        <is>
          <t>Unclassified</t>
        </is>
      </c>
      <c r="S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-1</v>
      </c>
      <c r="M46" s="36" t="n">
        <v>0</v>
      </c>
      <c r="N46" s="37" t="n">
        <v>1</v>
      </c>
      <c r="O46" s="38" t="inlineStr">
        <is>
          <t> </t>
        </is>
      </c>
      <c r="P46" s="39" t="n">
        <v>0</v>
      </c>
      <c r="Q46" s="40" t="n">
        <v>0</v>
      </c>
      <c r="R46" s="41" t="inlineStr">
        <is>
          <t>Unclassified</t>
        </is>
      </c>
      <c r="S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-10</v>
      </c>
      <c r="G47" s="36" t="n">
        <v>-2</v>
      </c>
      <c r="H47" s="36" t="n">
        <v>0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7" t="n">
        <v>10</v>
      </c>
      <c r="O47" s="38" t="inlineStr">
        <is>
          <t> </t>
        </is>
      </c>
      <c r="P47" s="39" t="n">
        <v>0</v>
      </c>
      <c r="Q47" s="40" t="n">
        <v>0</v>
      </c>
      <c r="R47" s="41" t="inlineStr">
        <is>
          <t>Unclassified</t>
        </is>
      </c>
      <c r="S47" s="41" t="n"/>
    </row>
    <row r="48" ht="20" customHeight="1">
      <c r="A48" s="34" t="inlineStr">
        <is>
          <t>51672130005</t>
        </is>
      </c>
      <c r="B48" s="35" t="inlineStr">
        <is>
          <t>AMMONIUM LACTATE 12 % EXTERNAL LOTION</t>
        </is>
      </c>
      <c r="C48" s="34" t="n">
        <v>225</v>
      </c>
      <c r="D48" s="36" t="n">
        <v>0</v>
      </c>
      <c r="E48" s="36" t="n">
        <v>0</v>
      </c>
      <c r="F48" s="36" t="n">
        <v>-3.78</v>
      </c>
      <c r="G48" s="36" t="n">
        <v>-2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7" t="n">
        <v>3.78</v>
      </c>
      <c r="O48" s="38" t="inlineStr">
        <is>
          <t> </t>
        </is>
      </c>
      <c r="P48" s="39" t="n">
        <v>0</v>
      </c>
      <c r="Q48" s="40" t="n">
        <v>0</v>
      </c>
      <c r="R48" s="41" t="inlineStr">
        <is>
          <t>Unclassified</t>
        </is>
      </c>
      <c r="S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-4</v>
      </c>
      <c r="G49" s="36" t="n">
        <v>-3</v>
      </c>
      <c r="H49" s="36" t="n">
        <v>0</v>
      </c>
      <c r="I49" s="36" t="n">
        <v>-1</v>
      </c>
      <c r="J49" s="36" t="n">
        <v>0</v>
      </c>
      <c r="K49" s="36" t="n">
        <v>0</v>
      </c>
      <c r="L49" s="36" t="n">
        <v>0</v>
      </c>
      <c r="M49" s="36" t="n">
        <v>0</v>
      </c>
      <c r="N49" s="37" t="n">
        <v>4</v>
      </c>
      <c r="O49" s="38" t="inlineStr">
        <is>
          <t> </t>
        </is>
      </c>
      <c r="P49" s="39" t="n">
        <v>0</v>
      </c>
      <c r="Q49" s="40" t="n">
        <v>0</v>
      </c>
      <c r="R49" s="41" t="inlineStr">
        <is>
          <t>Unclassified</t>
        </is>
      </c>
      <c r="S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0</v>
      </c>
      <c r="G50" s="36" t="n">
        <v>-2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7" t="n">
        <v>2</v>
      </c>
      <c r="O50" s="38" t="inlineStr">
        <is>
          <t> </t>
        </is>
      </c>
      <c r="P50" s="39" t="n">
        <v>0</v>
      </c>
      <c r="Q50" s="40" t="n">
        <v>0</v>
      </c>
      <c r="R50" s="41" t="inlineStr">
        <is>
          <t>Unclassified</t>
        </is>
      </c>
      <c r="S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0</v>
      </c>
      <c r="F51" s="36" t="n">
        <v>-0.21</v>
      </c>
      <c r="G51" s="36" t="n">
        <v>0</v>
      </c>
      <c r="H51" s="36" t="n">
        <v>0</v>
      </c>
      <c r="I51" s="36" t="n">
        <v>0</v>
      </c>
      <c r="J51" s="36" t="n">
        <v>-0.08</v>
      </c>
      <c r="K51" s="36" t="n">
        <v>0</v>
      </c>
      <c r="L51" s="36" t="n">
        <v>0</v>
      </c>
      <c r="M51" s="36" t="n">
        <v>0</v>
      </c>
      <c r="N51" s="37" t="n">
        <v>0.21</v>
      </c>
      <c r="O51" s="38" t="inlineStr">
        <is>
          <t> </t>
        </is>
      </c>
      <c r="P51" s="39" t="n">
        <v>0</v>
      </c>
      <c r="Q51" s="40" t="n">
        <v>0</v>
      </c>
      <c r="R51" s="41" t="inlineStr">
        <is>
          <t>Unclassified</t>
        </is>
      </c>
      <c r="S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-0.21</v>
      </c>
      <c r="K52" s="36" t="n">
        <v>0</v>
      </c>
      <c r="L52" s="36" t="n">
        <v>0</v>
      </c>
      <c r="M52" s="36" t="n">
        <v>0</v>
      </c>
      <c r="N52" s="37" t="n">
        <v>0.21</v>
      </c>
      <c r="O52" s="38" t="inlineStr">
        <is>
          <t> </t>
        </is>
      </c>
      <c r="P52" s="39" t="n">
        <v>0</v>
      </c>
      <c r="Q52" s="40" t="n">
        <v>0</v>
      </c>
      <c r="R52" s="41" t="inlineStr">
        <is>
          <t>Unclassified</t>
        </is>
      </c>
      <c r="S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0</v>
      </c>
      <c r="F53" s="36" t="n">
        <v>-0.14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7" t="n">
        <v>0.14</v>
      </c>
      <c r="O53" s="38" t="inlineStr">
        <is>
          <t> </t>
        </is>
      </c>
      <c r="P53" s="39" t="n">
        <v>0</v>
      </c>
      <c r="Q53" s="40" t="n">
        <v>0</v>
      </c>
      <c r="R53" s="41" t="inlineStr">
        <is>
          <t>Unclassified</t>
        </is>
      </c>
      <c r="S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0</v>
      </c>
      <c r="F54" s="36" t="n">
        <v>-0.7</v>
      </c>
      <c r="G54" s="36" t="n">
        <v>-0.7</v>
      </c>
      <c r="H54" s="36" t="n">
        <v>0</v>
      </c>
      <c r="I54" s="36" t="n">
        <v>0</v>
      </c>
      <c r="J54" s="36" t="n">
        <v>-1.7</v>
      </c>
      <c r="K54" s="36" t="n">
        <v>0</v>
      </c>
      <c r="L54" s="36" t="n">
        <v>0</v>
      </c>
      <c r="M54" s="36" t="n">
        <v>0</v>
      </c>
      <c r="N54" s="37" t="n">
        <v>1.7</v>
      </c>
      <c r="O54" s="38" t="inlineStr">
        <is>
          <t> </t>
        </is>
      </c>
      <c r="P54" s="39" t="n">
        <v>0</v>
      </c>
      <c r="Q54" s="40" t="n">
        <v>0</v>
      </c>
      <c r="R54" s="41" t="inlineStr">
        <is>
          <t>Unclassified</t>
        </is>
      </c>
      <c r="S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0</v>
      </c>
      <c r="G55" s="36" t="n">
        <v>-0.15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7" t="n">
        <v>0.15</v>
      </c>
      <c r="O55" s="38" t="inlineStr">
        <is>
          <t> </t>
        </is>
      </c>
      <c r="P55" s="39" t="n">
        <v>0</v>
      </c>
      <c r="Q55" s="40" t="n">
        <v>0</v>
      </c>
      <c r="R55" s="41" t="inlineStr">
        <is>
          <t>Unclassified</t>
        </is>
      </c>
      <c r="S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-0.6</v>
      </c>
      <c r="K56" s="36" t="n">
        <v>0</v>
      </c>
      <c r="L56" s="36" t="n">
        <v>0</v>
      </c>
      <c r="M56" s="36" t="n">
        <v>0</v>
      </c>
      <c r="N56" s="37" t="n">
        <v>0.6</v>
      </c>
      <c r="O56" s="38" t="inlineStr">
        <is>
          <t> </t>
        </is>
      </c>
      <c r="P56" s="39" t="n">
        <v>0</v>
      </c>
      <c r="Q56" s="40" t="n">
        <v>0</v>
      </c>
      <c r="R56" s="41" t="inlineStr">
        <is>
          <t>Unclassified</t>
        </is>
      </c>
      <c r="S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0</v>
      </c>
      <c r="F57" s="36" t="n">
        <v>-4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7" t="n">
        <v>4</v>
      </c>
      <c r="O57" s="38" t="inlineStr">
        <is>
          <t> </t>
        </is>
      </c>
      <c r="P57" s="39" t="n">
        <v>0</v>
      </c>
      <c r="Q57" s="40" t="n">
        <v>0</v>
      </c>
      <c r="R57" s="41" t="inlineStr">
        <is>
          <t>Unclassified</t>
        </is>
      </c>
      <c r="S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0</v>
      </c>
      <c r="F58" s="36" t="n">
        <v>-1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7" t="n">
        <v>1</v>
      </c>
      <c r="O58" s="38" t="inlineStr">
        <is>
          <t> </t>
        </is>
      </c>
      <c r="P58" s="39" t="n">
        <v>0</v>
      </c>
      <c r="Q58" s="40" t="n">
        <v>0</v>
      </c>
      <c r="R58" s="41" t="inlineStr">
        <is>
          <t>Unclassified</t>
        </is>
      </c>
      <c r="S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0</v>
      </c>
      <c r="F59" s="36" t="n">
        <v>-1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7" t="n">
        <v>1</v>
      </c>
      <c r="O59" s="38" t="inlineStr">
        <is>
          <t> </t>
        </is>
      </c>
      <c r="P59" s="39" t="n">
        <v>0</v>
      </c>
      <c r="Q59" s="40" t="n">
        <v>0</v>
      </c>
      <c r="R59" s="41" t="inlineStr">
        <is>
          <t>Unclassified</t>
        </is>
      </c>
      <c r="S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7" t="n">
        <v>1</v>
      </c>
      <c r="O60" s="38" t="inlineStr">
        <is>
          <t> </t>
        </is>
      </c>
      <c r="P60" s="39" t="n">
        <v>0</v>
      </c>
      <c r="Q60" s="40" t="n">
        <v>0</v>
      </c>
      <c r="R60" s="41" t="inlineStr">
        <is>
          <t>Unclassified</t>
        </is>
      </c>
      <c r="S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0</v>
      </c>
      <c r="F61" s="36" t="n">
        <v>-0.06</v>
      </c>
      <c r="G61" s="36" t="n">
        <v>-0.06</v>
      </c>
      <c r="H61" s="36" t="n">
        <v>0</v>
      </c>
      <c r="I61" s="36" t="n">
        <v>0</v>
      </c>
      <c r="J61" s="36" t="n">
        <v>-0.06</v>
      </c>
      <c r="K61" s="36" t="n">
        <v>0</v>
      </c>
      <c r="L61" s="36" t="n">
        <v>0</v>
      </c>
      <c r="M61" s="36" t="n">
        <v>0</v>
      </c>
      <c r="N61" s="37" t="n">
        <v>0.06</v>
      </c>
      <c r="O61" s="38" t="inlineStr">
        <is>
          <t> </t>
        </is>
      </c>
      <c r="P61" s="39" t="n">
        <v>0</v>
      </c>
      <c r="Q61" s="40" t="n">
        <v>0</v>
      </c>
      <c r="R61" s="41" t="inlineStr">
        <is>
          <t>Unclassified</t>
        </is>
      </c>
      <c r="S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0</v>
      </c>
      <c r="F62" s="36" t="n">
        <v>-3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6" t="n">
        <v>0</v>
      </c>
      <c r="N62" s="37" t="n">
        <v>3</v>
      </c>
      <c r="O62" s="38" t="inlineStr">
        <is>
          <t> </t>
        </is>
      </c>
      <c r="P62" s="39" t="n">
        <v>0</v>
      </c>
      <c r="Q62" s="40" t="n">
        <v>0</v>
      </c>
      <c r="R62" s="41" t="inlineStr">
        <is>
          <t>Unclassified</t>
        </is>
      </c>
      <c r="S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-1</v>
      </c>
      <c r="K63" s="36" t="n">
        <v>0</v>
      </c>
      <c r="L63" s="36" t="n">
        <v>0</v>
      </c>
      <c r="M63" s="36" t="n">
        <v>0</v>
      </c>
      <c r="N63" s="37" t="n">
        <v>1</v>
      </c>
      <c r="O63" s="38" t="inlineStr">
        <is>
          <t> </t>
        </is>
      </c>
      <c r="P63" s="39" t="n">
        <v>0</v>
      </c>
      <c r="Q63" s="40" t="n">
        <v>0</v>
      </c>
      <c r="R63" s="41" t="inlineStr">
        <is>
          <t>Unclassified</t>
        </is>
      </c>
      <c r="S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-1</v>
      </c>
      <c r="K64" s="36" t="n">
        <v>0</v>
      </c>
      <c r="L64" s="36" t="n">
        <v>0</v>
      </c>
      <c r="M64" s="36" t="n">
        <v>0</v>
      </c>
      <c r="N64" s="37" t="n">
        <v>1</v>
      </c>
      <c r="O64" s="38" t="inlineStr">
        <is>
          <t> </t>
        </is>
      </c>
      <c r="P64" s="39" t="n">
        <v>0</v>
      </c>
      <c r="Q64" s="40" t="n">
        <v>0</v>
      </c>
      <c r="R64" s="41" t="inlineStr">
        <is>
          <t>Unclassified</t>
        </is>
      </c>
      <c r="S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-5.72</v>
      </c>
      <c r="K65" s="36" t="n">
        <v>0</v>
      </c>
      <c r="L65" s="36" t="n">
        <v>-0.83</v>
      </c>
      <c r="M65" s="36" t="n">
        <v>0</v>
      </c>
      <c r="N65" s="37" t="n">
        <v>5.72</v>
      </c>
      <c r="O65" s="38" t="inlineStr">
        <is>
          <t> </t>
        </is>
      </c>
      <c r="P65" s="39" t="n">
        <v>0</v>
      </c>
      <c r="Q65" s="40" t="n">
        <v>0</v>
      </c>
      <c r="R65" s="41" t="inlineStr">
        <is>
          <t>Unclassified</t>
        </is>
      </c>
      <c r="S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0</v>
      </c>
      <c r="F66" s="36" t="n">
        <v>-0.06</v>
      </c>
      <c r="G66" s="36" t="n">
        <v>0</v>
      </c>
      <c r="H66" s="36" t="n">
        <v>0</v>
      </c>
      <c r="I66" s="36" t="n">
        <v>0</v>
      </c>
      <c r="J66" s="36" t="n">
        <v>-3.27</v>
      </c>
      <c r="K66" s="36" t="n">
        <v>-0.03</v>
      </c>
      <c r="L66" s="36" t="n">
        <v>0</v>
      </c>
      <c r="M66" s="36" t="n">
        <v>0</v>
      </c>
      <c r="N66" s="37" t="n">
        <v>3.27</v>
      </c>
      <c r="O66" s="38" t="inlineStr">
        <is>
          <t> </t>
        </is>
      </c>
      <c r="P66" s="39" t="n">
        <v>0</v>
      </c>
      <c r="Q66" s="40" t="n">
        <v>0</v>
      </c>
      <c r="R66" s="41" t="inlineStr">
        <is>
          <t>Unclassified</t>
        </is>
      </c>
      <c r="S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-0.03</v>
      </c>
      <c r="K67" s="36" t="n">
        <v>0</v>
      </c>
      <c r="L67" s="36" t="n">
        <v>0</v>
      </c>
      <c r="M67" s="36" t="n">
        <v>0</v>
      </c>
      <c r="N67" s="37" t="n">
        <v>0.03</v>
      </c>
      <c r="O67" s="38" t="inlineStr">
        <is>
          <t> </t>
        </is>
      </c>
      <c r="P67" s="39" t="n">
        <v>0</v>
      </c>
      <c r="Q67" s="40" t="n">
        <v>0</v>
      </c>
      <c r="R67" s="41" t="inlineStr">
        <is>
          <t>Unclassified</t>
        </is>
      </c>
      <c r="S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0</v>
      </c>
      <c r="F68" s="36" t="n">
        <v>-0.09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7" t="n">
        <v>0.09</v>
      </c>
      <c r="O68" s="38" t="inlineStr">
        <is>
          <t> </t>
        </is>
      </c>
      <c r="P68" s="39" t="n">
        <v>0</v>
      </c>
      <c r="Q68" s="40" t="n">
        <v>0</v>
      </c>
      <c r="R68" s="41" t="inlineStr">
        <is>
          <t>Unclassified</t>
        </is>
      </c>
      <c r="S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0</v>
      </c>
      <c r="F69" s="36" t="n">
        <v>-0.09</v>
      </c>
      <c r="G69" s="36" t="n">
        <v>-0.09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7" t="n">
        <v>0.09</v>
      </c>
      <c r="O69" s="38" t="inlineStr">
        <is>
          <t> </t>
        </is>
      </c>
      <c r="P69" s="39" t="n">
        <v>0</v>
      </c>
      <c r="Q69" s="40" t="n">
        <v>0</v>
      </c>
      <c r="R69" s="41" t="inlineStr">
        <is>
          <t>Unclassified</t>
        </is>
      </c>
      <c r="S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0</v>
      </c>
      <c r="F70" s="36" t="n">
        <v>-0.36</v>
      </c>
      <c r="G70" s="36" t="n">
        <v>0</v>
      </c>
      <c r="H70" s="36" t="n">
        <v>0</v>
      </c>
      <c r="I70" s="36" t="n">
        <v>0</v>
      </c>
      <c r="J70" s="36" t="n">
        <v>-0.09</v>
      </c>
      <c r="K70" s="36" t="n">
        <v>0</v>
      </c>
      <c r="L70" s="36" t="n">
        <v>0</v>
      </c>
      <c r="M70" s="36" t="n">
        <v>0</v>
      </c>
      <c r="N70" s="37" t="n">
        <v>0.36</v>
      </c>
      <c r="O70" s="38" t="inlineStr">
        <is>
          <t> </t>
        </is>
      </c>
      <c r="P70" s="39" t="n">
        <v>0</v>
      </c>
      <c r="Q70" s="40" t="n">
        <v>0</v>
      </c>
      <c r="R70" s="41" t="inlineStr">
        <is>
          <t>Unclassified</t>
        </is>
      </c>
      <c r="S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v>-0.3</v>
      </c>
      <c r="J71" s="36" t="n">
        <v>0</v>
      </c>
      <c r="K71" s="36" t="n">
        <v>0</v>
      </c>
      <c r="L71" s="36" t="n">
        <v>0</v>
      </c>
      <c r="M71" s="36" t="n">
        <v>0</v>
      </c>
      <c r="N71" s="37" t="n">
        <v>0.3</v>
      </c>
      <c r="O71" s="38" t="inlineStr">
        <is>
          <t> </t>
        </is>
      </c>
      <c r="P71" s="39" t="n">
        <v>0</v>
      </c>
      <c r="Q71" s="40" t="n">
        <v>0</v>
      </c>
      <c r="R71" s="41" t="inlineStr">
        <is>
          <t>Unclassified</t>
        </is>
      </c>
      <c r="S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0</v>
      </c>
      <c r="F72" s="36" t="n">
        <v>-1.08</v>
      </c>
      <c r="G72" s="36" t="n">
        <v>-0.09</v>
      </c>
      <c r="H72" s="36" t="n">
        <v>0</v>
      </c>
      <c r="I72" s="36" t="n">
        <v>0</v>
      </c>
      <c r="J72" s="36" t="n">
        <v>-0.18</v>
      </c>
      <c r="K72" s="36" t="n">
        <v>-0.06</v>
      </c>
      <c r="L72" s="36" t="n">
        <v>0</v>
      </c>
      <c r="M72" s="36" t="n">
        <v>0</v>
      </c>
      <c r="N72" s="37" t="n">
        <v>1.08</v>
      </c>
      <c r="O72" s="38" t="inlineStr">
        <is>
          <t> </t>
        </is>
      </c>
      <c r="P72" s="39" t="n">
        <v>0</v>
      </c>
      <c r="Q72" s="40" t="n">
        <v>0</v>
      </c>
      <c r="R72" s="41" t="inlineStr">
        <is>
          <t>Unclassified</t>
        </is>
      </c>
      <c r="S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1</v>
      </c>
      <c r="F73" s="36" t="n">
        <v>-1.16</v>
      </c>
      <c r="G73" s="36" t="n">
        <v>0.46</v>
      </c>
      <c r="H73" s="36" t="n">
        <v>1</v>
      </c>
      <c r="I73" s="36" t="n">
        <v>0.82</v>
      </c>
      <c r="J73" s="36" t="n">
        <v>0.07000000000000001</v>
      </c>
      <c r="K73" s="36" t="n">
        <v>0.88</v>
      </c>
      <c r="L73" s="36" t="n">
        <v>0.88</v>
      </c>
      <c r="M73" s="36" t="n">
        <v>1</v>
      </c>
      <c r="N73" s="37" t="n">
        <v>1.16</v>
      </c>
      <c r="O73" s="38" t="inlineStr">
        <is>
          <t> </t>
        </is>
      </c>
      <c r="P73" s="39" t="n">
        <v>23</v>
      </c>
      <c r="Q73" s="40" t="n">
        <v>26.68</v>
      </c>
      <c r="R73" s="41" t="inlineStr">
        <is>
          <t>Generic Drug</t>
        </is>
      </c>
      <c r="S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0</v>
      </c>
      <c r="F74" s="36" t="n">
        <v>-1.44</v>
      </c>
      <c r="G74" s="36" t="n">
        <v>-0.18</v>
      </c>
      <c r="H74" s="36" t="n">
        <v>0</v>
      </c>
      <c r="I74" s="36" t="n">
        <v>0</v>
      </c>
      <c r="J74" s="36" t="n">
        <v>-0.42</v>
      </c>
      <c r="K74" s="36" t="n">
        <v>-0.03</v>
      </c>
      <c r="L74" s="36" t="n">
        <v>0</v>
      </c>
      <c r="M74" s="36" t="n">
        <v>0</v>
      </c>
      <c r="N74" s="37" t="n">
        <v>1.44</v>
      </c>
      <c r="O74" s="38" t="inlineStr">
        <is>
          <t> </t>
        </is>
      </c>
      <c r="P74" s="39" t="n">
        <v>0</v>
      </c>
      <c r="Q74" s="40" t="n">
        <v>0</v>
      </c>
      <c r="R74" s="41" t="inlineStr">
        <is>
          <t>Unclassified</t>
        </is>
      </c>
      <c r="S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0</v>
      </c>
      <c r="F75" s="36" t="n">
        <v>-6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7" t="n">
        <v>6</v>
      </c>
      <c r="O75" s="38" t="inlineStr">
        <is>
          <t> </t>
        </is>
      </c>
      <c r="P75" s="39" t="n">
        <v>0</v>
      </c>
      <c r="Q75" s="40" t="n">
        <v>0</v>
      </c>
      <c r="R75" s="41" t="inlineStr">
        <is>
          <t>Unclassified</t>
        </is>
      </c>
      <c r="S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0</v>
      </c>
      <c r="F76" s="36" t="n">
        <v>-3</v>
      </c>
      <c r="G76" s="36" t="n">
        <v>0</v>
      </c>
      <c r="H76" s="36" t="n">
        <v>0</v>
      </c>
      <c r="I76" s="36" t="n">
        <v>0</v>
      </c>
      <c r="J76" s="36" t="n">
        <v>-4</v>
      </c>
      <c r="K76" s="36" t="n">
        <v>0</v>
      </c>
      <c r="L76" s="36" t="n">
        <v>0</v>
      </c>
      <c r="M76" s="36" t="n">
        <v>0</v>
      </c>
      <c r="N76" s="37" t="n">
        <v>4</v>
      </c>
      <c r="O76" s="38" t="inlineStr">
        <is>
          <t> </t>
        </is>
      </c>
      <c r="P76" s="39" t="n">
        <v>0</v>
      </c>
      <c r="Q76" s="40" t="n">
        <v>0</v>
      </c>
      <c r="R76" s="41" t="inlineStr">
        <is>
          <t>Unclassified</t>
        </is>
      </c>
      <c r="S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0</v>
      </c>
      <c r="F77" s="36" t="n">
        <v>-4</v>
      </c>
      <c r="G77" s="36" t="n">
        <v>-1</v>
      </c>
      <c r="H77" s="36" t="n">
        <v>0</v>
      </c>
      <c r="I77" s="36" t="n">
        <v>0</v>
      </c>
      <c r="J77" s="36" t="n">
        <v>-2</v>
      </c>
      <c r="K77" s="36" t="n">
        <v>-1</v>
      </c>
      <c r="L77" s="36" t="n">
        <v>0</v>
      </c>
      <c r="M77" s="36" t="n">
        <v>0</v>
      </c>
      <c r="N77" s="37" t="n">
        <v>4</v>
      </c>
      <c r="O77" s="38" t="inlineStr">
        <is>
          <t> </t>
        </is>
      </c>
      <c r="P77" s="39" t="n">
        <v>0</v>
      </c>
      <c r="Q77" s="40" t="n">
        <v>0</v>
      </c>
      <c r="R77" s="41" t="inlineStr">
        <is>
          <t>Unclassified</t>
        </is>
      </c>
      <c r="S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-0.67</v>
      </c>
      <c r="K78" s="36" t="n">
        <v>0</v>
      </c>
      <c r="L78" s="36" t="n">
        <v>0</v>
      </c>
      <c r="M78" s="36" t="n">
        <v>0</v>
      </c>
      <c r="N78" s="37" t="n">
        <v>0.67</v>
      </c>
      <c r="O78" s="38" t="inlineStr">
        <is>
          <t> </t>
        </is>
      </c>
      <c r="P78" s="39" t="n">
        <v>0</v>
      </c>
      <c r="Q78" s="40" t="n">
        <v>0</v>
      </c>
      <c r="R78" s="41" t="inlineStr">
        <is>
          <t>Unclassified</t>
        </is>
      </c>
      <c r="S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0</v>
      </c>
      <c r="F79" s="36" t="n">
        <v>-1.67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7" t="n">
        <v>1.67</v>
      </c>
      <c r="O79" s="38" t="inlineStr">
        <is>
          <t> </t>
        </is>
      </c>
      <c r="P79" s="39" t="n">
        <v>0</v>
      </c>
      <c r="Q79" s="40" t="n">
        <v>0</v>
      </c>
      <c r="R79" s="41" t="inlineStr">
        <is>
          <t>Unclassified</t>
        </is>
      </c>
      <c r="S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0</v>
      </c>
      <c r="F80" s="36" t="n">
        <v>-0.21</v>
      </c>
      <c r="G80" s="36" t="n">
        <v>0</v>
      </c>
      <c r="H80" s="36" t="n">
        <v>0</v>
      </c>
      <c r="I80" s="36" t="n">
        <v>-0.15</v>
      </c>
      <c r="J80" s="36" t="n">
        <v>-0.18</v>
      </c>
      <c r="K80" s="36" t="n">
        <v>0</v>
      </c>
      <c r="L80" s="36" t="n">
        <v>0</v>
      </c>
      <c r="M80" s="36" t="n">
        <v>0</v>
      </c>
      <c r="N80" s="37" t="n">
        <v>0.21</v>
      </c>
      <c r="O80" s="38" t="inlineStr">
        <is>
          <t> </t>
        </is>
      </c>
      <c r="P80" s="39" t="n">
        <v>0</v>
      </c>
      <c r="Q80" s="40" t="n">
        <v>0</v>
      </c>
      <c r="R80" s="41" t="inlineStr">
        <is>
          <t>Unclassified</t>
        </is>
      </c>
      <c r="S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-0.3</v>
      </c>
      <c r="K81" s="36" t="n">
        <v>0</v>
      </c>
      <c r="L81" s="36" t="n">
        <v>0</v>
      </c>
      <c r="M81" s="36" t="n">
        <v>0</v>
      </c>
      <c r="N81" s="37" t="n">
        <v>0.3</v>
      </c>
      <c r="O81" s="38" t="inlineStr">
        <is>
          <t> </t>
        </is>
      </c>
      <c r="P81" s="39" t="n">
        <v>0</v>
      </c>
      <c r="Q81" s="40" t="n">
        <v>0</v>
      </c>
      <c r="R81" s="41" t="inlineStr">
        <is>
          <t>Unclassified</t>
        </is>
      </c>
      <c r="S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0</v>
      </c>
      <c r="F82" s="36" t="n">
        <v>-0.3</v>
      </c>
      <c r="G82" s="36" t="n">
        <v>0</v>
      </c>
      <c r="H82" s="36" t="n">
        <v>0</v>
      </c>
      <c r="I82" s="36" t="n">
        <v>0</v>
      </c>
      <c r="J82" s="36" t="n">
        <v>-0.6</v>
      </c>
      <c r="K82" s="36" t="n">
        <v>0</v>
      </c>
      <c r="L82" s="36" t="n">
        <v>0</v>
      </c>
      <c r="M82" s="36" t="n">
        <v>0</v>
      </c>
      <c r="N82" s="37" t="n">
        <v>0.6</v>
      </c>
      <c r="O82" s="38" t="inlineStr">
        <is>
          <t> </t>
        </is>
      </c>
      <c r="P82" s="39" t="n">
        <v>0</v>
      </c>
      <c r="Q82" s="40" t="n">
        <v>0</v>
      </c>
      <c r="R82" s="41" t="inlineStr">
        <is>
          <t>Unclassified</t>
        </is>
      </c>
      <c r="S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-0.3</v>
      </c>
      <c r="K83" s="36" t="n">
        <v>0</v>
      </c>
      <c r="L83" s="36" t="n">
        <v>0</v>
      </c>
      <c r="M83" s="36" t="n">
        <v>0</v>
      </c>
      <c r="N83" s="37" t="n">
        <v>0.3</v>
      </c>
      <c r="O83" s="38" t="inlineStr">
        <is>
          <t> </t>
        </is>
      </c>
      <c r="P83" s="39" t="n">
        <v>0</v>
      </c>
      <c r="Q83" s="40" t="n">
        <v>0</v>
      </c>
      <c r="R83" s="41" t="inlineStr">
        <is>
          <t>Unclassified</t>
        </is>
      </c>
      <c r="S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-0.1</v>
      </c>
      <c r="K84" s="36" t="n">
        <v>0</v>
      </c>
      <c r="L84" s="36" t="n">
        <v>0</v>
      </c>
      <c r="M84" s="36" t="n">
        <v>0</v>
      </c>
      <c r="N84" s="37" t="n">
        <v>0.1</v>
      </c>
      <c r="O84" s="38" t="inlineStr">
        <is>
          <t> </t>
        </is>
      </c>
      <c r="P84" s="39" t="n">
        <v>0</v>
      </c>
      <c r="Q84" s="40" t="n">
        <v>0</v>
      </c>
      <c r="R84" s="41" t="inlineStr">
        <is>
          <t>Unclassified</t>
        </is>
      </c>
      <c r="S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-0.03</v>
      </c>
      <c r="K85" s="36" t="n">
        <v>0</v>
      </c>
      <c r="L85" s="36" t="n">
        <v>0</v>
      </c>
      <c r="M85" s="36" t="n">
        <v>0</v>
      </c>
      <c r="N85" s="37" t="n">
        <v>0.03</v>
      </c>
      <c r="O85" s="38" t="inlineStr">
        <is>
          <t> </t>
        </is>
      </c>
      <c r="P85" s="39" t="n">
        <v>0</v>
      </c>
      <c r="Q85" s="40" t="n">
        <v>0</v>
      </c>
      <c r="R85" s="41" t="inlineStr">
        <is>
          <t>Unclassified</t>
        </is>
      </c>
      <c r="S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-0.9</v>
      </c>
      <c r="K86" s="36" t="n">
        <v>0</v>
      </c>
      <c r="L86" s="36" t="n">
        <v>0</v>
      </c>
      <c r="M86" s="36" t="n">
        <v>0</v>
      </c>
      <c r="N86" s="37" t="n">
        <v>0.9</v>
      </c>
      <c r="O86" s="38" t="inlineStr">
        <is>
          <t> </t>
        </is>
      </c>
      <c r="P86" s="39" t="n">
        <v>0</v>
      </c>
      <c r="Q86" s="40" t="n">
        <v>0</v>
      </c>
      <c r="R86" s="41" t="inlineStr">
        <is>
          <t>Unclassified</t>
        </is>
      </c>
      <c r="S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0</v>
      </c>
      <c r="F87" s="36" t="n">
        <v>-0.2</v>
      </c>
      <c r="G87" s="36" t="n">
        <v>0</v>
      </c>
      <c r="H87" s="36" t="n">
        <v>0</v>
      </c>
      <c r="I87" s="36" t="n">
        <v>0</v>
      </c>
      <c r="J87" s="36" t="n">
        <v>-1.12</v>
      </c>
      <c r="K87" s="36" t="n">
        <v>0</v>
      </c>
      <c r="L87" s="36" t="n">
        <v>0</v>
      </c>
      <c r="M87" s="36" t="n">
        <v>0</v>
      </c>
      <c r="N87" s="37" t="n">
        <v>1.12</v>
      </c>
      <c r="O87" s="38" t="inlineStr">
        <is>
          <t> </t>
        </is>
      </c>
      <c r="P87" s="39" t="n">
        <v>0</v>
      </c>
      <c r="Q87" s="40" t="n">
        <v>0</v>
      </c>
      <c r="R87" s="41" t="inlineStr">
        <is>
          <t>Unclassified</t>
        </is>
      </c>
      <c r="S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-2</v>
      </c>
      <c r="K88" s="36" t="n">
        <v>0</v>
      </c>
      <c r="L88" s="36" t="n">
        <v>0</v>
      </c>
      <c r="M88" s="36" t="n">
        <v>0</v>
      </c>
      <c r="N88" s="37" t="n">
        <v>2</v>
      </c>
      <c r="O88" s="38" t="inlineStr">
        <is>
          <t> </t>
        </is>
      </c>
      <c r="P88" s="39" t="n">
        <v>0</v>
      </c>
      <c r="Q88" s="40" t="n">
        <v>0</v>
      </c>
      <c r="R88" s="41" t="inlineStr">
        <is>
          <t>Unclassified</t>
        </is>
      </c>
      <c r="S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0</v>
      </c>
      <c r="F89" s="36" t="n">
        <v>-1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7" t="n">
        <v>1</v>
      </c>
      <c r="O89" s="38" t="inlineStr">
        <is>
          <t> </t>
        </is>
      </c>
      <c r="P89" s="39" t="n">
        <v>0</v>
      </c>
      <c r="Q89" s="40" t="n">
        <v>0</v>
      </c>
      <c r="R89" s="41" t="inlineStr">
        <is>
          <t>Unclassified</t>
        </is>
      </c>
      <c r="S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-1</v>
      </c>
      <c r="L90" s="36" t="n">
        <v>0</v>
      </c>
      <c r="M90" s="36" t="n">
        <v>0</v>
      </c>
      <c r="N90" s="37" t="n">
        <v>1</v>
      </c>
      <c r="O90" s="38" t="inlineStr">
        <is>
          <t> </t>
        </is>
      </c>
      <c r="P90" s="39" t="n">
        <v>0</v>
      </c>
      <c r="Q90" s="40" t="n">
        <v>0</v>
      </c>
      <c r="R90" s="41" t="inlineStr">
        <is>
          <t>Unclassified</t>
        </is>
      </c>
      <c r="S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0</v>
      </c>
      <c r="G91" s="36" t="n">
        <v>-1</v>
      </c>
      <c r="H91" s="36" t="n">
        <v>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7" t="n">
        <v>1</v>
      </c>
      <c r="O91" s="38" t="inlineStr">
        <is>
          <t> </t>
        </is>
      </c>
      <c r="P91" s="39" t="n">
        <v>0</v>
      </c>
      <c r="Q91" s="40" t="n">
        <v>0</v>
      </c>
      <c r="R91" s="41" t="inlineStr">
        <is>
          <t>Unclassified</t>
        </is>
      </c>
      <c r="S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0</v>
      </c>
      <c r="G92" s="36" t="n">
        <v>-1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7" t="n">
        <v>1</v>
      </c>
      <c r="O92" s="38" t="inlineStr">
        <is>
          <t> </t>
        </is>
      </c>
      <c r="P92" s="39" t="n">
        <v>0</v>
      </c>
      <c r="Q92" s="40" t="n">
        <v>0</v>
      </c>
      <c r="R92" s="41" t="inlineStr">
        <is>
          <t>Unclassified</t>
        </is>
      </c>
      <c r="S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v>-1</v>
      </c>
      <c r="J93" s="36" t="n">
        <v>-1</v>
      </c>
      <c r="K93" s="36" t="n">
        <v>0</v>
      </c>
      <c r="L93" s="36" t="n">
        <v>0</v>
      </c>
      <c r="M93" s="36" t="n">
        <v>0</v>
      </c>
      <c r="N93" s="37" t="n">
        <v>1</v>
      </c>
      <c r="O93" s="38" t="inlineStr">
        <is>
          <t> </t>
        </is>
      </c>
      <c r="P93" s="39" t="n">
        <v>0</v>
      </c>
      <c r="Q93" s="40" t="n">
        <v>0</v>
      </c>
      <c r="R93" s="41" t="inlineStr">
        <is>
          <t>Unclassified</t>
        </is>
      </c>
      <c r="S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-0.3</v>
      </c>
      <c r="M94" s="36" t="n">
        <v>0</v>
      </c>
      <c r="N94" s="37" t="n">
        <v>0.3</v>
      </c>
      <c r="O94" s="38" t="inlineStr">
        <is>
          <t> </t>
        </is>
      </c>
      <c r="P94" s="39" t="n">
        <v>0</v>
      </c>
      <c r="Q94" s="40" t="n">
        <v>0</v>
      </c>
      <c r="R94" s="41" t="inlineStr">
        <is>
          <t>Unclassified</t>
        </is>
      </c>
      <c r="S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0</v>
      </c>
      <c r="F95" s="36" t="n">
        <v>-1.2</v>
      </c>
      <c r="G95" s="36" t="n">
        <v>0</v>
      </c>
      <c r="H95" s="36" t="n">
        <v>0</v>
      </c>
      <c r="I95" s="36" t="n">
        <v>-0.3</v>
      </c>
      <c r="J95" s="36" t="n">
        <v>0</v>
      </c>
      <c r="K95" s="36" t="n">
        <v>0</v>
      </c>
      <c r="L95" s="36" t="n">
        <v>0</v>
      </c>
      <c r="M95" s="36" t="n">
        <v>0</v>
      </c>
      <c r="N95" s="37" t="n">
        <v>1.2</v>
      </c>
      <c r="O95" s="38" t="inlineStr">
        <is>
          <t> </t>
        </is>
      </c>
      <c r="P95" s="39" t="n">
        <v>0</v>
      </c>
      <c r="Q95" s="40" t="n">
        <v>0</v>
      </c>
      <c r="R95" s="41" t="inlineStr">
        <is>
          <t>Unclassified</t>
        </is>
      </c>
      <c r="S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-3</v>
      </c>
      <c r="K96" s="36" t="n">
        <v>0</v>
      </c>
      <c r="L96" s="36" t="n">
        <v>0</v>
      </c>
      <c r="M96" s="36" t="n">
        <v>0</v>
      </c>
      <c r="N96" s="37" t="n">
        <v>3</v>
      </c>
      <c r="O96" s="38" t="inlineStr">
        <is>
          <t> </t>
        </is>
      </c>
      <c r="P96" s="39" t="n">
        <v>0</v>
      </c>
      <c r="Q96" s="40" t="n">
        <v>0</v>
      </c>
      <c r="R96" s="41" t="inlineStr">
        <is>
          <t>Unclassified</t>
        </is>
      </c>
      <c r="S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1</v>
      </c>
      <c r="F97" s="36" t="n">
        <v>-6</v>
      </c>
      <c r="G97" s="36" t="n">
        <v>0</v>
      </c>
      <c r="H97" s="36" t="n">
        <v>1</v>
      </c>
      <c r="I97" s="36" t="n">
        <v>1</v>
      </c>
      <c r="J97" s="36" t="n">
        <v>1</v>
      </c>
      <c r="K97" s="36" t="n">
        <v>1</v>
      </c>
      <c r="L97" s="36" t="n">
        <v>1</v>
      </c>
      <c r="M97" s="36" t="n">
        <v>1</v>
      </c>
      <c r="N97" s="37" t="n">
        <v>6</v>
      </c>
      <c r="O97" s="38" t="inlineStr">
        <is>
          <t> </t>
        </is>
      </c>
      <c r="P97" s="39" t="n">
        <v>396</v>
      </c>
      <c r="Q97" s="40" t="n">
        <v>2376</v>
      </c>
      <c r="R97" s="41" t="inlineStr">
        <is>
          <t>Branded Drug</t>
        </is>
      </c>
      <c r="S97" s="41" t="n"/>
    </row>
    <row r="98" ht="20" customHeight="1">
      <c r="A98" s="34" t="inlineStr">
        <is>
          <t>61314014310</t>
        </is>
      </c>
      <c r="B98" s="35" t="inlineStr">
        <is>
          <t>BRIMONIDINE TARTRATE 0.2% SOLUTION</t>
        </is>
      </c>
      <c r="C98" s="34" t="n">
        <v>10</v>
      </c>
      <c r="D98" s="36" t="n">
        <v>0</v>
      </c>
      <c r="E98" s="36" t="n">
        <v>0</v>
      </c>
      <c r="F98" s="36" t="n">
        <v>-2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7" t="n">
        <v>2</v>
      </c>
      <c r="O98" s="38" t="inlineStr">
        <is>
          <t> </t>
        </is>
      </c>
      <c r="P98" s="39" t="n">
        <v>0</v>
      </c>
      <c r="Q98" s="40" t="n">
        <v>0</v>
      </c>
      <c r="R98" s="41" t="inlineStr">
        <is>
          <t>Unclassified</t>
        </is>
      </c>
      <c r="S98" s="41" t="n"/>
    </row>
    <row r="99" ht="20" customHeight="1">
      <c r="A99" s="34" t="inlineStr">
        <is>
          <t>61314014305</t>
        </is>
      </c>
      <c r="B99" s="35" t="inlineStr">
        <is>
          <t>BRIMONIDINE TARTRATE 0.2% SOLUTION</t>
        </is>
      </c>
      <c r="C99" s="34" t="n">
        <v>5</v>
      </c>
      <c r="D99" s="36" t="n">
        <v>0</v>
      </c>
      <c r="E99" s="36" t="n">
        <v>0</v>
      </c>
      <c r="F99" s="36" t="n">
        <v>-4</v>
      </c>
      <c r="G99" s="36" t="n">
        <v>-1</v>
      </c>
      <c r="H99" s="36" t="n">
        <v>0</v>
      </c>
      <c r="I99" s="36" t="n">
        <v>0</v>
      </c>
      <c r="J99" s="36" t="n">
        <v>-4</v>
      </c>
      <c r="K99" s="36" t="n">
        <v>0</v>
      </c>
      <c r="L99" s="36" t="n">
        <v>0</v>
      </c>
      <c r="M99" s="36" t="n">
        <v>0</v>
      </c>
      <c r="N99" s="37" t="n">
        <v>4</v>
      </c>
      <c r="O99" s="38" t="inlineStr">
        <is>
          <t> </t>
        </is>
      </c>
      <c r="P99" s="39" t="n">
        <v>0</v>
      </c>
      <c r="Q99" s="40" t="n">
        <v>0</v>
      </c>
      <c r="R99" s="41" t="inlineStr">
        <is>
          <t>Unclassified</t>
        </is>
      </c>
      <c r="S99" s="41" t="n"/>
    </row>
    <row r="100" ht="20" customHeight="1">
      <c r="A100" s="34" t="inlineStr">
        <is>
          <t>70069065201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6" t="n">
        <v>0</v>
      </c>
      <c r="N100" s="37" t="n">
        <v>1</v>
      </c>
      <c r="O100" s="38" t="inlineStr">
        <is>
          <t> </t>
        </is>
      </c>
      <c r="P100" s="39" t="n">
        <v>0</v>
      </c>
      <c r="Q100" s="40" t="n">
        <v>0</v>
      </c>
      <c r="R100" s="41" t="inlineStr">
        <is>
          <t>Unclassified</t>
        </is>
      </c>
      <c r="S100" s="41" t="n"/>
    </row>
    <row r="101" ht="20" customHeight="1">
      <c r="A101" s="34" t="inlineStr">
        <is>
          <t>68462028132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0</v>
      </c>
      <c r="F101" s="36" t="n">
        <v>-1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7" t="n">
        <v>1</v>
      </c>
      <c r="O101" s="38" t="inlineStr">
        <is>
          <t> </t>
        </is>
      </c>
      <c r="P101" s="39" t="n">
        <v>0</v>
      </c>
      <c r="Q101" s="40" t="n">
        <v>0</v>
      </c>
      <c r="R101" s="41" t="inlineStr">
        <is>
          <t>Unclassified</t>
        </is>
      </c>
      <c r="S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0</v>
      </c>
      <c r="F102" s="36" t="n">
        <v>-1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6" t="n">
        <v>0</v>
      </c>
      <c r="M102" s="36" t="n">
        <v>0</v>
      </c>
      <c r="N102" s="37" t="n">
        <v>1</v>
      </c>
      <c r="O102" s="38" t="inlineStr">
        <is>
          <t> </t>
        </is>
      </c>
      <c r="P102" s="39" t="n">
        <v>0</v>
      </c>
      <c r="Q102" s="40" t="n">
        <v>0</v>
      </c>
      <c r="R102" s="41" t="inlineStr">
        <is>
          <t>Unclassified</t>
        </is>
      </c>
      <c r="S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0</v>
      </c>
      <c r="F103" s="36" t="n">
        <v>-2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7" t="n">
        <v>2</v>
      </c>
      <c r="O103" s="38" t="inlineStr">
        <is>
          <t> </t>
        </is>
      </c>
      <c r="P103" s="39" t="n">
        <v>0</v>
      </c>
      <c r="Q103" s="40" t="n">
        <v>0</v>
      </c>
      <c r="R103" s="41" t="inlineStr">
        <is>
          <t>Unclassified</t>
        </is>
      </c>
      <c r="S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0</v>
      </c>
      <c r="F104" s="36" t="n">
        <v>-4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7" t="n">
        <v>4</v>
      </c>
      <c r="O104" s="38" t="inlineStr">
        <is>
          <t> </t>
        </is>
      </c>
      <c r="P104" s="39" t="n">
        <v>0</v>
      </c>
      <c r="Q104" s="40" t="n">
        <v>0</v>
      </c>
      <c r="R104" s="41" t="inlineStr">
        <is>
          <t>Unclassified</t>
        </is>
      </c>
      <c r="S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6</v>
      </c>
      <c r="F105" s="36" t="n">
        <v>-1</v>
      </c>
      <c r="G105" s="36" t="n">
        <v>3</v>
      </c>
      <c r="H105" s="36" t="n">
        <v>6</v>
      </c>
      <c r="I105" s="36" t="n">
        <v>5</v>
      </c>
      <c r="J105" s="36" t="n">
        <v>6</v>
      </c>
      <c r="K105" s="36" t="n">
        <v>6</v>
      </c>
      <c r="L105" s="36" t="n">
        <v>6</v>
      </c>
      <c r="M105" s="36" t="n">
        <v>6</v>
      </c>
      <c r="N105" s="37" t="n">
        <v>1</v>
      </c>
      <c r="O105" s="38" t="inlineStr">
        <is>
          <t> </t>
        </is>
      </c>
      <c r="P105" s="39" t="n">
        <v>139</v>
      </c>
      <c r="Q105" s="40" t="n">
        <v>139</v>
      </c>
      <c r="R105" s="41" t="inlineStr">
        <is>
          <t>Generic Drug</t>
        </is>
      </c>
      <c r="S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-0.6</v>
      </c>
      <c r="K106" s="36" t="n">
        <v>0</v>
      </c>
      <c r="L106" s="36" t="n">
        <v>0</v>
      </c>
      <c r="M106" s="36" t="n">
        <v>0</v>
      </c>
      <c r="N106" s="37" t="n">
        <v>0.6</v>
      </c>
      <c r="O106" s="38" t="inlineStr">
        <is>
          <t> </t>
        </is>
      </c>
      <c r="P106" s="39" t="n">
        <v>0</v>
      </c>
      <c r="Q106" s="40" t="n">
        <v>0</v>
      </c>
      <c r="R106" s="41" t="inlineStr">
        <is>
          <t>Unclassified</t>
        </is>
      </c>
      <c r="S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0</v>
      </c>
      <c r="J107" s="36" t="n">
        <v>0</v>
      </c>
      <c r="K107" s="36" t="n">
        <v>-0.3</v>
      </c>
      <c r="L107" s="36" t="n">
        <v>0</v>
      </c>
      <c r="M107" s="36" t="n">
        <v>0</v>
      </c>
      <c r="N107" s="37" t="n">
        <v>0.3</v>
      </c>
      <c r="O107" s="38" t="inlineStr">
        <is>
          <t> </t>
        </is>
      </c>
      <c r="P107" s="39" t="n">
        <v>0</v>
      </c>
      <c r="Q107" s="40" t="n">
        <v>0</v>
      </c>
      <c r="R107" s="41" t="inlineStr">
        <is>
          <t>Unclassified</t>
        </is>
      </c>
      <c r="S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0</v>
      </c>
      <c r="F108" s="36" t="n">
        <v>-0.18</v>
      </c>
      <c r="G108" s="36" t="n">
        <v>-0.12</v>
      </c>
      <c r="H108" s="36" t="n">
        <v>0</v>
      </c>
      <c r="I108" s="36" t="n">
        <v>-0.06</v>
      </c>
      <c r="J108" s="36" t="n">
        <v>-0.22</v>
      </c>
      <c r="K108" s="36" t="n">
        <v>0</v>
      </c>
      <c r="L108" s="36" t="n">
        <v>0</v>
      </c>
      <c r="M108" s="36" t="n">
        <v>0</v>
      </c>
      <c r="N108" s="37" t="n">
        <v>0.22</v>
      </c>
      <c r="O108" s="38" t="inlineStr">
        <is>
          <t> </t>
        </is>
      </c>
      <c r="P108" s="39" t="n">
        <v>0</v>
      </c>
      <c r="Q108" s="40" t="n">
        <v>0</v>
      </c>
      <c r="R108" s="41" t="inlineStr">
        <is>
          <t>Unclassified</t>
        </is>
      </c>
      <c r="S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0</v>
      </c>
      <c r="F109" s="36" t="n">
        <v>-0.24</v>
      </c>
      <c r="G109" s="36" t="n">
        <v>0</v>
      </c>
      <c r="H109" s="36" t="n">
        <v>0</v>
      </c>
      <c r="I109" s="36" t="n">
        <v>0</v>
      </c>
      <c r="J109" s="36" t="n">
        <v>-0.18</v>
      </c>
      <c r="K109" s="36" t="n">
        <v>0</v>
      </c>
      <c r="L109" s="36" t="n">
        <v>0</v>
      </c>
      <c r="M109" s="36" t="n">
        <v>0</v>
      </c>
      <c r="N109" s="37" t="n">
        <v>0.24</v>
      </c>
      <c r="O109" s="38" t="inlineStr">
        <is>
          <t> </t>
        </is>
      </c>
      <c r="P109" s="39" t="n">
        <v>0</v>
      </c>
      <c r="Q109" s="40" t="n">
        <v>0</v>
      </c>
      <c r="R109" s="41" t="inlineStr">
        <is>
          <t>Unclassified</t>
        </is>
      </c>
      <c r="S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0</v>
      </c>
      <c r="F110" s="36" t="n">
        <v>-0.3</v>
      </c>
      <c r="G110" s="36" t="n">
        <v>0</v>
      </c>
      <c r="H110" s="36" t="n">
        <v>0</v>
      </c>
      <c r="I110" s="36" t="n">
        <v>0</v>
      </c>
      <c r="J110" s="36" t="n">
        <v>-0.06</v>
      </c>
      <c r="K110" s="36" t="n">
        <v>-0.12</v>
      </c>
      <c r="L110" s="36" t="n">
        <v>0</v>
      </c>
      <c r="M110" s="36" t="n">
        <v>0</v>
      </c>
      <c r="N110" s="37" t="n">
        <v>0.3</v>
      </c>
      <c r="O110" s="38" t="inlineStr">
        <is>
          <t> </t>
        </is>
      </c>
      <c r="P110" s="39" t="n">
        <v>0</v>
      </c>
      <c r="Q110" s="40" t="n">
        <v>0</v>
      </c>
      <c r="R110" s="41" t="inlineStr">
        <is>
          <t>Unclassified</t>
        </is>
      </c>
      <c r="S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-0.12</v>
      </c>
      <c r="K111" s="36" t="n">
        <v>0</v>
      </c>
      <c r="L111" s="36" t="n">
        <v>0</v>
      </c>
      <c r="M111" s="36" t="n">
        <v>0</v>
      </c>
      <c r="N111" s="37" t="n">
        <v>0.12</v>
      </c>
      <c r="O111" s="38" t="inlineStr">
        <is>
          <t> </t>
        </is>
      </c>
      <c r="P111" s="39" t="n">
        <v>0</v>
      </c>
      <c r="Q111" s="40" t="n">
        <v>0</v>
      </c>
      <c r="R111" s="41" t="inlineStr">
        <is>
          <t>Unclassified</t>
        </is>
      </c>
      <c r="S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0</v>
      </c>
      <c r="F112" s="36" t="n">
        <v>-3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7" t="n">
        <v>3</v>
      </c>
      <c r="O112" s="38" t="inlineStr">
        <is>
          <t> </t>
        </is>
      </c>
      <c r="P112" s="39" t="n">
        <v>0</v>
      </c>
      <c r="Q112" s="40" t="n">
        <v>0</v>
      </c>
      <c r="R112" s="41" t="inlineStr">
        <is>
          <t>Unclassified</t>
        </is>
      </c>
      <c r="S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0</v>
      </c>
      <c r="G113" s="36" t="n">
        <v>-1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7" t="n">
        <v>1</v>
      </c>
      <c r="O113" s="38" t="inlineStr">
        <is>
          <t> </t>
        </is>
      </c>
      <c r="P113" s="39" t="n">
        <v>0</v>
      </c>
      <c r="Q113" s="40" t="n">
        <v>0</v>
      </c>
      <c r="R113" s="41" t="inlineStr">
        <is>
          <t>Unclassified</t>
        </is>
      </c>
      <c r="S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-2</v>
      </c>
      <c r="K114" s="36" t="n">
        <v>0</v>
      </c>
      <c r="L114" s="36" t="n">
        <v>0</v>
      </c>
      <c r="M114" s="36" t="n">
        <v>0</v>
      </c>
      <c r="N114" s="37" t="n">
        <v>2</v>
      </c>
      <c r="O114" s="38" t="inlineStr">
        <is>
          <t> </t>
        </is>
      </c>
      <c r="P114" s="39" t="n">
        <v>0</v>
      </c>
      <c r="Q114" s="40" t="n">
        <v>0</v>
      </c>
      <c r="R114" s="41" t="inlineStr">
        <is>
          <t>Unclassified</t>
        </is>
      </c>
      <c r="S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v>0</v>
      </c>
      <c r="J115" s="36" t="n">
        <v>-1</v>
      </c>
      <c r="K115" s="36" t="n">
        <v>0</v>
      </c>
      <c r="L115" s="36" t="n">
        <v>0</v>
      </c>
      <c r="M115" s="36" t="n">
        <v>0</v>
      </c>
      <c r="N115" s="37" t="n">
        <v>1</v>
      </c>
      <c r="O115" s="38" t="inlineStr">
        <is>
          <t> </t>
        </is>
      </c>
      <c r="P115" s="39" t="n">
        <v>0</v>
      </c>
      <c r="Q115" s="40" t="n">
        <v>0</v>
      </c>
      <c r="R115" s="41" t="inlineStr">
        <is>
          <t>Unclassified</t>
        </is>
      </c>
      <c r="S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-6</v>
      </c>
      <c r="K116" s="36" t="n">
        <v>0</v>
      </c>
      <c r="L116" s="36" t="n">
        <v>0</v>
      </c>
      <c r="M116" s="36" t="n">
        <v>0</v>
      </c>
      <c r="N116" s="37" t="n">
        <v>6</v>
      </c>
      <c r="O116" s="38" t="inlineStr">
        <is>
          <t> </t>
        </is>
      </c>
      <c r="P116" s="39" t="n">
        <v>0</v>
      </c>
      <c r="Q116" s="40" t="n">
        <v>0</v>
      </c>
      <c r="R116" s="41" t="inlineStr">
        <is>
          <t>Unclassified</t>
        </is>
      </c>
      <c r="S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0</v>
      </c>
      <c r="G117" s="36" t="n">
        <v>-1.2</v>
      </c>
      <c r="H117" s="36" t="n">
        <v>0</v>
      </c>
      <c r="I117" s="36" t="n">
        <v>0</v>
      </c>
      <c r="J117" s="36" t="n">
        <v>-9.199999999999999</v>
      </c>
      <c r="K117" s="36" t="n">
        <v>0</v>
      </c>
      <c r="L117" s="36" t="n">
        <v>0</v>
      </c>
      <c r="M117" s="36" t="n">
        <v>0</v>
      </c>
      <c r="N117" s="37" t="n">
        <v>9.199999999999999</v>
      </c>
      <c r="O117" s="38" t="inlineStr">
        <is>
          <t> </t>
        </is>
      </c>
      <c r="P117" s="39" t="n">
        <v>0</v>
      </c>
      <c r="Q117" s="40" t="n">
        <v>0</v>
      </c>
      <c r="R117" s="41" t="inlineStr">
        <is>
          <t>Unclassified</t>
        </is>
      </c>
      <c r="S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0</v>
      </c>
      <c r="G118" s="36" t="n">
        <v>-1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7" t="n">
        <v>1</v>
      </c>
      <c r="O118" s="38" t="inlineStr">
        <is>
          <t> </t>
        </is>
      </c>
      <c r="P118" s="39" t="n">
        <v>0</v>
      </c>
      <c r="Q118" s="40" t="n">
        <v>0</v>
      </c>
      <c r="R118" s="41" t="inlineStr">
        <is>
          <t>Unclassified</t>
        </is>
      </c>
      <c r="S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v>0</v>
      </c>
      <c r="J119" s="36" t="n">
        <v>-1</v>
      </c>
      <c r="K119" s="36" t="n">
        <v>0</v>
      </c>
      <c r="L119" s="36" t="n">
        <v>0</v>
      </c>
      <c r="M119" s="36" t="n">
        <v>0</v>
      </c>
      <c r="N119" s="37" t="n">
        <v>1</v>
      </c>
      <c r="O119" s="38" t="inlineStr">
        <is>
          <t> </t>
        </is>
      </c>
      <c r="P119" s="39" t="n">
        <v>0</v>
      </c>
      <c r="Q119" s="40" t="n">
        <v>0</v>
      </c>
      <c r="R119" s="41" t="inlineStr">
        <is>
          <t>Unclassified</t>
        </is>
      </c>
      <c r="S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0</v>
      </c>
      <c r="F120" s="36" t="n">
        <v>-0.09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7" t="n">
        <v>0.09</v>
      </c>
      <c r="O120" s="38" t="inlineStr">
        <is>
          <t> </t>
        </is>
      </c>
      <c r="P120" s="39" t="n">
        <v>0</v>
      </c>
      <c r="Q120" s="40" t="n">
        <v>0</v>
      </c>
      <c r="R120" s="41" t="inlineStr">
        <is>
          <t>Unclassified</t>
        </is>
      </c>
      <c r="S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0</v>
      </c>
      <c r="F121" s="36" t="n">
        <v>-0.42</v>
      </c>
      <c r="G121" s="36" t="n">
        <v>-0.24</v>
      </c>
      <c r="H121" s="36" t="n">
        <v>0</v>
      </c>
      <c r="I121" s="36" t="n">
        <v>-0.18</v>
      </c>
      <c r="J121" s="36" t="n">
        <v>0</v>
      </c>
      <c r="K121" s="36" t="n">
        <v>0</v>
      </c>
      <c r="L121" s="36" t="n">
        <v>0</v>
      </c>
      <c r="M121" s="36" t="n">
        <v>0</v>
      </c>
      <c r="N121" s="37" t="n">
        <v>0.42</v>
      </c>
      <c r="O121" s="38" t="inlineStr">
        <is>
          <t> </t>
        </is>
      </c>
      <c r="P121" s="39" t="n">
        <v>0</v>
      </c>
      <c r="Q121" s="40" t="n">
        <v>0</v>
      </c>
      <c r="R121" s="41" t="inlineStr">
        <is>
          <t>Unclassified</t>
        </is>
      </c>
      <c r="S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0</v>
      </c>
      <c r="F122" s="36" t="n">
        <v>-0.6</v>
      </c>
      <c r="G122" s="36" t="n">
        <v>-0.09</v>
      </c>
      <c r="H122" s="36" t="n">
        <v>0</v>
      </c>
      <c r="I122" s="36" t="n">
        <v>0</v>
      </c>
      <c r="J122" s="36" t="n">
        <v>-0.24</v>
      </c>
      <c r="K122" s="36" t="n">
        <v>0</v>
      </c>
      <c r="L122" s="36" t="n">
        <v>0</v>
      </c>
      <c r="M122" s="36" t="n">
        <v>0</v>
      </c>
      <c r="N122" s="37" t="n">
        <v>0.6</v>
      </c>
      <c r="O122" s="38" t="inlineStr">
        <is>
          <t> </t>
        </is>
      </c>
      <c r="P122" s="39" t="n">
        <v>0</v>
      </c>
      <c r="Q122" s="40" t="n">
        <v>0</v>
      </c>
      <c r="R122" s="41" t="inlineStr">
        <is>
          <t>Unclassified</t>
        </is>
      </c>
      <c r="S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-0.12</v>
      </c>
      <c r="F123" s="36" t="n">
        <v>-0.36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7" t="n">
        <v>0.36</v>
      </c>
      <c r="O123" s="38" t="inlineStr">
        <is>
          <t> </t>
        </is>
      </c>
      <c r="P123" s="39" t="n">
        <v>0</v>
      </c>
      <c r="Q123" s="40" t="n">
        <v>0</v>
      </c>
      <c r="R123" s="41" t="inlineStr">
        <is>
          <t>Unclassified</t>
        </is>
      </c>
      <c r="S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0</v>
      </c>
      <c r="F124" s="36" t="n">
        <v>-2.52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6" t="n">
        <v>0</v>
      </c>
      <c r="N124" s="37" t="n">
        <v>2.52</v>
      </c>
      <c r="O124" s="38" t="inlineStr">
        <is>
          <t> </t>
        </is>
      </c>
      <c r="P124" s="39" t="n">
        <v>0</v>
      </c>
      <c r="Q124" s="40" t="n">
        <v>0</v>
      </c>
      <c r="R124" s="41" t="inlineStr">
        <is>
          <t>Unclassified</t>
        </is>
      </c>
      <c r="S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-1.4</v>
      </c>
      <c r="J125" s="36" t="n">
        <v>0</v>
      </c>
      <c r="K125" s="36" t="n">
        <v>0</v>
      </c>
      <c r="L125" s="36" t="n">
        <v>0</v>
      </c>
      <c r="M125" s="36" t="n">
        <v>0</v>
      </c>
      <c r="N125" s="37" t="n">
        <v>1.4</v>
      </c>
      <c r="O125" s="38" t="inlineStr">
        <is>
          <t> </t>
        </is>
      </c>
      <c r="P125" s="39" t="n">
        <v>0</v>
      </c>
      <c r="Q125" s="40" t="n">
        <v>0</v>
      </c>
      <c r="R125" s="41" t="inlineStr">
        <is>
          <t>Unclassified</t>
        </is>
      </c>
      <c r="S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0</v>
      </c>
      <c r="F126" s="36" t="n">
        <v>-0.85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6" t="n">
        <v>0</v>
      </c>
      <c r="M126" s="36" t="n">
        <v>0</v>
      </c>
      <c r="N126" s="37" t="n">
        <v>0.85</v>
      </c>
      <c r="O126" s="38" t="inlineStr">
        <is>
          <t> </t>
        </is>
      </c>
      <c r="P126" s="39" t="n">
        <v>0</v>
      </c>
      <c r="Q126" s="40" t="n">
        <v>0</v>
      </c>
      <c r="R126" s="41" t="inlineStr">
        <is>
          <t>Unclassified</t>
        </is>
      </c>
      <c r="S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0</v>
      </c>
      <c r="F127" s="36" t="n">
        <v>-1.2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7" t="n">
        <v>1.2</v>
      </c>
      <c r="O127" s="38" t="inlineStr">
        <is>
          <t> </t>
        </is>
      </c>
      <c r="P127" s="39" t="n">
        <v>0</v>
      </c>
      <c r="Q127" s="40" t="n">
        <v>0</v>
      </c>
      <c r="R127" s="41" t="inlineStr">
        <is>
          <t>Unclassified</t>
        </is>
      </c>
      <c r="S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0</v>
      </c>
      <c r="F128" s="36" t="n">
        <v>-0.12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-0.06</v>
      </c>
      <c r="L128" s="36" t="n">
        <v>0</v>
      </c>
      <c r="M128" s="36" t="n">
        <v>0</v>
      </c>
      <c r="N128" s="37" t="n">
        <v>0.12</v>
      </c>
      <c r="O128" s="38" t="inlineStr">
        <is>
          <t> </t>
        </is>
      </c>
      <c r="P128" s="39" t="n">
        <v>0</v>
      </c>
      <c r="Q128" s="40" t="n">
        <v>0</v>
      </c>
      <c r="R128" s="41" t="inlineStr">
        <is>
          <t>Unclassified</t>
        </is>
      </c>
      <c r="S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0</v>
      </c>
      <c r="F129" s="36" t="n">
        <v>-0.08</v>
      </c>
      <c r="G129" s="36" t="n">
        <v>-0.03</v>
      </c>
      <c r="H129" s="36" t="n">
        <v>0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7" t="n">
        <v>0.08</v>
      </c>
      <c r="O129" s="38" t="inlineStr">
        <is>
          <t> </t>
        </is>
      </c>
      <c r="P129" s="39" t="n">
        <v>0</v>
      </c>
      <c r="Q129" s="40" t="n">
        <v>0</v>
      </c>
      <c r="R129" s="41" t="inlineStr">
        <is>
          <t>Unclassified</t>
        </is>
      </c>
      <c r="S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0</v>
      </c>
      <c r="F130" s="36" t="n">
        <v>-0.12</v>
      </c>
      <c r="G130" s="36" t="n">
        <v>-0.06</v>
      </c>
      <c r="H130" s="36" t="n">
        <v>0</v>
      </c>
      <c r="I130" s="36" t="n">
        <v>0</v>
      </c>
      <c r="J130" s="36" t="n">
        <v>-2.38</v>
      </c>
      <c r="K130" s="36" t="n">
        <v>0</v>
      </c>
      <c r="L130" s="36" t="n">
        <v>0</v>
      </c>
      <c r="M130" s="36" t="n">
        <v>0</v>
      </c>
      <c r="N130" s="37" t="n">
        <v>2.38</v>
      </c>
      <c r="O130" s="38" t="inlineStr">
        <is>
          <t> </t>
        </is>
      </c>
      <c r="P130" s="39" t="n">
        <v>0</v>
      </c>
      <c r="Q130" s="40" t="n">
        <v>0</v>
      </c>
      <c r="R130" s="41" t="inlineStr">
        <is>
          <t>Unclassified</t>
        </is>
      </c>
      <c r="S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-4</v>
      </c>
      <c r="K131" s="36" t="n">
        <v>0</v>
      </c>
      <c r="L131" s="36" t="n">
        <v>0</v>
      </c>
      <c r="M131" s="36" t="n">
        <v>0</v>
      </c>
      <c r="N131" s="37" t="n">
        <v>4</v>
      </c>
      <c r="O131" s="38" t="inlineStr">
        <is>
          <t> </t>
        </is>
      </c>
      <c r="P131" s="39" t="n">
        <v>0</v>
      </c>
      <c r="Q131" s="40" t="n">
        <v>0</v>
      </c>
      <c r="R131" s="41" t="inlineStr">
        <is>
          <t>Unclassified</t>
        </is>
      </c>
      <c r="S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v>0</v>
      </c>
      <c r="J132" s="36" t="n">
        <v>-6</v>
      </c>
      <c r="K132" s="36" t="n">
        <v>0</v>
      </c>
      <c r="L132" s="36" t="n">
        <v>0</v>
      </c>
      <c r="M132" s="36" t="n">
        <v>0</v>
      </c>
      <c r="N132" s="37" t="n">
        <v>6</v>
      </c>
      <c r="O132" s="38" t="inlineStr">
        <is>
          <t> </t>
        </is>
      </c>
      <c r="P132" s="39" t="n">
        <v>0</v>
      </c>
      <c r="Q132" s="40" t="n">
        <v>0</v>
      </c>
      <c r="R132" s="41" t="inlineStr">
        <is>
          <t>Unclassified</t>
        </is>
      </c>
      <c r="S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v>0</v>
      </c>
      <c r="J133" s="36" t="n">
        <v>-8</v>
      </c>
      <c r="K133" s="36" t="n">
        <v>0</v>
      </c>
      <c r="L133" s="36" t="n">
        <v>0</v>
      </c>
      <c r="M133" s="36" t="n">
        <v>0</v>
      </c>
      <c r="N133" s="37" t="n">
        <v>8</v>
      </c>
      <c r="O133" s="38" t="inlineStr">
        <is>
          <t> </t>
        </is>
      </c>
      <c r="P133" s="39" t="n">
        <v>0</v>
      </c>
      <c r="Q133" s="40" t="n">
        <v>0</v>
      </c>
      <c r="R133" s="41" t="inlineStr">
        <is>
          <t>Unclassified</t>
        </is>
      </c>
      <c r="S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-3</v>
      </c>
      <c r="K134" s="36" t="n">
        <v>0</v>
      </c>
      <c r="L134" s="36" t="n">
        <v>0</v>
      </c>
      <c r="M134" s="36" t="n">
        <v>0</v>
      </c>
      <c r="N134" s="37" t="n">
        <v>3</v>
      </c>
      <c r="O134" s="38" t="inlineStr">
        <is>
          <t> </t>
        </is>
      </c>
      <c r="P134" s="39" t="n">
        <v>0</v>
      </c>
      <c r="Q134" s="40" t="n">
        <v>0</v>
      </c>
      <c r="R134" s="41" t="inlineStr">
        <is>
          <t>Unclassified</t>
        </is>
      </c>
      <c r="S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0</v>
      </c>
      <c r="F135" s="36" t="n">
        <v>-0.9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7" t="n">
        <v>0.9</v>
      </c>
      <c r="O135" s="38" t="inlineStr">
        <is>
          <t> </t>
        </is>
      </c>
      <c r="P135" s="39" t="n">
        <v>0</v>
      </c>
      <c r="Q135" s="40" t="n">
        <v>0</v>
      </c>
      <c r="R135" s="41" t="inlineStr">
        <is>
          <t>Unclassified</t>
        </is>
      </c>
      <c r="S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0</v>
      </c>
      <c r="F136" s="36" t="n">
        <v>-3</v>
      </c>
      <c r="G136" s="36" t="n">
        <v>0</v>
      </c>
      <c r="H136" s="36" t="n">
        <v>0</v>
      </c>
      <c r="I136" s="36" t="n">
        <v>0</v>
      </c>
      <c r="J136" s="36" t="n">
        <v>-1</v>
      </c>
      <c r="K136" s="36" t="n">
        <v>0</v>
      </c>
      <c r="L136" s="36" t="n">
        <v>0</v>
      </c>
      <c r="M136" s="36" t="n">
        <v>0</v>
      </c>
      <c r="N136" s="37" t="n">
        <v>3</v>
      </c>
      <c r="O136" s="38" t="inlineStr">
        <is>
          <t> </t>
        </is>
      </c>
      <c r="P136" s="39" t="n">
        <v>0</v>
      </c>
      <c r="Q136" s="40" t="n">
        <v>0</v>
      </c>
      <c r="R136" s="41" t="inlineStr">
        <is>
          <t>Unclassified</t>
        </is>
      </c>
      <c r="S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0</v>
      </c>
      <c r="F137" s="36" t="n">
        <v>-0.27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7" t="n">
        <v>0.27</v>
      </c>
      <c r="O137" s="38" t="inlineStr">
        <is>
          <t> </t>
        </is>
      </c>
      <c r="P137" s="39" t="n">
        <v>0</v>
      </c>
      <c r="Q137" s="40" t="n">
        <v>0</v>
      </c>
      <c r="R137" s="41" t="inlineStr">
        <is>
          <t>Unclassified</t>
        </is>
      </c>
      <c r="S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0</v>
      </c>
      <c r="F138" s="36" t="n">
        <v>-0.42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7" t="n">
        <v>0.42</v>
      </c>
      <c r="O138" s="38" t="inlineStr">
        <is>
          <t> </t>
        </is>
      </c>
      <c r="P138" s="39" t="n">
        <v>0</v>
      </c>
      <c r="Q138" s="40" t="n">
        <v>0</v>
      </c>
      <c r="R138" s="41" t="inlineStr">
        <is>
          <t>Unclassified</t>
        </is>
      </c>
      <c r="S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-0.3</v>
      </c>
      <c r="L139" s="36" t="n">
        <v>0</v>
      </c>
      <c r="M139" s="36" t="n">
        <v>0</v>
      </c>
      <c r="N139" s="37" t="n">
        <v>0.3</v>
      </c>
      <c r="O139" s="38" t="inlineStr">
        <is>
          <t> </t>
        </is>
      </c>
      <c r="P139" s="39" t="n">
        <v>0</v>
      </c>
      <c r="Q139" s="40" t="n">
        <v>0</v>
      </c>
      <c r="R139" s="41" t="inlineStr">
        <is>
          <t>Unclassified</t>
        </is>
      </c>
      <c r="S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-0.9</v>
      </c>
      <c r="K140" s="36" t="n">
        <v>0</v>
      </c>
      <c r="L140" s="36" t="n">
        <v>0</v>
      </c>
      <c r="M140" s="36" t="n">
        <v>0</v>
      </c>
      <c r="N140" s="37" t="n">
        <v>0.9</v>
      </c>
      <c r="O140" s="38" t="inlineStr">
        <is>
          <t> </t>
        </is>
      </c>
      <c r="P140" s="39" t="n">
        <v>0</v>
      </c>
      <c r="Q140" s="40" t="n">
        <v>0</v>
      </c>
      <c r="R140" s="41" t="inlineStr">
        <is>
          <t>Unclassified</t>
        </is>
      </c>
      <c r="S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0</v>
      </c>
      <c r="F141" s="36" t="n">
        <v>-1</v>
      </c>
      <c r="G141" s="36" t="n">
        <v>-2</v>
      </c>
      <c r="H141" s="36" t="n">
        <v>0</v>
      </c>
      <c r="I141" s="36" t="n">
        <v>0</v>
      </c>
      <c r="J141" s="36" t="n">
        <v>-1</v>
      </c>
      <c r="K141" s="36" t="n">
        <v>0</v>
      </c>
      <c r="L141" s="36" t="n">
        <v>0</v>
      </c>
      <c r="M141" s="36" t="n">
        <v>0</v>
      </c>
      <c r="N141" s="37" t="n">
        <v>2</v>
      </c>
      <c r="O141" s="38" t="inlineStr">
        <is>
          <t> </t>
        </is>
      </c>
      <c r="P141" s="39" t="n">
        <v>0</v>
      </c>
      <c r="Q141" s="40" t="n">
        <v>0</v>
      </c>
      <c r="R141" s="41" t="inlineStr">
        <is>
          <t>Unclassified</t>
        </is>
      </c>
      <c r="S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0</v>
      </c>
      <c r="F142" s="36" t="n">
        <v>-4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7" t="n">
        <v>4</v>
      </c>
      <c r="O142" s="38" t="inlineStr">
        <is>
          <t> </t>
        </is>
      </c>
      <c r="P142" s="39" t="n">
        <v>0</v>
      </c>
      <c r="Q142" s="40" t="n">
        <v>0</v>
      </c>
      <c r="R142" s="41" t="inlineStr">
        <is>
          <t>Unclassified</t>
        </is>
      </c>
      <c r="S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0</v>
      </c>
      <c r="F143" s="36" t="n">
        <v>-1</v>
      </c>
      <c r="G143" s="36" t="n">
        <v>-1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7" t="n">
        <v>1</v>
      </c>
      <c r="O143" s="38" t="inlineStr">
        <is>
          <t> </t>
        </is>
      </c>
      <c r="P143" s="39" t="n">
        <v>0</v>
      </c>
      <c r="Q143" s="40" t="n">
        <v>0</v>
      </c>
      <c r="R143" s="41" t="inlineStr">
        <is>
          <t>Unclassified</t>
        </is>
      </c>
      <c r="S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-3</v>
      </c>
      <c r="H144" s="36" t="n">
        <v>0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7" t="n">
        <v>3</v>
      </c>
      <c r="O144" s="38" t="inlineStr">
        <is>
          <t> </t>
        </is>
      </c>
      <c r="P144" s="39" t="n">
        <v>0</v>
      </c>
      <c r="Q144" s="40" t="n">
        <v>0</v>
      </c>
      <c r="R144" s="41" t="inlineStr">
        <is>
          <t>Unclassified</t>
        </is>
      </c>
      <c r="S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0</v>
      </c>
      <c r="F145" s="36" t="n">
        <v>-0.36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-0.18</v>
      </c>
      <c r="L145" s="36" t="n">
        <v>0</v>
      </c>
      <c r="M145" s="36" t="n">
        <v>0</v>
      </c>
      <c r="N145" s="37" t="n">
        <v>0.36</v>
      </c>
      <c r="O145" s="38" t="inlineStr">
        <is>
          <t> </t>
        </is>
      </c>
      <c r="P145" s="39" t="n">
        <v>0</v>
      </c>
      <c r="Q145" s="40" t="n">
        <v>0</v>
      </c>
      <c r="R145" s="41" t="inlineStr">
        <is>
          <t>Unclassified</t>
        </is>
      </c>
      <c r="S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0</v>
      </c>
      <c r="F146" s="36" t="n">
        <v>-0.24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6" t="n">
        <v>0</v>
      </c>
      <c r="N146" s="37" t="n">
        <v>0.24</v>
      </c>
      <c r="O146" s="38" t="inlineStr">
        <is>
          <t> </t>
        </is>
      </c>
      <c r="P146" s="39" t="n">
        <v>0</v>
      </c>
      <c r="Q146" s="40" t="n">
        <v>0</v>
      </c>
      <c r="R146" s="41" t="inlineStr">
        <is>
          <t>Unclassified</t>
        </is>
      </c>
      <c r="S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0</v>
      </c>
      <c r="I147" s="36" t="n">
        <v>0</v>
      </c>
      <c r="J147" s="36" t="n">
        <v>-0.47</v>
      </c>
      <c r="K147" s="36" t="n">
        <v>0</v>
      </c>
      <c r="L147" s="36" t="n">
        <v>0</v>
      </c>
      <c r="M147" s="36" t="n">
        <v>0</v>
      </c>
      <c r="N147" s="37" t="n">
        <v>0.47</v>
      </c>
      <c r="O147" s="38" t="inlineStr">
        <is>
          <t> </t>
        </is>
      </c>
      <c r="P147" s="39" t="n">
        <v>0</v>
      </c>
      <c r="Q147" s="40" t="n">
        <v>0</v>
      </c>
      <c r="R147" s="41" t="inlineStr">
        <is>
          <t>Unclassified</t>
        </is>
      </c>
      <c r="S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0</v>
      </c>
      <c r="G148" s="36" t="n">
        <v>-1</v>
      </c>
      <c r="H148" s="36" t="n">
        <v>0</v>
      </c>
      <c r="I148" s="36" t="n">
        <v>0</v>
      </c>
      <c r="J148" s="36" t="n">
        <v>0</v>
      </c>
      <c r="K148" s="36" t="n">
        <v>0</v>
      </c>
      <c r="L148" s="36" t="n">
        <v>0</v>
      </c>
      <c r="M148" s="36" t="n">
        <v>0</v>
      </c>
      <c r="N148" s="37" t="n">
        <v>1</v>
      </c>
      <c r="O148" s="38" t="inlineStr">
        <is>
          <t> </t>
        </is>
      </c>
      <c r="P148" s="39" t="n">
        <v>0</v>
      </c>
      <c r="Q148" s="40" t="n">
        <v>0</v>
      </c>
      <c r="R148" s="41" t="inlineStr">
        <is>
          <t>Unclassified</t>
        </is>
      </c>
      <c r="S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0</v>
      </c>
      <c r="G149" s="36" t="n">
        <v>-1</v>
      </c>
      <c r="H149" s="36" t="n">
        <v>0</v>
      </c>
      <c r="I149" s="36" t="n">
        <v>0</v>
      </c>
      <c r="J149" s="36" t="n">
        <v>-2</v>
      </c>
      <c r="K149" s="36" t="n">
        <v>0</v>
      </c>
      <c r="L149" s="36" t="n">
        <v>0</v>
      </c>
      <c r="M149" s="36" t="n">
        <v>0</v>
      </c>
      <c r="N149" s="37" t="n">
        <v>2</v>
      </c>
      <c r="O149" s="38" t="inlineStr">
        <is>
          <t> </t>
        </is>
      </c>
      <c r="P149" s="39" t="n">
        <v>0</v>
      </c>
      <c r="Q149" s="40" t="n">
        <v>0</v>
      </c>
      <c r="R149" s="41" t="inlineStr">
        <is>
          <t>Unclassified</t>
        </is>
      </c>
      <c r="S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-0.9</v>
      </c>
      <c r="K150" s="36" t="n">
        <v>0</v>
      </c>
      <c r="L150" s="36" t="n">
        <v>0</v>
      </c>
      <c r="M150" s="36" t="n">
        <v>0</v>
      </c>
      <c r="N150" s="37" t="n">
        <v>0.9</v>
      </c>
      <c r="O150" s="38" t="inlineStr">
        <is>
          <t> </t>
        </is>
      </c>
      <c r="P150" s="39" t="n">
        <v>0</v>
      </c>
      <c r="Q150" s="40" t="n">
        <v>0</v>
      </c>
      <c r="R150" s="41" t="inlineStr">
        <is>
          <t>Unclassified</t>
        </is>
      </c>
      <c r="S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0</v>
      </c>
      <c r="F151" s="36" t="n">
        <v>-5</v>
      </c>
      <c r="G151" s="36" t="n">
        <v>0</v>
      </c>
      <c r="H151" s="36" t="n">
        <v>0</v>
      </c>
      <c r="I151" s="36" t="n">
        <v>0</v>
      </c>
      <c r="J151" s="36" t="n">
        <v>-1</v>
      </c>
      <c r="K151" s="36" t="n">
        <v>0</v>
      </c>
      <c r="L151" s="36" t="n">
        <v>0</v>
      </c>
      <c r="M151" s="36" t="n">
        <v>0</v>
      </c>
      <c r="N151" s="37" t="n">
        <v>5</v>
      </c>
      <c r="O151" s="38" t="inlineStr">
        <is>
          <t> </t>
        </is>
      </c>
      <c r="P151" s="39" t="n">
        <v>0</v>
      </c>
      <c r="Q151" s="40" t="n">
        <v>0</v>
      </c>
      <c r="R151" s="41" t="inlineStr">
        <is>
          <t>Unclassified</t>
        </is>
      </c>
      <c r="S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-1</v>
      </c>
      <c r="K152" s="36" t="n">
        <v>0</v>
      </c>
      <c r="L152" s="36" t="n">
        <v>0</v>
      </c>
      <c r="M152" s="36" t="n">
        <v>0</v>
      </c>
      <c r="N152" s="37" t="n">
        <v>1</v>
      </c>
      <c r="O152" s="38" t="inlineStr">
        <is>
          <t> </t>
        </is>
      </c>
      <c r="P152" s="39" t="n">
        <v>0</v>
      </c>
      <c r="Q152" s="40" t="n">
        <v>0</v>
      </c>
      <c r="R152" s="41" t="inlineStr">
        <is>
          <t>Unclassified</t>
        </is>
      </c>
      <c r="S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0</v>
      </c>
      <c r="F153" s="36" t="n">
        <v>-2</v>
      </c>
      <c r="G153" s="36" t="n">
        <v>0</v>
      </c>
      <c r="H153" s="36" t="n">
        <v>0</v>
      </c>
      <c r="I153" s="36" t="n">
        <v>0</v>
      </c>
      <c r="J153" s="36" t="n">
        <v>-2</v>
      </c>
      <c r="K153" s="36" t="n">
        <v>0</v>
      </c>
      <c r="L153" s="36" t="n">
        <v>0</v>
      </c>
      <c r="M153" s="36" t="n">
        <v>0</v>
      </c>
      <c r="N153" s="37" t="n">
        <v>2</v>
      </c>
      <c r="O153" s="38" t="inlineStr">
        <is>
          <t> </t>
        </is>
      </c>
      <c r="P153" s="39" t="n">
        <v>0</v>
      </c>
      <c r="Q153" s="40" t="n">
        <v>0</v>
      </c>
      <c r="R153" s="41" t="inlineStr">
        <is>
          <t>Unclassified</t>
        </is>
      </c>
      <c r="S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0</v>
      </c>
      <c r="F154" s="36" t="n">
        <v>-0.03</v>
      </c>
      <c r="G154" s="36" t="n">
        <v>0</v>
      </c>
      <c r="H154" s="36" t="n">
        <v>0</v>
      </c>
      <c r="I154" s="36" t="n">
        <v>0</v>
      </c>
      <c r="J154" s="36" t="n">
        <v>-0.09</v>
      </c>
      <c r="K154" s="36" t="n">
        <v>0</v>
      </c>
      <c r="L154" s="36" t="n">
        <v>0</v>
      </c>
      <c r="M154" s="36" t="n">
        <v>0</v>
      </c>
      <c r="N154" s="37" t="n">
        <v>0.09</v>
      </c>
      <c r="O154" s="38" t="inlineStr">
        <is>
          <t> </t>
        </is>
      </c>
      <c r="P154" s="39" t="n">
        <v>0</v>
      </c>
      <c r="Q154" s="40" t="n">
        <v>0</v>
      </c>
      <c r="R154" s="41" t="inlineStr">
        <is>
          <t>Unclassified</t>
        </is>
      </c>
      <c r="S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0</v>
      </c>
      <c r="F155" s="36" t="n">
        <v>-0.3</v>
      </c>
      <c r="G155" s="36" t="n">
        <v>0</v>
      </c>
      <c r="H155" s="36" t="n">
        <v>0</v>
      </c>
      <c r="I155" s="36" t="n">
        <v>-0.6</v>
      </c>
      <c r="J155" s="36" t="n">
        <v>-0.9</v>
      </c>
      <c r="K155" s="36" t="n">
        <v>0</v>
      </c>
      <c r="L155" s="36" t="n">
        <v>0</v>
      </c>
      <c r="M155" s="36" t="n">
        <v>0</v>
      </c>
      <c r="N155" s="37" t="n">
        <v>0.9</v>
      </c>
      <c r="O155" s="38" t="inlineStr">
        <is>
          <t> </t>
        </is>
      </c>
      <c r="P155" s="39" t="n">
        <v>0</v>
      </c>
      <c r="Q155" s="40" t="n">
        <v>0</v>
      </c>
      <c r="R155" s="41" t="inlineStr">
        <is>
          <t>Unclassified</t>
        </is>
      </c>
      <c r="S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0</v>
      </c>
      <c r="G156" s="36" t="n">
        <v>-0.9</v>
      </c>
      <c r="H156" s="36" t="n">
        <v>0</v>
      </c>
      <c r="I156" s="36" t="n">
        <v>0</v>
      </c>
      <c r="J156" s="36" t="n">
        <v>-1.03</v>
      </c>
      <c r="K156" s="36" t="n">
        <v>0</v>
      </c>
      <c r="L156" s="36" t="n">
        <v>0</v>
      </c>
      <c r="M156" s="36" t="n">
        <v>0</v>
      </c>
      <c r="N156" s="37" t="n">
        <v>1.03</v>
      </c>
      <c r="O156" s="38" t="inlineStr">
        <is>
          <t> </t>
        </is>
      </c>
      <c r="P156" s="39" t="n">
        <v>0</v>
      </c>
      <c r="Q156" s="40" t="n">
        <v>0</v>
      </c>
      <c r="R156" s="41" t="inlineStr">
        <is>
          <t>Unclassified</t>
        </is>
      </c>
      <c r="S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0</v>
      </c>
      <c r="F157" s="36" t="n">
        <v>-1.17</v>
      </c>
      <c r="G157" s="36" t="n">
        <v>-0.06</v>
      </c>
      <c r="H157" s="36" t="n">
        <v>0</v>
      </c>
      <c r="I157" s="36" t="n">
        <v>0</v>
      </c>
      <c r="J157" s="36" t="n">
        <v>-0.18</v>
      </c>
      <c r="K157" s="36" t="n">
        <v>0</v>
      </c>
      <c r="L157" s="36" t="n">
        <v>0</v>
      </c>
      <c r="M157" s="36" t="n">
        <v>0</v>
      </c>
      <c r="N157" s="37" t="n">
        <v>1.17</v>
      </c>
      <c r="O157" s="38" t="inlineStr">
        <is>
          <t> </t>
        </is>
      </c>
      <c r="P157" s="39" t="n">
        <v>0</v>
      </c>
      <c r="Q157" s="40" t="n">
        <v>0</v>
      </c>
      <c r="R157" s="41" t="inlineStr">
        <is>
          <t>Unclassified</t>
        </is>
      </c>
      <c r="S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0</v>
      </c>
      <c r="F158" s="36" t="n">
        <v>-8</v>
      </c>
      <c r="G158" s="36" t="n">
        <v>-2</v>
      </c>
      <c r="H158" s="36" t="n">
        <v>0</v>
      </c>
      <c r="I158" s="36" t="n">
        <v>-1</v>
      </c>
      <c r="J158" s="36" t="n">
        <v>-2</v>
      </c>
      <c r="K158" s="36" t="n">
        <v>0</v>
      </c>
      <c r="L158" s="36" t="n">
        <v>0</v>
      </c>
      <c r="M158" s="36" t="n">
        <v>0</v>
      </c>
      <c r="N158" s="37" t="n">
        <v>8</v>
      </c>
      <c r="O158" s="38" t="inlineStr">
        <is>
          <t> </t>
        </is>
      </c>
      <c r="P158" s="39" t="n">
        <v>0</v>
      </c>
      <c r="Q158" s="40" t="n">
        <v>0</v>
      </c>
      <c r="R158" s="41" t="inlineStr">
        <is>
          <t>Unclassified</t>
        </is>
      </c>
      <c r="S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0</v>
      </c>
      <c r="F159" s="36" t="n">
        <v>-3</v>
      </c>
      <c r="G159" s="36" t="n">
        <v>0</v>
      </c>
      <c r="H159" s="36" t="n">
        <v>0</v>
      </c>
      <c r="I159" s="36" t="n">
        <v>0</v>
      </c>
      <c r="J159" s="36" t="n">
        <v>-2</v>
      </c>
      <c r="K159" s="36" t="n">
        <v>0</v>
      </c>
      <c r="L159" s="36" t="n">
        <v>0</v>
      </c>
      <c r="M159" s="36" t="n">
        <v>0</v>
      </c>
      <c r="N159" s="37" t="n">
        <v>3</v>
      </c>
      <c r="O159" s="38" t="inlineStr">
        <is>
          <t> </t>
        </is>
      </c>
      <c r="P159" s="39" t="n">
        <v>0</v>
      </c>
      <c r="Q159" s="40" t="n">
        <v>0</v>
      </c>
      <c r="R159" s="41" t="inlineStr">
        <is>
          <t>Unclassified</t>
        </is>
      </c>
      <c r="S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0</v>
      </c>
      <c r="I160" s="36" t="n">
        <v>0</v>
      </c>
      <c r="J160" s="36" t="n">
        <v>-1</v>
      </c>
      <c r="K160" s="36" t="n">
        <v>0</v>
      </c>
      <c r="L160" s="36" t="n">
        <v>0</v>
      </c>
      <c r="M160" s="36" t="n">
        <v>0</v>
      </c>
      <c r="N160" s="37" t="n">
        <v>1</v>
      </c>
      <c r="O160" s="38" t="inlineStr">
        <is>
          <t> </t>
        </is>
      </c>
      <c r="P160" s="39" t="n">
        <v>0</v>
      </c>
      <c r="Q160" s="40" t="n">
        <v>0</v>
      </c>
      <c r="R160" s="41" t="inlineStr">
        <is>
          <t>Unclassified</t>
        </is>
      </c>
      <c r="S160" s="41" t="n"/>
    </row>
    <row r="161" ht="20" customHeight="1">
      <c r="A161" s="34" t="inlineStr">
        <is>
          <t>00472037945</t>
        </is>
      </c>
      <c r="B161" s="35" t="inlineStr">
        <is>
          <t>CLOTRIMAZOLE-BETAMETHASONE 1-0.05 % EXTERNAL CREAM</t>
        </is>
      </c>
      <c r="C161" s="34" t="n">
        <v>45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0</v>
      </c>
      <c r="I161" s="36" t="n">
        <v>-2</v>
      </c>
      <c r="J161" s="36" t="n">
        <v>0</v>
      </c>
      <c r="K161" s="36" t="n">
        <v>0</v>
      </c>
      <c r="L161" s="36" t="n">
        <v>0</v>
      </c>
      <c r="M161" s="36" t="n">
        <v>0</v>
      </c>
      <c r="N161" s="37" t="n">
        <v>2</v>
      </c>
      <c r="O161" s="38" t="inlineStr">
        <is>
          <t> </t>
        </is>
      </c>
      <c r="P161" s="39" t="n">
        <v>0</v>
      </c>
      <c r="Q161" s="40" t="n">
        <v>0</v>
      </c>
      <c r="R161" s="41" t="inlineStr">
        <is>
          <t>Unclassified</t>
        </is>
      </c>
      <c r="S161" s="41" t="n"/>
    </row>
    <row r="162" ht="20" customHeight="1">
      <c r="A162" s="34" t="inlineStr">
        <is>
          <t>00168025815</t>
        </is>
      </c>
      <c r="B162" s="35" t="inlineStr">
        <is>
          <t>CLOTRIMAZOLE-BETAMETHASONE 1-0.05 % EXTERNAL CREAM</t>
        </is>
      </c>
      <c r="C162" s="34" t="n">
        <v>15</v>
      </c>
      <c r="D162" s="36" t="n">
        <v>0</v>
      </c>
      <c r="E162" s="36" t="n">
        <v>0</v>
      </c>
      <c r="F162" s="36" t="n">
        <v>0</v>
      </c>
      <c r="G162" s="36" t="n">
        <v>0</v>
      </c>
      <c r="H162" s="36" t="n">
        <v>0</v>
      </c>
      <c r="I162" s="36" t="n">
        <v>0</v>
      </c>
      <c r="J162" s="36" t="n">
        <v>-2</v>
      </c>
      <c r="K162" s="36" t="n">
        <v>0</v>
      </c>
      <c r="L162" s="36" t="n">
        <v>0</v>
      </c>
      <c r="M162" s="36" t="n">
        <v>0</v>
      </c>
      <c r="N162" s="37" t="n">
        <v>2</v>
      </c>
      <c r="O162" s="38" t="inlineStr">
        <is>
          <t> </t>
        </is>
      </c>
      <c r="P162" s="39" t="n">
        <v>0</v>
      </c>
      <c r="Q162" s="40" t="n">
        <v>0</v>
      </c>
      <c r="R162" s="41" t="inlineStr">
        <is>
          <t>Unclassified</t>
        </is>
      </c>
      <c r="S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6</v>
      </c>
      <c r="F163" s="36" t="n">
        <v>-1</v>
      </c>
      <c r="G163" s="36" t="n">
        <v>3</v>
      </c>
      <c r="H163" s="36" t="n">
        <v>6</v>
      </c>
      <c r="I163" s="36" t="n">
        <v>6</v>
      </c>
      <c r="J163" s="36" t="n">
        <v>3</v>
      </c>
      <c r="K163" s="36" t="n">
        <v>6</v>
      </c>
      <c r="L163" s="36" t="n">
        <v>6</v>
      </c>
      <c r="M163" s="36" t="n">
        <v>6</v>
      </c>
      <c r="N163" s="37" t="n">
        <v>1</v>
      </c>
      <c r="O163" s="38" t="inlineStr">
        <is>
          <t> </t>
        </is>
      </c>
      <c r="P163" s="39" t="n">
        <v>7</v>
      </c>
      <c r="Q163" s="40" t="n">
        <v>7</v>
      </c>
      <c r="R163" s="41" t="inlineStr">
        <is>
          <t>Generic Drug</t>
        </is>
      </c>
      <c r="S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0</v>
      </c>
      <c r="F164" s="36" t="n">
        <v>-2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6" t="n">
        <v>0</v>
      </c>
      <c r="N164" s="37" t="n">
        <v>2</v>
      </c>
      <c r="O164" s="38" t="inlineStr">
        <is>
          <t> </t>
        </is>
      </c>
      <c r="P164" s="39" t="n">
        <v>0</v>
      </c>
      <c r="Q164" s="40" t="n">
        <v>0</v>
      </c>
      <c r="R164" s="41" t="inlineStr">
        <is>
          <t>Unclassified</t>
        </is>
      </c>
      <c r="S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0</v>
      </c>
      <c r="F165" s="36" t="n">
        <v>-3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7" t="n">
        <v>3</v>
      </c>
      <c r="O165" s="38" t="inlineStr">
        <is>
          <t> </t>
        </is>
      </c>
      <c r="P165" s="39" t="n">
        <v>0</v>
      </c>
      <c r="Q165" s="40" t="n">
        <v>0</v>
      </c>
      <c r="R165" s="41" t="inlineStr">
        <is>
          <t>Unclassified</t>
        </is>
      </c>
      <c r="S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0</v>
      </c>
      <c r="F166" s="36" t="n">
        <v>-106</v>
      </c>
      <c r="G166" s="36" t="n">
        <v>0</v>
      </c>
      <c r="H166" s="36" t="n">
        <v>-2</v>
      </c>
      <c r="I166" s="36" t="n">
        <v>-12</v>
      </c>
      <c r="J166" s="36" t="n">
        <v>-24</v>
      </c>
      <c r="K166" s="36" t="n">
        <v>-6</v>
      </c>
      <c r="L166" s="36" t="n">
        <v>0</v>
      </c>
      <c r="M166" s="36" t="n">
        <v>0</v>
      </c>
      <c r="N166" s="37" t="n">
        <v>106</v>
      </c>
      <c r="O166" s="38" t="inlineStr">
        <is>
          <t> </t>
        </is>
      </c>
      <c r="P166" s="39" t="n">
        <v>0</v>
      </c>
      <c r="Q166" s="40" t="n">
        <v>0</v>
      </c>
      <c r="R166" s="41" t="inlineStr">
        <is>
          <t>Unclassified</t>
        </is>
      </c>
      <c r="S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-3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7" t="n">
        <v>3</v>
      </c>
      <c r="O167" s="38" t="inlineStr">
        <is>
          <t> </t>
        </is>
      </c>
      <c r="P167" s="39" t="n">
        <v>0</v>
      </c>
      <c r="Q167" s="40" t="n">
        <v>0</v>
      </c>
      <c r="R167" s="41" t="inlineStr">
        <is>
          <t>Unclassified</t>
        </is>
      </c>
      <c r="S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-0.24</v>
      </c>
      <c r="K168" s="36" t="n">
        <v>0</v>
      </c>
      <c r="L168" s="36" t="n">
        <v>0</v>
      </c>
      <c r="M168" s="36" t="n">
        <v>0</v>
      </c>
      <c r="N168" s="37" t="n">
        <v>0.24</v>
      </c>
      <c r="O168" s="38" t="inlineStr">
        <is>
          <t> </t>
        </is>
      </c>
      <c r="P168" s="39" t="n">
        <v>0</v>
      </c>
      <c r="Q168" s="40" t="n">
        <v>0</v>
      </c>
      <c r="R168" s="41" t="inlineStr">
        <is>
          <t>Unclassified</t>
        </is>
      </c>
      <c r="S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0</v>
      </c>
      <c r="F169" s="36" t="n">
        <v>-0.29</v>
      </c>
      <c r="G169" s="36" t="n">
        <v>-0.1</v>
      </c>
      <c r="H169" s="36" t="n">
        <v>0</v>
      </c>
      <c r="I169" s="36" t="n">
        <v>0</v>
      </c>
      <c r="J169" s="36" t="n">
        <v>-0.18</v>
      </c>
      <c r="K169" s="36" t="n">
        <v>-0.06</v>
      </c>
      <c r="L169" s="36" t="n">
        <v>-0.09</v>
      </c>
      <c r="M169" s="36" t="n">
        <v>0</v>
      </c>
      <c r="N169" s="37" t="n">
        <v>0.29</v>
      </c>
      <c r="O169" s="38" t="inlineStr">
        <is>
          <t> </t>
        </is>
      </c>
      <c r="P169" s="39" t="n">
        <v>0</v>
      </c>
      <c r="Q169" s="40" t="n">
        <v>0</v>
      </c>
      <c r="R169" s="41" t="inlineStr">
        <is>
          <t>Unclassified</t>
        </is>
      </c>
      <c r="S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0</v>
      </c>
      <c r="F170" s="36" t="n">
        <v>-0.49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6" t="n">
        <v>0</v>
      </c>
      <c r="M170" s="36" t="n">
        <v>0</v>
      </c>
      <c r="N170" s="37" t="n">
        <v>0.49</v>
      </c>
      <c r="O170" s="38" t="inlineStr">
        <is>
          <t> </t>
        </is>
      </c>
      <c r="P170" s="39" t="n">
        <v>0</v>
      </c>
      <c r="Q170" s="40" t="n">
        <v>0</v>
      </c>
      <c r="R170" s="41" t="inlineStr">
        <is>
          <t>Unclassified</t>
        </is>
      </c>
      <c r="S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-3</v>
      </c>
      <c r="J171" s="36" t="n">
        <v>0</v>
      </c>
      <c r="K171" s="36" t="n">
        <v>0</v>
      </c>
      <c r="L171" s="36" t="n">
        <v>0</v>
      </c>
      <c r="M171" s="36" t="n">
        <v>0</v>
      </c>
      <c r="N171" s="37" t="n">
        <v>3</v>
      </c>
      <c r="O171" s="38" t="inlineStr">
        <is>
          <t> </t>
        </is>
      </c>
      <c r="P171" s="39" t="n">
        <v>0</v>
      </c>
      <c r="Q171" s="40" t="n">
        <v>0</v>
      </c>
      <c r="R171" s="41" t="inlineStr">
        <is>
          <t>Unclassified</t>
        </is>
      </c>
      <c r="S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0</v>
      </c>
      <c r="F172" s="36" t="n">
        <v>-3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7" t="n">
        <v>3</v>
      </c>
      <c r="O172" s="38" t="inlineStr">
        <is>
          <t> </t>
        </is>
      </c>
      <c r="P172" s="39" t="n">
        <v>0</v>
      </c>
      <c r="Q172" s="40" t="n">
        <v>0</v>
      </c>
      <c r="R172" s="41" t="inlineStr">
        <is>
          <t>Unclassified</t>
        </is>
      </c>
      <c r="S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9</v>
      </c>
      <c r="F173" s="36" t="n">
        <v>-7</v>
      </c>
      <c r="G173" s="36" t="n">
        <v>9</v>
      </c>
      <c r="H173" s="36" t="n">
        <v>9</v>
      </c>
      <c r="I173" s="36" t="n">
        <v>6</v>
      </c>
      <c r="J173" s="36" t="n">
        <v>9</v>
      </c>
      <c r="K173" s="36" t="n">
        <v>9</v>
      </c>
      <c r="L173" s="36" t="n">
        <v>9</v>
      </c>
      <c r="M173" s="36" t="n">
        <v>9</v>
      </c>
      <c r="N173" s="37" t="n">
        <v>7</v>
      </c>
      <c r="O173" s="38" t="inlineStr">
        <is>
          <t> </t>
        </is>
      </c>
      <c r="P173" s="39" t="n">
        <v>440</v>
      </c>
      <c r="Q173" s="40" t="n">
        <v>3080</v>
      </c>
      <c r="R173" s="41" t="inlineStr">
        <is>
          <t>Generic Drug</t>
        </is>
      </c>
      <c r="S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0</v>
      </c>
      <c r="F174" s="36" t="n">
        <v>-4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6" t="n">
        <v>0</v>
      </c>
      <c r="N174" s="37" t="n">
        <v>4</v>
      </c>
      <c r="O174" s="38" t="inlineStr">
        <is>
          <t> </t>
        </is>
      </c>
      <c r="P174" s="39" t="n">
        <v>0</v>
      </c>
      <c r="Q174" s="40" t="n">
        <v>0</v>
      </c>
      <c r="R174" s="41" t="inlineStr">
        <is>
          <t>Unclassified</t>
        </is>
      </c>
      <c r="S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0</v>
      </c>
      <c r="I175" s="36" t="n">
        <v>0</v>
      </c>
      <c r="J175" s="36" t="n">
        <v>-0.6</v>
      </c>
      <c r="K175" s="36" t="n">
        <v>0</v>
      </c>
      <c r="L175" s="36" t="n">
        <v>0</v>
      </c>
      <c r="M175" s="36" t="n">
        <v>0</v>
      </c>
      <c r="N175" s="37" t="n">
        <v>0.6</v>
      </c>
      <c r="O175" s="38" t="inlineStr">
        <is>
          <t> </t>
        </is>
      </c>
      <c r="P175" s="39" t="n">
        <v>0</v>
      </c>
      <c r="Q175" s="40" t="n">
        <v>0</v>
      </c>
      <c r="R175" s="41" t="inlineStr">
        <is>
          <t>Unclassified</t>
        </is>
      </c>
      <c r="S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0</v>
      </c>
      <c r="I176" s="36" t="n">
        <v>0</v>
      </c>
      <c r="J176" s="36" t="n">
        <v>-0.3</v>
      </c>
      <c r="K176" s="36" t="n">
        <v>0</v>
      </c>
      <c r="L176" s="36" t="n">
        <v>0</v>
      </c>
      <c r="M176" s="36" t="n">
        <v>0</v>
      </c>
      <c r="N176" s="37" t="n">
        <v>0.3</v>
      </c>
      <c r="O176" s="38" t="inlineStr">
        <is>
          <t> </t>
        </is>
      </c>
      <c r="P176" s="39" t="n">
        <v>0</v>
      </c>
      <c r="Q176" s="40" t="n">
        <v>0</v>
      </c>
      <c r="R176" s="41" t="inlineStr">
        <is>
          <t>Unclassified</t>
        </is>
      </c>
      <c r="S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0</v>
      </c>
      <c r="L177" s="36" t="n">
        <v>-1</v>
      </c>
      <c r="M177" s="36" t="n">
        <v>0</v>
      </c>
      <c r="N177" s="37" t="n">
        <v>1</v>
      </c>
      <c r="O177" s="38" t="inlineStr">
        <is>
          <t> </t>
        </is>
      </c>
      <c r="P177" s="39" t="n">
        <v>0</v>
      </c>
      <c r="Q177" s="40" t="n">
        <v>0</v>
      </c>
      <c r="R177" s="41" t="inlineStr">
        <is>
          <t>Unclassified</t>
        </is>
      </c>
      <c r="S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0</v>
      </c>
      <c r="F178" s="36" t="n">
        <v>-1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6" t="n">
        <v>0</v>
      </c>
      <c r="M178" s="36" t="n">
        <v>0</v>
      </c>
      <c r="N178" s="37" t="n">
        <v>1</v>
      </c>
      <c r="O178" s="38" t="inlineStr">
        <is>
          <t> </t>
        </is>
      </c>
      <c r="P178" s="39" t="n">
        <v>0</v>
      </c>
      <c r="Q178" s="40" t="n">
        <v>0</v>
      </c>
      <c r="R178" s="41" t="inlineStr">
        <is>
          <t>Unclassified</t>
        </is>
      </c>
      <c r="S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0</v>
      </c>
      <c r="F179" s="36" t="n">
        <v>-1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7" t="n">
        <v>1</v>
      </c>
      <c r="O179" s="38" t="inlineStr">
        <is>
          <t> </t>
        </is>
      </c>
      <c r="P179" s="39" t="n">
        <v>0</v>
      </c>
      <c r="Q179" s="40" t="n">
        <v>0</v>
      </c>
      <c r="R179" s="41" t="inlineStr">
        <is>
          <t>Unclassified</t>
        </is>
      </c>
      <c r="S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-0.3</v>
      </c>
      <c r="H180" s="36" t="n">
        <v>0</v>
      </c>
      <c r="I180" s="36" t="n">
        <v>0</v>
      </c>
      <c r="J180" s="36" t="n">
        <v>0</v>
      </c>
      <c r="K180" s="36" t="n">
        <v>0</v>
      </c>
      <c r="L180" s="36" t="n">
        <v>0</v>
      </c>
      <c r="M180" s="36" t="n">
        <v>0</v>
      </c>
      <c r="N180" s="37" t="n">
        <v>0.3</v>
      </c>
      <c r="O180" s="38" t="inlineStr">
        <is>
          <t> </t>
        </is>
      </c>
      <c r="P180" s="39" t="n">
        <v>0</v>
      </c>
      <c r="Q180" s="40" t="n">
        <v>0</v>
      </c>
      <c r="R180" s="41" t="inlineStr">
        <is>
          <t>Unclassified</t>
        </is>
      </c>
      <c r="S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0</v>
      </c>
      <c r="F181" s="36" t="n">
        <v>-0.9</v>
      </c>
      <c r="G181" s="36" t="n">
        <v>0</v>
      </c>
      <c r="H181" s="36" t="n">
        <v>0</v>
      </c>
      <c r="I181" s="36" t="n">
        <v>0</v>
      </c>
      <c r="J181" s="36" t="n">
        <v>-0.9</v>
      </c>
      <c r="K181" s="36" t="n">
        <v>-0.6</v>
      </c>
      <c r="L181" s="36" t="n">
        <v>0</v>
      </c>
      <c r="M181" s="36" t="n">
        <v>0</v>
      </c>
      <c r="N181" s="37" t="n">
        <v>0.9</v>
      </c>
      <c r="O181" s="38" t="inlineStr">
        <is>
          <t> </t>
        </is>
      </c>
      <c r="P181" s="39" t="n">
        <v>0</v>
      </c>
      <c r="Q181" s="40" t="n">
        <v>0</v>
      </c>
      <c r="R181" s="41" t="inlineStr">
        <is>
          <t>Unclassified</t>
        </is>
      </c>
      <c r="S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0</v>
      </c>
      <c r="F182" s="36" t="n">
        <v>-0.06</v>
      </c>
      <c r="G182" s="36" t="n">
        <v>-0.12</v>
      </c>
      <c r="H182" s="36" t="n">
        <v>0</v>
      </c>
      <c r="I182" s="36" t="n">
        <v>0</v>
      </c>
      <c r="J182" s="36" t="n">
        <v>-0.24</v>
      </c>
      <c r="K182" s="36" t="n">
        <v>0</v>
      </c>
      <c r="L182" s="36" t="n">
        <v>0</v>
      </c>
      <c r="M182" s="36" t="n">
        <v>0</v>
      </c>
      <c r="N182" s="37" t="n">
        <v>0.24</v>
      </c>
      <c r="O182" s="38" t="inlineStr">
        <is>
          <t> </t>
        </is>
      </c>
      <c r="P182" s="39" t="n">
        <v>0</v>
      </c>
      <c r="Q182" s="40" t="n">
        <v>0</v>
      </c>
      <c r="R182" s="41" t="inlineStr">
        <is>
          <t>Unclassified</t>
        </is>
      </c>
      <c r="S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48</v>
      </c>
      <c r="F183" s="36" t="n">
        <v>45</v>
      </c>
      <c r="G183" s="36" t="n">
        <v>47</v>
      </c>
      <c r="H183" s="36" t="n">
        <v>48</v>
      </c>
      <c r="I183" s="36" t="n">
        <v>48</v>
      </c>
      <c r="J183" s="36" t="n">
        <v>-38</v>
      </c>
      <c r="K183" s="36" t="n">
        <v>48</v>
      </c>
      <c r="L183" s="36" t="n">
        <v>48</v>
      </c>
      <c r="M183" s="36" t="n">
        <v>48</v>
      </c>
      <c r="N183" s="37" t="n">
        <v>38</v>
      </c>
      <c r="O183" s="38" t="inlineStr">
        <is>
          <t> </t>
        </is>
      </c>
      <c r="P183" s="39" t="n">
        <v>9</v>
      </c>
      <c r="Q183" s="40" t="n">
        <v>342</v>
      </c>
      <c r="R183" s="41" t="inlineStr">
        <is>
          <t>OTC Drug</t>
        </is>
      </c>
      <c r="S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0</v>
      </c>
      <c r="H184" s="36" t="n">
        <v>0</v>
      </c>
      <c r="I184" s="36" t="n">
        <v>-0.3</v>
      </c>
      <c r="J184" s="36" t="n">
        <v>0</v>
      </c>
      <c r="K184" s="36" t="n">
        <v>0</v>
      </c>
      <c r="L184" s="36" t="n">
        <v>0</v>
      </c>
      <c r="M184" s="36" t="n">
        <v>0</v>
      </c>
      <c r="N184" s="37" t="n">
        <v>0.3</v>
      </c>
      <c r="O184" s="38" t="inlineStr">
        <is>
          <t> </t>
        </is>
      </c>
      <c r="P184" s="39" t="n">
        <v>0</v>
      </c>
      <c r="Q184" s="40" t="n">
        <v>0</v>
      </c>
      <c r="R184" s="41" t="inlineStr">
        <is>
          <t>Unclassified</t>
        </is>
      </c>
      <c r="S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1</v>
      </c>
      <c r="H185" s="36" t="n">
        <v>1</v>
      </c>
      <c r="I185" s="36" t="n">
        <v>-1</v>
      </c>
      <c r="J185" s="36" t="n">
        <v>1</v>
      </c>
      <c r="K185" s="36" t="n">
        <v>1</v>
      </c>
      <c r="L185" s="36" t="n">
        <v>1</v>
      </c>
      <c r="M185" s="36" t="n">
        <v>1</v>
      </c>
      <c r="N185" s="37" t="n">
        <v>1</v>
      </c>
      <c r="O185" s="38" t="inlineStr">
        <is>
          <t> </t>
        </is>
      </c>
      <c r="P185" s="39" t="n">
        <v>26</v>
      </c>
      <c r="Q185" s="40" t="n">
        <v>26</v>
      </c>
      <c r="R185" s="41" t="inlineStr">
        <is>
          <t>Generic Drug</t>
        </is>
      </c>
      <c r="S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0</v>
      </c>
      <c r="F186" s="36" t="n">
        <v>-0.03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7" t="n">
        <v>0.03</v>
      </c>
      <c r="O186" s="38" t="inlineStr">
        <is>
          <t> </t>
        </is>
      </c>
      <c r="P186" s="39" t="n">
        <v>0</v>
      </c>
      <c r="Q186" s="40" t="n">
        <v>0</v>
      </c>
      <c r="R186" s="41" t="inlineStr">
        <is>
          <t>Unclassified</t>
        </is>
      </c>
      <c r="S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0</v>
      </c>
      <c r="I187" s="36" t="n">
        <v>0</v>
      </c>
      <c r="J187" s="36" t="n">
        <v>-0.3</v>
      </c>
      <c r="K187" s="36" t="n">
        <v>0</v>
      </c>
      <c r="L187" s="36" t="n">
        <v>0</v>
      </c>
      <c r="M187" s="36" t="n">
        <v>0</v>
      </c>
      <c r="N187" s="37" t="n">
        <v>0.3</v>
      </c>
      <c r="O187" s="38" t="inlineStr">
        <is>
          <t> </t>
        </is>
      </c>
      <c r="P187" s="39" t="n">
        <v>0</v>
      </c>
      <c r="Q187" s="40" t="n">
        <v>0</v>
      </c>
      <c r="R187" s="41" t="inlineStr">
        <is>
          <t>Unclassified</t>
        </is>
      </c>
      <c r="S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0</v>
      </c>
      <c r="F188" s="36" t="n">
        <v>-0.33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6" t="n">
        <v>0</v>
      </c>
      <c r="M188" s="36" t="n">
        <v>0</v>
      </c>
      <c r="N188" s="37" t="n">
        <v>0.33</v>
      </c>
      <c r="O188" s="38" t="inlineStr">
        <is>
          <t> </t>
        </is>
      </c>
      <c r="P188" s="39" t="n">
        <v>0</v>
      </c>
      <c r="Q188" s="40" t="n">
        <v>0</v>
      </c>
      <c r="R188" s="41" t="inlineStr">
        <is>
          <t>Unclassified</t>
        </is>
      </c>
      <c r="S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0</v>
      </c>
      <c r="I189" s="36" t="n">
        <v>0</v>
      </c>
      <c r="J189" s="36" t="n">
        <v>-1</v>
      </c>
      <c r="K189" s="36" t="n">
        <v>0</v>
      </c>
      <c r="L189" s="36" t="n">
        <v>0</v>
      </c>
      <c r="M189" s="36" t="n">
        <v>0</v>
      </c>
      <c r="N189" s="37" t="n">
        <v>1</v>
      </c>
      <c r="O189" s="38" t="inlineStr">
        <is>
          <t> </t>
        </is>
      </c>
      <c r="P189" s="39" t="n">
        <v>0</v>
      </c>
      <c r="Q189" s="40" t="n">
        <v>0</v>
      </c>
      <c r="R189" s="41" t="inlineStr">
        <is>
          <t>Unclassified</t>
        </is>
      </c>
      <c r="S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0</v>
      </c>
      <c r="G190" s="36" t="n">
        <v>-0.12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7" t="n">
        <v>0.12</v>
      </c>
      <c r="O190" s="38" t="inlineStr">
        <is>
          <t> </t>
        </is>
      </c>
      <c r="P190" s="39" t="n">
        <v>0</v>
      </c>
      <c r="Q190" s="40" t="n">
        <v>0</v>
      </c>
      <c r="R190" s="41" t="inlineStr">
        <is>
          <t>Unclassified</t>
        </is>
      </c>
      <c r="S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-0.3</v>
      </c>
      <c r="K191" s="36" t="n">
        <v>0</v>
      </c>
      <c r="L191" s="36" t="n">
        <v>0</v>
      </c>
      <c r="M191" s="36" t="n">
        <v>0</v>
      </c>
      <c r="N191" s="37" t="n">
        <v>0.3</v>
      </c>
      <c r="O191" s="38" t="inlineStr">
        <is>
          <t> </t>
        </is>
      </c>
      <c r="P191" s="39" t="n">
        <v>0</v>
      </c>
      <c r="Q191" s="40" t="n">
        <v>0</v>
      </c>
      <c r="R191" s="41" t="inlineStr">
        <is>
          <t>Unclassified</t>
        </is>
      </c>
      <c r="S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0</v>
      </c>
      <c r="F192" s="36" t="n">
        <v>-0.06</v>
      </c>
      <c r="G192" s="36" t="n">
        <v>0</v>
      </c>
      <c r="H192" s="36" t="n">
        <v>0</v>
      </c>
      <c r="I192" s="36" t="n">
        <v>0</v>
      </c>
      <c r="J192" s="36" t="n">
        <v>-1.7</v>
      </c>
      <c r="K192" s="36" t="n">
        <v>0</v>
      </c>
      <c r="L192" s="36" t="n">
        <v>0</v>
      </c>
      <c r="M192" s="36" t="n">
        <v>0</v>
      </c>
      <c r="N192" s="37" t="n">
        <v>1.7</v>
      </c>
      <c r="O192" s="38" t="inlineStr">
        <is>
          <t> </t>
        </is>
      </c>
      <c r="P192" s="39" t="n">
        <v>0</v>
      </c>
      <c r="Q192" s="40" t="n">
        <v>0</v>
      </c>
      <c r="R192" s="41" t="inlineStr">
        <is>
          <t>Unclassified</t>
        </is>
      </c>
      <c r="S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0</v>
      </c>
      <c r="F193" s="36" t="n">
        <v>-0.12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7" t="n">
        <v>0.12</v>
      </c>
      <c r="O193" s="38" t="inlineStr">
        <is>
          <t> </t>
        </is>
      </c>
      <c r="P193" s="39" t="n">
        <v>0</v>
      </c>
      <c r="Q193" s="40" t="n">
        <v>0</v>
      </c>
      <c r="R193" s="41" t="inlineStr">
        <is>
          <t>Unclassified</t>
        </is>
      </c>
      <c r="S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0</v>
      </c>
      <c r="F194" s="36" t="n">
        <v>-3</v>
      </c>
      <c r="G194" s="36" t="n">
        <v>-2</v>
      </c>
      <c r="H194" s="36" t="n">
        <v>0</v>
      </c>
      <c r="I194" s="36" t="n">
        <v>0</v>
      </c>
      <c r="J194" s="36" t="n">
        <v>-1</v>
      </c>
      <c r="K194" s="36" t="n">
        <v>-1</v>
      </c>
      <c r="L194" s="36" t="n">
        <v>0</v>
      </c>
      <c r="M194" s="36" t="n">
        <v>0</v>
      </c>
      <c r="N194" s="37" t="n">
        <v>3</v>
      </c>
      <c r="O194" s="38" t="inlineStr">
        <is>
          <t> </t>
        </is>
      </c>
      <c r="P194" s="39" t="n">
        <v>0</v>
      </c>
      <c r="Q194" s="40" t="n">
        <v>0</v>
      </c>
      <c r="R194" s="41" t="inlineStr">
        <is>
          <t>Unclassified</t>
        </is>
      </c>
      <c r="S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0</v>
      </c>
      <c r="I195" s="36" t="n">
        <v>0</v>
      </c>
      <c r="J195" s="36" t="n">
        <v>-3</v>
      </c>
      <c r="K195" s="36" t="n">
        <v>0</v>
      </c>
      <c r="L195" s="36" t="n">
        <v>0</v>
      </c>
      <c r="M195" s="36" t="n">
        <v>0</v>
      </c>
      <c r="N195" s="37" t="n">
        <v>3</v>
      </c>
      <c r="O195" s="38" t="inlineStr">
        <is>
          <t> </t>
        </is>
      </c>
      <c r="P195" s="39" t="n">
        <v>0</v>
      </c>
      <c r="Q195" s="40" t="n">
        <v>0</v>
      </c>
      <c r="R195" s="41" t="inlineStr">
        <is>
          <t>Unclassified</t>
        </is>
      </c>
      <c r="S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0</v>
      </c>
      <c r="F196" s="36" t="n">
        <v>-1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-1</v>
      </c>
      <c r="L196" s="36" t="n">
        <v>0</v>
      </c>
      <c r="M196" s="36" t="n">
        <v>0</v>
      </c>
      <c r="N196" s="37" t="n">
        <v>1</v>
      </c>
      <c r="O196" s="38" t="inlineStr">
        <is>
          <t> </t>
        </is>
      </c>
      <c r="P196" s="39" t="n">
        <v>0</v>
      </c>
      <c r="Q196" s="40" t="n">
        <v>0</v>
      </c>
      <c r="R196" s="41" t="inlineStr">
        <is>
          <t>Unclassified</t>
        </is>
      </c>
      <c r="S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0</v>
      </c>
      <c r="F197" s="36" t="n">
        <v>-3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7" t="n">
        <v>3</v>
      </c>
      <c r="O197" s="38" t="inlineStr">
        <is>
          <t> </t>
        </is>
      </c>
      <c r="P197" s="39" t="n">
        <v>0</v>
      </c>
      <c r="Q197" s="40" t="n">
        <v>0</v>
      </c>
      <c r="R197" s="41" t="inlineStr">
        <is>
          <t>Unclassified</t>
        </is>
      </c>
      <c r="S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0</v>
      </c>
      <c r="F198" s="36" t="n">
        <v>-1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6" t="n">
        <v>0</v>
      </c>
      <c r="M198" s="36" t="n">
        <v>0</v>
      </c>
      <c r="N198" s="37" t="n">
        <v>1</v>
      </c>
      <c r="O198" s="38" t="inlineStr">
        <is>
          <t> </t>
        </is>
      </c>
      <c r="P198" s="39" t="n">
        <v>0</v>
      </c>
      <c r="Q198" s="40" t="n">
        <v>0</v>
      </c>
      <c r="R198" s="41" t="inlineStr">
        <is>
          <t>Unclassified</t>
        </is>
      </c>
      <c r="S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0</v>
      </c>
      <c r="F199" s="36" t="n">
        <v>-1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6" t="n">
        <v>0</v>
      </c>
      <c r="M199" s="36" t="n">
        <v>0</v>
      </c>
      <c r="N199" s="37" t="n">
        <v>1</v>
      </c>
      <c r="O199" s="38" t="inlineStr">
        <is>
          <t> </t>
        </is>
      </c>
      <c r="P199" s="39" t="n">
        <v>0</v>
      </c>
      <c r="Q199" s="40" t="n">
        <v>0</v>
      </c>
      <c r="R199" s="41" t="inlineStr">
        <is>
          <t>Unclassified</t>
        </is>
      </c>
      <c r="S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0</v>
      </c>
      <c r="F200" s="36" t="n">
        <v>-0.3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7" t="n">
        <v>0.3</v>
      </c>
      <c r="O200" s="38" t="inlineStr">
        <is>
          <t> </t>
        </is>
      </c>
      <c r="P200" s="39" t="n">
        <v>0</v>
      </c>
      <c r="Q200" s="40" t="n">
        <v>0</v>
      </c>
      <c r="R200" s="41" t="inlineStr">
        <is>
          <t>Unclassified</t>
        </is>
      </c>
      <c r="S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0</v>
      </c>
      <c r="I201" s="36" t="n">
        <v>0</v>
      </c>
      <c r="J201" s="36" t="n">
        <v>-0.3</v>
      </c>
      <c r="K201" s="36" t="n">
        <v>0</v>
      </c>
      <c r="L201" s="36" t="n">
        <v>0</v>
      </c>
      <c r="M201" s="36" t="n">
        <v>0</v>
      </c>
      <c r="N201" s="37" t="n">
        <v>0.3</v>
      </c>
      <c r="O201" s="38" t="inlineStr">
        <is>
          <t> </t>
        </is>
      </c>
      <c r="P201" s="39" t="n">
        <v>0</v>
      </c>
      <c r="Q201" s="40" t="n">
        <v>0</v>
      </c>
      <c r="R201" s="41" t="inlineStr">
        <is>
          <t>Unclassified</t>
        </is>
      </c>
      <c r="S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0</v>
      </c>
      <c r="F202" s="36" t="n">
        <v>-0.9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7" t="n">
        <v>0.9</v>
      </c>
      <c r="O202" s="38" t="inlineStr">
        <is>
          <t> </t>
        </is>
      </c>
      <c r="P202" s="39" t="n">
        <v>0</v>
      </c>
      <c r="Q202" s="40" t="n">
        <v>0</v>
      </c>
      <c r="R202" s="41" t="inlineStr">
        <is>
          <t>Unclassified</t>
        </is>
      </c>
      <c r="S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0</v>
      </c>
      <c r="F203" s="36" t="n">
        <v>-0.15</v>
      </c>
      <c r="G203" s="36" t="n">
        <v>-0.2</v>
      </c>
      <c r="H203" s="36" t="n">
        <v>0</v>
      </c>
      <c r="I203" s="36" t="n">
        <v>0</v>
      </c>
      <c r="J203" s="36" t="n">
        <v>-0.14</v>
      </c>
      <c r="K203" s="36" t="n">
        <v>0</v>
      </c>
      <c r="L203" s="36" t="n">
        <v>0</v>
      </c>
      <c r="M203" s="36" t="n">
        <v>0</v>
      </c>
      <c r="N203" s="37" t="n">
        <v>0.2</v>
      </c>
      <c r="O203" s="38" t="inlineStr">
        <is>
          <t> </t>
        </is>
      </c>
      <c r="P203" s="39" t="n">
        <v>0</v>
      </c>
      <c r="Q203" s="40" t="n">
        <v>0</v>
      </c>
      <c r="R203" s="41" t="inlineStr">
        <is>
          <t>Unclassified</t>
        </is>
      </c>
      <c r="S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0</v>
      </c>
      <c r="G204" s="36" t="n">
        <v>-0.6</v>
      </c>
      <c r="H204" s="36" t="n">
        <v>0</v>
      </c>
      <c r="I204" s="36" t="n">
        <v>0</v>
      </c>
      <c r="J204" s="36" t="n">
        <v>0</v>
      </c>
      <c r="K204" s="36" t="n">
        <v>0</v>
      </c>
      <c r="L204" s="36" t="n">
        <v>0</v>
      </c>
      <c r="M204" s="36" t="n">
        <v>0</v>
      </c>
      <c r="N204" s="37" t="n">
        <v>0.6</v>
      </c>
      <c r="O204" s="38" t="inlineStr">
        <is>
          <t> </t>
        </is>
      </c>
      <c r="P204" s="39" t="n">
        <v>0</v>
      </c>
      <c r="Q204" s="40" t="n">
        <v>0</v>
      </c>
      <c r="R204" s="41" t="inlineStr">
        <is>
          <t>Unclassified</t>
        </is>
      </c>
      <c r="S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0</v>
      </c>
      <c r="F205" s="36" t="n">
        <v>-0.5</v>
      </c>
      <c r="G205" s="36" t="n">
        <v>0</v>
      </c>
      <c r="H205" s="36" t="n">
        <v>0</v>
      </c>
      <c r="I205" s="36" t="n">
        <v>0</v>
      </c>
      <c r="J205" s="36" t="n">
        <v>-0.5</v>
      </c>
      <c r="K205" s="36" t="n">
        <v>0</v>
      </c>
      <c r="L205" s="36" t="n">
        <v>0</v>
      </c>
      <c r="M205" s="36" t="n">
        <v>0</v>
      </c>
      <c r="N205" s="37" t="n">
        <v>0.5</v>
      </c>
      <c r="O205" s="38" t="inlineStr">
        <is>
          <t> </t>
        </is>
      </c>
      <c r="P205" s="39" t="n">
        <v>0</v>
      </c>
      <c r="Q205" s="40" t="n">
        <v>0</v>
      </c>
      <c r="R205" s="41" t="inlineStr">
        <is>
          <t>Generic Drug</t>
        </is>
      </c>
      <c r="S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0</v>
      </c>
      <c r="F206" s="36" t="n">
        <v>-0.18</v>
      </c>
      <c r="G206" s="36" t="n">
        <v>-0.06</v>
      </c>
      <c r="H206" s="36" t="n">
        <v>0</v>
      </c>
      <c r="I206" s="36" t="n">
        <v>0</v>
      </c>
      <c r="J206" s="36" t="n">
        <v>-0.03</v>
      </c>
      <c r="K206" s="36" t="n">
        <v>0</v>
      </c>
      <c r="L206" s="36" t="n">
        <v>0</v>
      </c>
      <c r="M206" s="36" t="n">
        <v>0</v>
      </c>
      <c r="N206" s="37" t="n">
        <v>0.18</v>
      </c>
      <c r="O206" s="38" t="inlineStr">
        <is>
          <t> </t>
        </is>
      </c>
      <c r="P206" s="39" t="n">
        <v>0</v>
      </c>
      <c r="Q206" s="40" t="n">
        <v>0</v>
      </c>
      <c r="R206" s="41" t="inlineStr">
        <is>
          <t>Unclassified</t>
        </is>
      </c>
      <c r="S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0</v>
      </c>
      <c r="F207" s="36" t="n">
        <v>-0.06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7" t="n">
        <v>0.06</v>
      </c>
      <c r="O207" s="38" t="inlineStr">
        <is>
          <t> </t>
        </is>
      </c>
      <c r="P207" s="39" t="n">
        <v>0</v>
      </c>
      <c r="Q207" s="40" t="n">
        <v>0</v>
      </c>
      <c r="R207" s="41" t="inlineStr">
        <is>
          <t>Unclassified</t>
        </is>
      </c>
      <c r="S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0</v>
      </c>
      <c r="F208" s="36" t="n">
        <v>-3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6" t="n">
        <v>0</v>
      </c>
      <c r="M208" s="36" t="n">
        <v>0</v>
      </c>
      <c r="N208" s="37" t="n">
        <v>3</v>
      </c>
      <c r="O208" s="38" t="inlineStr">
        <is>
          <t> </t>
        </is>
      </c>
      <c r="P208" s="39" t="n">
        <v>0</v>
      </c>
      <c r="Q208" s="40" t="n">
        <v>0</v>
      </c>
      <c r="R208" s="41" t="inlineStr">
        <is>
          <t>Unclassified</t>
        </is>
      </c>
      <c r="S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0</v>
      </c>
      <c r="F209" s="36" t="n">
        <v>-1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7" t="n">
        <v>1</v>
      </c>
      <c r="O209" s="38" t="inlineStr">
        <is>
          <t> </t>
        </is>
      </c>
      <c r="P209" s="39" t="n">
        <v>0</v>
      </c>
      <c r="Q209" s="40" t="n">
        <v>0</v>
      </c>
      <c r="R209" s="41" t="inlineStr">
        <is>
          <t>Unclassified</t>
        </is>
      </c>
      <c r="S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0</v>
      </c>
      <c r="F210" s="36" t="n">
        <v>-1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6" t="n">
        <v>0</v>
      </c>
      <c r="M210" s="36" t="n">
        <v>0</v>
      </c>
      <c r="N210" s="37" t="n">
        <v>1</v>
      </c>
      <c r="O210" s="38" t="inlineStr">
        <is>
          <t> </t>
        </is>
      </c>
      <c r="P210" s="39" t="n">
        <v>0</v>
      </c>
      <c r="Q210" s="40" t="n">
        <v>0</v>
      </c>
      <c r="R210" s="41" t="inlineStr">
        <is>
          <t>Unclassified</t>
        </is>
      </c>
      <c r="S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0</v>
      </c>
      <c r="F211" s="36" t="n">
        <v>-0.09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7" t="n">
        <v>0.09</v>
      </c>
      <c r="O211" s="38" t="inlineStr">
        <is>
          <t> </t>
        </is>
      </c>
      <c r="P211" s="39" t="n">
        <v>0</v>
      </c>
      <c r="Q211" s="40" t="n">
        <v>0</v>
      </c>
      <c r="R211" s="41" t="inlineStr">
        <is>
          <t>Unclassified</t>
        </is>
      </c>
      <c r="S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0</v>
      </c>
      <c r="F212" s="36" t="n">
        <v>-0.18</v>
      </c>
      <c r="G212" s="36" t="n">
        <v>0</v>
      </c>
      <c r="H212" s="36" t="n">
        <v>0</v>
      </c>
      <c r="I212" s="36" t="n">
        <v>0</v>
      </c>
      <c r="J212" s="36" t="n">
        <v>-0.09</v>
      </c>
      <c r="K212" s="36" t="n">
        <v>0</v>
      </c>
      <c r="L212" s="36" t="n">
        <v>0</v>
      </c>
      <c r="M212" s="36" t="n">
        <v>0</v>
      </c>
      <c r="N212" s="37" t="n">
        <v>0.18</v>
      </c>
      <c r="O212" s="38" t="inlineStr">
        <is>
          <t> </t>
        </is>
      </c>
      <c r="P212" s="39" t="n">
        <v>0</v>
      </c>
      <c r="Q212" s="40" t="n">
        <v>0</v>
      </c>
      <c r="R212" s="41" t="inlineStr">
        <is>
          <t>Unclassified</t>
        </is>
      </c>
      <c r="S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0</v>
      </c>
      <c r="I213" s="36" t="n">
        <v>0</v>
      </c>
      <c r="J213" s="36" t="n">
        <v>-0.06</v>
      </c>
      <c r="K213" s="36" t="n">
        <v>0</v>
      </c>
      <c r="L213" s="36" t="n">
        <v>0</v>
      </c>
      <c r="M213" s="36" t="n">
        <v>0</v>
      </c>
      <c r="N213" s="37" t="n">
        <v>0.06</v>
      </c>
      <c r="O213" s="38" t="inlineStr">
        <is>
          <t> </t>
        </is>
      </c>
      <c r="P213" s="39" t="n">
        <v>0</v>
      </c>
      <c r="Q213" s="40" t="n">
        <v>0</v>
      </c>
      <c r="R213" s="41" t="inlineStr">
        <is>
          <t>Unclassified</t>
        </is>
      </c>
      <c r="S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0</v>
      </c>
      <c r="F214" s="36" t="n">
        <v>-1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7" t="n">
        <v>1</v>
      </c>
      <c r="O214" s="38" t="inlineStr">
        <is>
          <t> </t>
        </is>
      </c>
      <c r="P214" s="39" t="n">
        <v>0</v>
      </c>
      <c r="Q214" s="40" t="n">
        <v>0</v>
      </c>
      <c r="R214" s="41" t="inlineStr">
        <is>
          <t>Unclassified</t>
        </is>
      </c>
      <c r="S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0</v>
      </c>
      <c r="F215" s="36" t="n">
        <v>-1</v>
      </c>
      <c r="G215" s="36" t="n">
        <v>-2</v>
      </c>
      <c r="H215" s="36" t="n">
        <v>0</v>
      </c>
      <c r="I215" s="36" t="n">
        <v>0</v>
      </c>
      <c r="J215" s="36" t="n">
        <v>-1</v>
      </c>
      <c r="K215" s="36" t="n">
        <v>0</v>
      </c>
      <c r="L215" s="36" t="n">
        <v>0</v>
      </c>
      <c r="M215" s="36" t="n">
        <v>0</v>
      </c>
      <c r="N215" s="37" t="n">
        <v>2</v>
      </c>
      <c r="O215" s="38" t="inlineStr">
        <is>
          <t> </t>
        </is>
      </c>
      <c r="P215" s="39" t="n">
        <v>0</v>
      </c>
      <c r="Q215" s="40" t="n">
        <v>0</v>
      </c>
      <c r="R215" s="41" t="inlineStr">
        <is>
          <t>Unclassified</t>
        </is>
      </c>
      <c r="S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0</v>
      </c>
      <c r="I216" s="36" t="n">
        <v>0</v>
      </c>
      <c r="J216" s="36" t="n">
        <v>-3</v>
      </c>
      <c r="K216" s="36" t="n">
        <v>0</v>
      </c>
      <c r="L216" s="36" t="n">
        <v>0</v>
      </c>
      <c r="M216" s="36" t="n">
        <v>0</v>
      </c>
      <c r="N216" s="37" t="n">
        <v>3</v>
      </c>
      <c r="O216" s="38" t="inlineStr">
        <is>
          <t> </t>
        </is>
      </c>
      <c r="P216" s="39" t="n">
        <v>0</v>
      </c>
      <c r="Q216" s="40" t="n">
        <v>0</v>
      </c>
      <c r="R216" s="41" t="inlineStr">
        <is>
          <t>Unclassified</t>
        </is>
      </c>
      <c r="S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0</v>
      </c>
      <c r="F217" s="36" t="n">
        <v>-1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7" t="n">
        <v>1</v>
      </c>
      <c r="O217" s="38" t="inlineStr">
        <is>
          <t> </t>
        </is>
      </c>
      <c r="P217" s="39" t="n">
        <v>0</v>
      </c>
      <c r="Q217" s="40" t="n">
        <v>0</v>
      </c>
      <c r="R217" s="41" t="inlineStr">
        <is>
          <t>Unclassified</t>
        </is>
      </c>
      <c r="S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0</v>
      </c>
      <c r="F218" s="36" t="n">
        <v>-1</v>
      </c>
      <c r="G218" s="36" t="n">
        <v>0</v>
      </c>
      <c r="H218" s="36" t="n">
        <v>0</v>
      </c>
      <c r="I218" s="36" t="n">
        <v>0</v>
      </c>
      <c r="J218" s="36" t="n">
        <v>-1</v>
      </c>
      <c r="K218" s="36" t="n">
        <v>0</v>
      </c>
      <c r="L218" s="36" t="n">
        <v>0</v>
      </c>
      <c r="M218" s="36" t="n">
        <v>0</v>
      </c>
      <c r="N218" s="37" t="n">
        <v>1</v>
      </c>
      <c r="O218" s="38" t="inlineStr">
        <is>
          <t> </t>
        </is>
      </c>
      <c r="P218" s="39" t="n">
        <v>0</v>
      </c>
      <c r="Q218" s="40" t="n">
        <v>0</v>
      </c>
      <c r="R218" s="41" t="inlineStr">
        <is>
          <t>Unclassified</t>
        </is>
      </c>
      <c r="S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0</v>
      </c>
      <c r="F219" s="36" t="n">
        <v>-0.24</v>
      </c>
      <c r="G219" s="36" t="n">
        <v>-0.06</v>
      </c>
      <c r="H219" s="36" t="n">
        <v>0</v>
      </c>
      <c r="I219" s="36" t="n">
        <v>0</v>
      </c>
      <c r="J219" s="36" t="n">
        <v>-0.14</v>
      </c>
      <c r="K219" s="36" t="n">
        <v>0</v>
      </c>
      <c r="L219" s="36" t="n">
        <v>0</v>
      </c>
      <c r="M219" s="36" t="n">
        <v>0</v>
      </c>
      <c r="N219" s="37" t="n">
        <v>0.24</v>
      </c>
      <c r="O219" s="38" t="inlineStr">
        <is>
          <t> </t>
        </is>
      </c>
      <c r="P219" s="39" t="n">
        <v>0</v>
      </c>
      <c r="Q219" s="40" t="n">
        <v>0</v>
      </c>
      <c r="R219" s="41" t="inlineStr">
        <is>
          <t>Unclassified</t>
        </is>
      </c>
      <c r="S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0</v>
      </c>
      <c r="F220" s="36" t="n">
        <v>-0.09</v>
      </c>
      <c r="G220" s="36" t="n">
        <v>0</v>
      </c>
      <c r="H220" s="36" t="n">
        <v>0</v>
      </c>
      <c r="I220" s="36" t="n">
        <v>0</v>
      </c>
      <c r="J220" s="36" t="n">
        <v>-0.14</v>
      </c>
      <c r="K220" s="36" t="n">
        <v>-0.03</v>
      </c>
      <c r="L220" s="36" t="n">
        <v>0</v>
      </c>
      <c r="M220" s="36" t="n">
        <v>0</v>
      </c>
      <c r="N220" s="37" t="n">
        <v>0.14</v>
      </c>
      <c r="O220" s="38" t="inlineStr">
        <is>
          <t> </t>
        </is>
      </c>
      <c r="P220" s="39" t="n">
        <v>0</v>
      </c>
      <c r="Q220" s="40" t="n">
        <v>0</v>
      </c>
      <c r="R220" s="41" t="inlineStr">
        <is>
          <t>Unclassified</t>
        </is>
      </c>
      <c r="S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0</v>
      </c>
      <c r="F221" s="36" t="n">
        <v>-0.01</v>
      </c>
      <c r="G221" s="36" t="n">
        <v>-0.03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7" t="n">
        <v>0.03</v>
      </c>
      <c r="O221" s="38" t="inlineStr">
        <is>
          <t> </t>
        </is>
      </c>
      <c r="P221" s="39" t="n">
        <v>0</v>
      </c>
      <c r="Q221" s="40" t="n">
        <v>0</v>
      </c>
      <c r="R221" s="41" t="inlineStr">
        <is>
          <t>Unclassified</t>
        </is>
      </c>
      <c r="S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0</v>
      </c>
      <c r="F222" s="36" t="n">
        <v>-0.33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6" t="n">
        <v>0</v>
      </c>
      <c r="M222" s="36" t="n">
        <v>0</v>
      </c>
      <c r="N222" s="37" t="n">
        <v>0.33</v>
      </c>
      <c r="O222" s="38" t="inlineStr">
        <is>
          <t> </t>
        </is>
      </c>
      <c r="P222" s="39" t="n">
        <v>0</v>
      </c>
      <c r="Q222" s="40" t="n">
        <v>0</v>
      </c>
      <c r="R222" s="41" t="inlineStr">
        <is>
          <t>Unclassified</t>
        </is>
      </c>
      <c r="S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0</v>
      </c>
      <c r="F223" s="36" t="n">
        <v>-0.67</v>
      </c>
      <c r="G223" s="36" t="n">
        <v>0</v>
      </c>
      <c r="H223" s="36" t="n">
        <v>0</v>
      </c>
      <c r="I223" s="36" t="n">
        <v>0</v>
      </c>
      <c r="J223" s="36" t="n">
        <v>-1.67</v>
      </c>
      <c r="K223" s="36" t="n">
        <v>0</v>
      </c>
      <c r="L223" s="36" t="n">
        <v>0</v>
      </c>
      <c r="M223" s="36" t="n">
        <v>0</v>
      </c>
      <c r="N223" s="37" t="n">
        <v>1.67</v>
      </c>
      <c r="O223" s="38" t="inlineStr">
        <is>
          <t> </t>
        </is>
      </c>
      <c r="P223" s="39" t="n">
        <v>0</v>
      </c>
      <c r="Q223" s="40" t="n">
        <v>0</v>
      </c>
      <c r="R223" s="41" t="inlineStr">
        <is>
          <t>Unclassified</t>
        </is>
      </c>
      <c r="S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0</v>
      </c>
      <c r="F224" s="36" t="n">
        <v>-1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6" t="n">
        <v>0</v>
      </c>
      <c r="M224" s="36" t="n">
        <v>0</v>
      </c>
      <c r="N224" s="37" t="n">
        <v>1</v>
      </c>
      <c r="O224" s="38" t="inlineStr">
        <is>
          <t> </t>
        </is>
      </c>
      <c r="P224" s="39" t="n">
        <v>0</v>
      </c>
      <c r="Q224" s="40" t="n">
        <v>0</v>
      </c>
      <c r="R224" s="41" t="inlineStr">
        <is>
          <t>Unclassified</t>
        </is>
      </c>
      <c r="S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0</v>
      </c>
      <c r="I225" s="36" t="n">
        <v>0</v>
      </c>
      <c r="J225" s="36" t="n">
        <v>-1</v>
      </c>
      <c r="K225" s="36" t="n">
        <v>0</v>
      </c>
      <c r="L225" s="36" t="n">
        <v>0</v>
      </c>
      <c r="M225" s="36" t="n">
        <v>0</v>
      </c>
      <c r="N225" s="37" t="n">
        <v>1</v>
      </c>
      <c r="O225" s="38" t="inlineStr">
        <is>
          <t> </t>
        </is>
      </c>
      <c r="P225" s="39" t="n">
        <v>0</v>
      </c>
      <c r="Q225" s="40" t="n">
        <v>0</v>
      </c>
      <c r="R225" s="41" t="inlineStr">
        <is>
          <t>Unclassified</t>
        </is>
      </c>
      <c r="S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0</v>
      </c>
      <c r="G226" s="36" t="n">
        <v>-1</v>
      </c>
      <c r="H226" s="36" t="n">
        <v>0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7" t="n">
        <v>1</v>
      </c>
      <c r="O226" s="38" t="inlineStr">
        <is>
          <t> </t>
        </is>
      </c>
      <c r="P226" s="39" t="n">
        <v>0</v>
      </c>
      <c r="Q226" s="40" t="n">
        <v>0</v>
      </c>
      <c r="R226" s="41" t="inlineStr">
        <is>
          <t>Unclassified</t>
        </is>
      </c>
      <c r="S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0</v>
      </c>
      <c r="I227" s="36" t="n">
        <v>0</v>
      </c>
      <c r="J227" s="36" t="n">
        <v>-1</v>
      </c>
      <c r="K227" s="36" t="n">
        <v>0</v>
      </c>
      <c r="L227" s="36" t="n">
        <v>0</v>
      </c>
      <c r="M227" s="36" t="n">
        <v>0</v>
      </c>
      <c r="N227" s="37" t="n">
        <v>1</v>
      </c>
      <c r="O227" s="38" t="inlineStr">
        <is>
          <t> </t>
        </is>
      </c>
      <c r="P227" s="39" t="n">
        <v>0</v>
      </c>
      <c r="Q227" s="40" t="n">
        <v>0</v>
      </c>
      <c r="R227" s="41" t="inlineStr">
        <is>
          <t>Unclassified</t>
        </is>
      </c>
      <c r="S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3</v>
      </c>
      <c r="F228" s="36" t="n">
        <v>-2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6" t="n">
        <v>3</v>
      </c>
      <c r="M228" s="36" t="n">
        <v>3</v>
      </c>
      <c r="N228" s="37" t="n">
        <v>2</v>
      </c>
      <c r="O228" s="38" t="inlineStr">
        <is>
          <t> </t>
        </is>
      </c>
      <c r="P228" s="39" t="n">
        <v>11</v>
      </c>
      <c r="Q228" s="40" t="n">
        <v>22</v>
      </c>
      <c r="R228" s="41" t="inlineStr">
        <is>
          <t>Generic Drug</t>
        </is>
      </c>
      <c r="S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-3</v>
      </c>
      <c r="K229" s="36" t="n">
        <v>0</v>
      </c>
      <c r="L229" s="36" t="n">
        <v>0</v>
      </c>
      <c r="M229" s="36" t="n">
        <v>0</v>
      </c>
      <c r="N229" s="37" t="n">
        <v>3</v>
      </c>
      <c r="O229" s="38" t="inlineStr">
        <is>
          <t> </t>
        </is>
      </c>
      <c r="P229" s="39" t="n">
        <v>0</v>
      </c>
      <c r="Q229" s="40" t="n">
        <v>0</v>
      </c>
      <c r="R229" s="41" t="inlineStr">
        <is>
          <t>Unclassified</t>
        </is>
      </c>
      <c r="S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-1</v>
      </c>
      <c r="K230" s="36" t="n">
        <v>0</v>
      </c>
      <c r="L230" s="36" t="n">
        <v>0</v>
      </c>
      <c r="M230" s="36" t="n">
        <v>0</v>
      </c>
      <c r="N230" s="37" t="n">
        <v>1</v>
      </c>
      <c r="O230" s="38" t="inlineStr">
        <is>
          <t> </t>
        </is>
      </c>
      <c r="P230" s="39" t="n">
        <v>0</v>
      </c>
      <c r="Q230" s="40" t="n">
        <v>0</v>
      </c>
      <c r="R230" s="41" t="inlineStr">
        <is>
          <t>Unclassified</t>
        </is>
      </c>
      <c r="S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0</v>
      </c>
      <c r="F231" s="36" t="n">
        <v>-1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7" t="n">
        <v>1</v>
      </c>
      <c r="O231" s="38" t="inlineStr">
        <is>
          <t> </t>
        </is>
      </c>
      <c r="P231" s="39" t="n">
        <v>0</v>
      </c>
      <c r="Q231" s="40" t="n">
        <v>0</v>
      </c>
      <c r="R231" s="41" t="inlineStr">
        <is>
          <t>Unclassified</t>
        </is>
      </c>
      <c r="S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0</v>
      </c>
      <c r="F232" s="36" t="n">
        <v>-1.14</v>
      </c>
      <c r="G232" s="36" t="n">
        <v>-0.09</v>
      </c>
      <c r="H232" s="36" t="n">
        <v>0</v>
      </c>
      <c r="I232" s="36" t="n">
        <v>0</v>
      </c>
      <c r="J232" s="36" t="n">
        <v>-0.38</v>
      </c>
      <c r="K232" s="36" t="n">
        <v>-0.03</v>
      </c>
      <c r="L232" s="36" t="n">
        <v>0</v>
      </c>
      <c r="M232" s="36" t="n">
        <v>0</v>
      </c>
      <c r="N232" s="37" t="n">
        <v>1.14</v>
      </c>
      <c r="O232" s="38" t="inlineStr">
        <is>
          <t> </t>
        </is>
      </c>
      <c r="P232" s="39" t="n">
        <v>0</v>
      </c>
      <c r="Q232" s="40" t="n">
        <v>0</v>
      </c>
      <c r="R232" s="41" t="inlineStr">
        <is>
          <t>Unclassified</t>
        </is>
      </c>
      <c r="S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0</v>
      </c>
      <c r="F233" s="36" t="n">
        <v>-0.9</v>
      </c>
      <c r="G233" s="36" t="n">
        <v>0</v>
      </c>
      <c r="H233" s="36" t="n">
        <v>0</v>
      </c>
      <c r="I233" s="36" t="n">
        <v>-0.03</v>
      </c>
      <c r="J233" s="36" t="n">
        <v>-0.24</v>
      </c>
      <c r="K233" s="36" t="n">
        <v>0</v>
      </c>
      <c r="L233" s="36" t="n">
        <v>0</v>
      </c>
      <c r="M233" s="36" t="n">
        <v>0</v>
      </c>
      <c r="N233" s="37" t="n">
        <v>0.9</v>
      </c>
      <c r="O233" s="38" t="inlineStr">
        <is>
          <t> </t>
        </is>
      </c>
      <c r="P233" s="39" t="n">
        <v>0</v>
      </c>
      <c r="Q233" s="40" t="n">
        <v>0</v>
      </c>
      <c r="R233" s="41" t="inlineStr">
        <is>
          <t>Unclassified</t>
        </is>
      </c>
      <c r="S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0</v>
      </c>
      <c r="I234" s="36" t="n">
        <v>0</v>
      </c>
      <c r="J234" s="36" t="n">
        <v>-1</v>
      </c>
      <c r="K234" s="36" t="n">
        <v>0</v>
      </c>
      <c r="L234" s="36" t="n">
        <v>0</v>
      </c>
      <c r="M234" s="36" t="n">
        <v>0</v>
      </c>
      <c r="N234" s="37" t="n">
        <v>1</v>
      </c>
      <c r="O234" s="38" t="inlineStr">
        <is>
          <t> </t>
        </is>
      </c>
      <c r="P234" s="39" t="n">
        <v>0</v>
      </c>
      <c r="Q234" s="40" t="n">
        <v>0</v>
      </c>
      <c r="R234" s="41" t="inlineStr">
        <is>
          <t>Unclassified</t>
        </is>
      </c>
      <c r="S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0</v>
      </c>
      <c r="F235" s="36" t="n">
        <v>-0.9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7" t="n">
        <v>0.9</v>
      </c>
      <c r="O235" s="38" t="inlineStr">
        <is>
          <t> </t>
        </is>
      </c>
      <c r="P235" s="39" t="n">
        <v>0</v>
      </c>
      <c r="Q235" s="40" t="n">
        <v>0</v>
      </c>
      <c r="R235" s="41" t="inlineStr">
        <is>
          <t>Unclassified</t>
        </is>
      </c>
      <c r="S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-12.69</v>
      </c>
      <c r="K236" s="36" t="n">
        <v>0</v>
      </c>
      <c r="L236" s="36" t="n">
        <v>0</v>
      </c>
      <c r="M236" s="36" t="n">
        <v>0</v>
      </c>
      <c r="N236" s="37" t="n">
        <v>12.69</v>
      </c>
      <c r="O236" s="38" t="inlineStr">
        <is>
          <t> </t>
        </is>
      </c>
      <c r="P236" s="39" t="n">
        <v>0</v>
      </c>
      <c r="Q236" s="40" t="n">
        <v>0</v>
      </c>
      <c r="R236" s="41" t="inlineStr">
        <is>
          <t>Unclassified</t>
        </is>
      </c>
      <c r="S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0</v>
      </c>
      <c r="I237" s="36" t="n">
        <v>0</v>
      </c>
      <c r="J237" s="36" t="n">
        <v>-2.4</v>
      </c>
      <c r="K237" s="36" t="n">
        <v>0</v>
      </c>
      <c r="L237" s="36" t="n">
        <v>0</v>
      </c>
      <c r="M237" s="36" t="n">
        <v>0</v>
      </c>
      <c r="N237" s="37" t="n">
        <v>2.4</v>
      </c>
      <c r="O237" s="38" t="inlineStr">
        <is>
          <t> </t>
        </is>
      </c>
      <c r="P237" s="39" t="n">
        <v>0</v>
      </c>
      <c r="Q237" s="40" t="n">
        <v>0</v>
      </c>
      <c r="R237" s="41" t="inlineStr">
        <is>
          <t>Unclassified</t>
        </is>
      </c>
      <c r="S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0</v>
      </c>
      <c r="F238" s="36" t="n">
        <v>-0.66</v>
      </c>
      <c r="G238" s="36" t="n">
        <v>-0.18</v>
      </c>
      <c r="H238" s="36" t="n">
        <v>0</v>
      </c>
      <c r="I238" s="36" t="n">
        <v>0</v>
      </c>
      <c r="J238" s="36" t="n">
        <v>0</v>
      </c>
      <c r="K238" s="36" t="n">
        <v>-0.06</v>
      </c>
      <c r="L238" s="36" t="n">
        <v>0</v>
      </c>
      <c r="M238" s="36" t="n">
        <v>0</v>
      </c>
      <c r="N238" s="37" t="n">
        <v>0.66</v>
      </c>
      <c r="O238" s="38" t="inlineStr">
        <is>
          <t> </t>
        </is>
      </c>
      <c r="P238" s="39" t="n">
        <v>0</v>
      </c>
      <c r="Q238" s="40" t="n">
        <v>0</v>
      </c>
      <c r="R238" s="41" t="inlineStr">
        <is>
          <t>Unclassified</t>
        </is>
      </c>
      <c r="S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0</v>
      </c>
      <c r="G239" s="36" t="n">
        <v>-1</v>
      </c>
      <c r="H239" s="36" t="n">
        <v>0</v>
      </c>
      <c r="I239" s="36" t="n">
        <v>0</v>
      </c>
      <c r="J239" s="36" t="n">
        <v>-0.2</v>
      </c>
      <c r="K239" s="36" t="n">
        <v>0</v>
      </c>
      <c r="L239" s="36" t="n">
        <v>0</v>
      </c>
      <c r="M239" s="36" t="n">
        <v>0</v>
      </c>
      <c r="N239" s="37" t="n">
        <v>1</v>
      </c>
      <c r="O239" s="38" t="inlineStr">
        <is>
          <t> </t>
        </is>
      </c>
      <c r="P239" s="39" t="n">
        <v>0</v>
      </c>
      <c r="Q239" s="40" t="n">
        <v>0</v>
      </c>
      <c r="R239" s="41" t="inlineStr">
        <is>
          <t>Unclassified</t>
        </is>
      </c>
      <c r="S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0</v>
      </c>
      <c r="F240" s="36" t="n">
        <v>-1.48</v>
      </c>
      <c r="G240" s="36" t="n">
        <v>-0.08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7" t="n">
        <v>1.48</v>
      </c>
      <c r="O240" s="38" t="inlineStr">
        <is>
          <t> </t>
        </is>
      </c>
      <c r="P240" s="39" t="n">
        <v>0</v>
      </c>
      <c r="Q240" s="40" t="n">
        <v>0</v>
      </c>
      <c r="R240" s="41" t="inlineStr">
        <is>
          <t>Unclassified</t>
        </is>
      </c>
      <c r="S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-0.3</v>
      </c>
      <c r="K241" s="36" t="n">
        <v>0</v>
      </c>
      <c r="L241" s="36" t="n">
        <v>0</v>
      </c>
      <c r="M241" s="36" t="n">
        <v>0</v>
      </c>
      <c r="N241" s="37" t="n">
        <v>0.3</v>
      </c>
      <c r="O241" s="38" t="inlineStr">
        <is>
          <t> </t>
        </is>
      </c>
      <c r="P241" s="39" t="n">
        <v>0</v>
      </c>
      <c r="Q241" s="40" t="n">
        <v>0</v>
      </c>
      <c r="R241" s="41" t="inlineStr">
        <is>
          <t>Unclassified</t>
        </is>
      </c>
      <c r="S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0</v>
      </c>
      <c r="F242" s="36" t="n">
        <v>-1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6" t="n">
        <v>0</v>
      </c>
      <c r="M242" s="36" t="n">
        <v>0</v>
      </c>
      <c r="N242" s="37" t="n">
        <v>1</v>
      </c>
      <c r="O242" s="38" t="inlineStr">
        <is>
          <t> </t>
        </is>
      </c>
      <c r="P242" s="39" t="n">
        <v>0</v>
      </c>
      <c r="Q242" s="40" t="n">
        <v>0</v>
      </c>
      <c r="R242" s="41" t="inlineStr">
        <is>
          <t>Unclassified</t>
        </is>
      </c>
      <c r="S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-0.03</v>
      </c>
      <c r="K243" s="36" t="n">
        <v>0</v>
      </c>
      <c r="L243" s="36" t="n">
        <v>0</v>
      </c>
      <c r="M243" s="36" t="n">
        <v>0</v>
      </c>
      <c r="N243" s="37" t="n">
        <v>0.03</v>
      </c>
      <c r="O243" s="38" t="inlineStr">
        <is>
          <t> </t>
        </is>
      </c>
      <c r="P243" s="39" t="n">
        <v>0</v>
      </c>
      <c r="Q243" s="40" t="n">
        <v>0</v>
      </c>
      <c r="R243" s="41" t="inlineStr">
        <is>
          <t>Unclassified</t>
        </is>
      </c>
      <c r="S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-0.18</v>
      </c>
      <c r="K244" s="36" t="n">
        <v>0</v>
      </c>
      <c r="L244" s="36" t="n">
        <v>0</v>
      </c>
      <c r="M244" s="36" t="n">
        <v>0</v>
      </c>
      <c r="N244" s="37" t="n">
        <v>0.18</v>
      </c>
      <c r="O244" s="38" t="inlineStr">
        <is>
          <t> </t>
        </is>
      </c>
      <c r="P244" s="39" t="n">
        <v>0</v>
      </c>
      <c r="Q244" s="40" t="n">
        <v>0</v>
      </c>
      <c r="R244" s="41" t="inlineStr">
        <is>
          <t>Unclassified</t>
        </is>
      </c>
      <c r="S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0</v>
      </c>
      <c r="I245" s="36" t="n">
        <v>0</v>
      </c>
      <c r="J245" s="36" t="n">
        <v>-0.9</v>
      </c>
      <c r="K245" s="36" t="n">
        <v>0</v>
      </c>
      <c r="L245" s="36" t="n">
        <v>0</v>
      </c>
      <c r="M245" s="36" t="n">
        <v>0</v>
      </c>
      <c r="N245" s="37" t="n">
        <v>0.9</v>
      </c>
      <c r="O245" s="38" t="inlineStr">
        <is>
          <t> </t>
        </is>
      </c>
      <c r="P245" s="39" t="n">
        <v>0</v>
      </c>
      <c r="Q245" s="40" t="n">
        <v>0</v>
      </c>
      <c r="R245" s="41" t="inlineStr">
        <is>
          <t>Unclassified</t>
        </is>
      </c>
      <c r="S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24</v>
      </c>
      <c r="F246" s="36" t="n">
        <v>-3</v>
      </c>
      <c r="G246" s="36" t="n">
        <v>17</v>
      </c>
      <c r="H246" s="36" t="n">
        <v>24</v>
      </c>
      <c r="I246" s="36" t="n">
        <v>24</v>
      </c>
      <c r="J246" s="36" t="n">
        <v>-7</v>
      </c>
      <c r="K246" s="36" t="n">
        <v>23</v>
      </c>
      <c r="L246" s="36" t="n">
        <v>24</v>
      </c>
      <c r="M246" s="36" t="n">
        <v>24</v>
      </c>
      <c r="N246" s="37" t="n">
        <v>7</v>
      </c>
      <c r="O246" s="38" t="inlineStr">
        <is>
          <t> </t>
        </is>
      </c>
      <c r="P246" s="39" t="n">
        <v>5</v>
      </c>
      <c r="Q246" s="40" t="n">
        <v>35</v>
      </c>
      <c r="R246" s="41" t="inlineStr">
        <is>
          <t>Generic Drug</t>
        </is>
      </c>
      <c r="S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0</v>
      </c>
      <c r="I247" s="36" t="n">
        <v>0</v>
      </c>
      <c r="J247" s="36" t="n">
        <v>-3</v>
      </c>
      <c r="K247" s="36" t="n">
        <v>0</v>
      </c>
      <c r="L247" s="36" t="n">
        <v>0</v>
      </c>
      <c r="M247" s="36" t="n">
        <v>0</v>
      </c>
      <c r="N247" s="37" t="n">
        <v>3</v>
      </c>
      <c r="O247" s="38" t="inlineStr">
        <is>
          <t> </t>
        </is>
      </c>
      <c r="P247" s="39" t="n">
        <v>0</v>
      </c>
      <c r="Q247" s="40" t="n">
        <v>0</v>
      </c>
      <c r="R247" s="41" t="inlineStr">
        <is>
          <t>Unclassified</t>
        </is>
      </c>
      <c r="S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0</v>
      </c>
      <c r="F248" s="36" t="n">
        <v>-1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7" t="n">
        <v>1</v>
      </c>
      <c r="O248" s="38" t="inlineStr">
        <is>
          <t> </t>
        </is>
      </c>
      <c r="P248" s="39" t="n">
        <v>0</v>
      </c>
      <c r="Q248" s="40" t="n">
        <v>0</v>
      </c>
      <c r="R248" s="41" t="inlineStr">
        <is>
          <t>Unclassified</t>
        </is>
      </c>
      <c r="S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0</v>
      </c>
      <c r="F249" s="36" t="n">
        <v>-2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7" t="n">
        <v>2</v>
      </c>
      <c r="O249" s="38" t="inlineStr">
        <is>
          <t> </t>
        </is>
      </c>
      <c r="P249" s="39" t="n">
        <v>0</v>
      </c>
      <c r="Q249" s="40" t="n">
        <v>0</v>
      </c>
      <c r="R249" s="41" t="inlineStr">
        <is>
          <t>Unclassified</t>
        </is>
      </c>
      <c r="S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0</v>
      </c>
      <c r="F250" s="36" t="n">
        <v>-0.03</v>
      </c>
      <c r="G250" s="36" t="n">
        <v>0</v>
      </c>
      <c r="H250" s="36" t="n">
        <v>0</v>
      </c>
      <c r="I250" s="36" t="n">
        <v>0</v>
      </c>
      <c r="J250" s="36" t="n">
        <v>-0.6899999999999999</v>
      </c>
      <c r="K250" s="36" t="n">
        <v>0</v>
      </c>
      <c r="L250" s="36" t="n">
        <v>0</v>
      </c>
      <c r="M250" s="36" t="n">
        <v>0</v>
      </c>
      <c r="N250" s="37" t="n">
        <v>0.6899999999999999</v>
      </c>
      <c r="O250" s="38" t="inlineStr">
        <is>
          <t> </t>
        </is>
      </c>
      <c r="P250" s="39" t="n">
        <v>0</v>
      </c>
      <c r="Q250" s="40" t="n">
        <v>0</v>
      </c>
      <c r="R250" s="41" t="inlineStr">
        <is>
          <t>Unclassified</t>
        </is>
      </c>
      <c r="S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-0.9</v>
      </c>
      <c r="K251" s="36" t="n">
        <v>0</v>
      </c>
      <c r="L251" s="36" t="n">
        <v>0</v>
      </c>
      <c r="M251" s="36" t="n">
        <v>0</v>
      </c>
      <c r="N251" s="37" t="n">
        <v>0.9</v>
      </c>
      <c r="O251" s="38" t="inlineStr">
        <is>
          <t> </t>
        </is>
      </c>
      <c r="P251" s="39" t="n">
        <v>0</v>
      </c>
      <c r="Q251" s="40" t="n">
        <v>0</v>
      </c>
      <c r="R251" s="41" t="inlineStr">
        <is>
          <t>Unclassified</t>
        </is>
      </c>
      <c r="S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3</v>
      </c>
      <c r="F252" s="36" t="n">
        <v>-6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6" t="n">
        <v>3</v>
      </c>
      <c r="M252" s="36" t="n">
        <v>3</v>
      </c>
      <c r="N252" s="37" t="n">
        <v>6</v>
      </c>
      <c r="O252" s="38" t="inlineStr">
        <is>
          <t> </t>
        </is>
      </c>
      <c r="P252" s="39" t="n">
        <v>26</v>
      </c>
      <c r="Q252" s="40" t="n">
        <v>156</v>
      </c>
      <c r="R252" s="41" t="inlineStr">
        <is>
          <t>Generic Drug</t>
        </is>
      </c>
      <c r="S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0</v>
      </c>
      <c r="I253" s="36" t="n">
        <v>0</v>
      </c>
      <c r="J253" s="36" t="n">
        <v>-2</v>
      </c>
      <c r="K253" s="36" t="n">
        <v>0</v>
      </c>
      <c r="L253" s="36" t="n">
        <v>0</v>
      </c>
      <c r="M253" s="36" t="n">
        <v>0</v>
      </c>
      <c r="N253" s="37" t="n">
        <v>2</v>
      </c>
      <c r="O253" s="38" t="inlineStr">
        <is>
          <t> </t>
        </is>
      </c>
      <c r="P253" s="39" t="n">
        <v>0</v>
      </c>
      <c r="Q253" s="40" t="n">
        <v>0</v>
      </c>
      <c r="R253" s="41" t="inlineStr">
        <is>
          <t>Unclassified</t>
        </is>
      </c>
      <c r="S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0</v>
      </c>
      <c r="G254" s="36" t="n">
        <v>-2</v>
      </c>
      <c r="H254" s="36" t="n">
        <v>0</v>
      </c>
      <c r="I254" s="36" t="n">
        <v>0</v>
      </c>
      <c r="J254" s="36" t="n">
        <v>-4</v>
      </c>
      <c r="K254" s="36" t="n">
        <v>0</v>
      </c>
      <c r="L254" s="36" t="n">
        <v>0</v>
      </c>
      <c r="M254" s="36" t="n">
        <v>0</v>
      </c>
      <c r="N254" s="37" t="n">
        <v>4</v>
      </c>
      <c r="O254" s="38" t="inlineStr">
        <is>
          <t> </t>
        </is>
      </c>
      <c r="P254" s="39" t="n">
        <v>0</v>
      </c>
      <c r="Q254" s="40" t="n">
        <v>0</v>
      </c>
      <c r="R254" s="41" t="inlineStr">
        <is>
          <t>Unclassified</t>
        </is>
      </c>
      <c r="S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0</v>
      </c>
      <c r="F255" s="36" t="n">
        <v>-6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-2</v>
      </c>
      <c r="M255" s="36" t="n">
        <v>0</v>
      </c>
      <c r="N255" s="37" t="n">
        <v>6</v>
      </c>
      <c r="O255" s="38" t="inlineStr">
        <is>
          <t> </t>
        </is>
      </c>
      <c r="P255" s="39" t="n">
        <v>0</v>
      </c>
      <c r="Q255" s="40" t="n">
        <v>0</v>
      </c>
      <c r="R255" s="41" t="inlineStr">
        <is>
          <t>Unclassified</t>
        </is>
      </c>
      <c r="S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0</v>
      </c>
      <c r="F256" s="36" t="n">
        <v>-0.21</v>
      </c>
      <c r="G256" s="36" t="n">
        <v>-0.27</v>
      </c>
      <c r="H256" s="36" t="n">
        <v>0</v>
      </c>
      <c r="I256" s="36" t="n">
        <v>0</v>
      </c>
      <c r="J256" s="36" t="n">
        <v>-0.03</v>
      </c>
      <c r="K256" s="36" t="n">
        <v>0</v>
      </c>
      <c r="L256" s="36" t="n">
        <v>0</v>
      </c>
      <c r="M256" s="36" t="n">
        <v>0</v>
      </c>
      <c r="N256" s="37" t="n">
        <v>0.27</v>
      </c>
      <c r="O256" s="38" t="inlineStr">
        <is>
          <t> </t>
        </is>
      </c>
      <c r="P256" s="39" t="n">
        <v>0</v>
      </c>
      <c r="Q256" s="40" t="n">
        <v>0</v>
      </c>
      <c r="R256" s="41" t="inlineStr">
        <is>
          <t>Unclassified</t>
        </is>
      </c>
      <c r="S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0</v>
      </c>
      <c r="G257" s="36" t="n">
        <v>-0.03</v>
      </c>
      <c r="H257" s="36" t="n">
        <v>0</v>
      </c>
      <c r="I257" s="36" t="n">
        <v>-0.18</v>
      </c>
      <c r="J257" s="36" t="n">
        <v>-0.09</v>
      </c>
      <c r="K257" s="36" t="n">
        <v>0</v>
      </c>
      <c r="L257" s="36" t="n">
        <v>0</v>
      </c>
      <c r="M257" s="36" t="n">
        <v>0</v>
      </c>
      <c r="N257" s="37" t="n">
        <v>0.18</v>
      </c>
      <c r="O257" s="38" t="inlineStr">
        <is>
          <t> </t>
        </is>
      </c>
      <c r="P257" s="39" t="n">
        <v>0</v>
      </c>
      <c r="Q257" s="40" t="n">
        <v>0</v>
      </c>
      <c r="R257" s="41" t="inlineStr">
        <is>
          <t>Unclassified</t>
        </is>
      </c>
      <c r="S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0</v>
      </c>
      <c r="F258" s="36" t="n">
        <v>-0.63</v>
      </c>
      <c r="G258" s="36" t="n">
        <v>-0.03</v>
      </c>
      <c r="H258" s="36" t="n">
        <v>0</v>
      </c>
      <c r="I258" s="36" t="n">
        <v>-0.09</v>
      </c>
      <c r="J258" s="36" t="n">
        <v>-0.09</v>
      </c>
      <c r="K258" s="36" t="n">
        <v>0</v>
      </c>
      <c r="L258" s="36" t="n">
        <v>0</v>
      </c>
      <c r="M258" s="36" t="n">
        <v>0</v>
      </c>
      <c r="N258" s="37" t="n">
        <v>0.63</v>
      </c>
      <c r="O258" s="38" t="inlineStr">
        <is>
          <t> </t>
        </is>
      </c>
      <c r="P258" s="39" t="n">
        <v>0</v>
      </c>
      <c r="Q258" s="40" t="n">
        <v>0</v>
      </c>
      <c r="R258" s="41" t="inlineStr">
        <is>
          <t>Unclassified</t>
        </is>
      </c>
      <c r="S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0</v>
      </c>
      <c r="F259" s="36" t="n">
        <v>-2.88</v>
      </c>
      <c r="G259" s="36" t="n">
        <v>-0.06</v>
      </c>
      <c r="H259" s="36" t="n">
        <v>0</v>
      </c>
      <c r="I259" s="36" t="n">
        <v>-0.12</v>
      </c>
      <c r="J259" s="36" t="n">
        <v>-0.36</v>
      </c>
      <c r="K259" s="36" t="n">
        <v>0</v>
      </c>
      <c r="L259" s="36" t="n">
        <v>-0.36</v>
      </c>
      <c r="M259" s="36" t="n">
        <v>0</v>
      </c>
      <c r="N259" s="37" t="n">
        <v>2.88</v>
      </c>
      <c r="O259" s="38" t="inlineStr">
        <is>
          <t> </t>
        </is>
      </c>
      <c r="P259" s="39" t="n">
        <v>0</v>
      </c>
      <c r="Q259" s="40" t="n">
        <v>0</v>
      </c>
      <c r="R259" s="41" t="inlineStr">
        <is>
          <t>Unclassified</t>
        </is>
      </c>
      <c r="S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0</v>
      </c>
      <c r="F260" s="36" t="n">
        <v>-1.02</v>
      </c>
      <c r="G260" s="36" t="n">
        <v>0</v>
      </c>
      <c r="H260" s="36" t="n">
        <v>0</v>
      </c>
      <c r="I260" s="36" t="n">
        <v>0</v>
      </c>
      <c r="J260" s="36" t="n">
        <v>-0.36</v>
      </c>
      <c r="K260" s="36" t="n">
        <v>-0.12</v>
      </c>
      <c r="L260" s="36" t="n">
        <v>0</v>
      </c>
      <c r="M260" s="36" t="n">
        <v>0</v>
      </c>
      <c r="N260" s="37" t="n">
        <v>1.02</v>
      </c>
      <c r="O260" s="38" t="inlineStr">
        <is>
          <t> </t>
        </is>
      </c>
      <c r="P260" s="39" t="n">
        <v>0</v>
      </c>
      <c r="Q260" s="40" t="n">
        <v>0</v>
      </c>
      <c r="R260" s="41" t="inlineStr">
        <is>
          <t>Unclassified</t>
        </is>
      </c>
      <c r="S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0</v>
      </c>
      <c r="F261" s="36" t="n">
        <v>-0.2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7" t="n">
        <v>0.2</v>
      </c>
      <c r="O261" s="38" t="inlineStr">
        <is>
          <t> </t>
        </is>
      </c>
      <c r="P261" s="39" t="n">
        <v>0</v>
      </c>
      <c r="Q261" s="40" t="n">
        <v>0</v>
      </c>
      <c r="R261" s="41" t="inlineStr">
        <is>
          <t>Unclassified</t>
        </is>
      </c>
      <c r="S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0</v>
      </c>
      <c r="I262" s="36" t="n">
        <v>0</v>
      </c>
      <c r="J262" s="36" t="n">
        <v>-0.36</v>
      </c>
      <c r="K262" s="36" t="n">
        <v>0</v>
      </c>
      <c r="L262" s="36" t="n">
        <v>0</v>
      </c>
      <c r="M262" s="36" t="n">
        <v>0</v>
      </c>
      <c r="N262" s="37" t="n">
        <v>0.36</v>
      </c>
      <c r="O262" s="38" t="inlineStr">
        <is>
          <t> </t>
        </is>
      </c>
      <c r="P262" s="39" t="n">
        <v>0</v>
      </c>
      <c r="Q262" s="40" t="n">
        <v>0</v>
      </c>
      <c r="R262" s="41" t="inlineStr">
        <is>
          <t>Unclassified</t>
        </is>
      </c>
      <c r="S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0</v>
      </c>
      <c r="F263" s="36" t="n">
        <v>-1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7" t="n">
        <v>1</v>
      </c>
      <c r="O263" s="38" t="inlineStr">
        <is>
          <t> </t>
        </is>
      </c>
      <c r="P263" s="39" t="n">
        <v>0</v>
      </c>
      <c r="Q263" s="40" t="n">
        <v>0</v>
      </c>
      <c r="R263" s="41" t="inlineStr">
        <is>
          <t>Unclassified</t>
        </is>
      </c>
      <c r="S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0</v>
      </c>
      <c r="I264" s="36" t="n">
        <v>0</v>
      </c>
      <c r="J264" s="36" t="n">
        <v>-1</v>
      </c>
      <c r="K264" s="36" t="n">
        <v>0</v>
      </c>
      <c r="L264" s="36" t="n">
        <v>0</v>
      </c>
      <c r="M264" s="36" t="n">
        <v>0</v>
      </c>
      <c r="N264" s="37" t="n">
        <v>1</v>
      </c>
      <c r="O264" s="38" t="inlineStr">
        <is>
          <t> </t>
        </is>
      </c>
      <c r="P264" s="39" t="n">
        <v>0</v>
      </c>
      <c r="Q264" s="40" t="n">
        <v>0</v>
      </c>
      <c r="R264" s="41" t="inlineStr">
        <is>
          <t>Unclassified</t>
        </is>
      </c>
      <c r="S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0</v>
      </c>
      <c r="F265" s="36" t="n">
        <v>-0.06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7" t="n">
        <v>0.06</v>
      </c>
      <c r="O265" s="38" t="inlineStr">
        <is>
          <t> </t>
        </is>
      </c>
      <c r="P265" s="39" t="n">
        <v>0</v>
      </c>
      <c r="Q265" s="40" t="n">
        <v>0</v>
      </c>
      <c r="R265" s="41" t="inlineStr">
        <is>
          <t>Unclassified</t>
        </is>
      </c>
      <c r="S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0</v>
      </c>
      <c r="F266" s="36" t="n">
        <v>-0.9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7" t="n">
        <v>0.9</v>
      </c>
      <c r="O266" s="38" t="inlineStr">
        <is>
          <t> </t>
        </is>
      </c>
      <c r="P266" s="39" t="n">
        <v>0</v>
      </c>
      <c r="Q266" s="40" t="n">
        <v>0</v>
      </c>
      <c r="R266" s="41" t="inlineStr">
        <is>
          <t>Unclassified</t>
        </is>
      </c>
      <c r="S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0</v>
      </c>
      <c r="F267" s="36" t="n">
        <v>-0.27</v>
      </c>
      <c r="G267" s="36" t="n">
        <v>-0.09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7" t="n">
        <v>0.27</v>
      </c>
      <c r="O267" s="38" t="inlineStr">
        <is>
          <t> </t>
        </is>
      </c>
      <c r="P267" s="39" t="n">
        <v>0</v>
      </c>
      <c r="Q267" s="40" t="n">
        <v>0</v>
      </c>
      <c r="R267" s="41" t="inlineStr">
        <is>
          <t>Unclassified</t>
        </is>
      </c>
      <c r="S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0</v>
      </c>
      <c r="F268" s="36" t="n">
        <v>-0.12</v>
      </c>
      <c r="G268" s="36" t="n">
        <v>-0.09</v>
      </c>
      <c r="H268" s="36" t="n">
        <v>0</v>
      </c>
      <c r="I268" s="36" t="n">
        <v>0</v>
      </c>
      <c r="J268" s="36" t="n">
        <v>-0.09</v>
      </c>
      <c r="K268" s="36" t="n">
        <v>0</v>
      </c>
      <c r="L268" s="36" t="n">
        <v>0</v>
      </c>
      <c r="M268" s="36" t="n">
        <v>0</v>
      </c>
      <c r="N268" s="37" t="n">
        <v>0.12</v>
      </c>
      <c r="O268" s="38" t="inlineStr">
        <is>
          <t> </t>
        </is>
      </c>
      <c r="P268" s="39" t="n">
        <v>0</v>
      </c>
      <c r="Q268" s="40" t="n">
        <v>0</v>
      </c>
      <c r="R268" s="41" t="inlineStr">
        <is>
          <t>Unclassified</t>
        </is>
      </c>
      <c r="S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0</v>
      </c>
      <c r="F269" s="36" t="n">
        <v>-3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7" t="n">
        <v>3</v>
      </c>
      <c r="O269" s="38" t="inlineStr">
        <is>
          <t> </t>
        </is>
      </c>
      <c r="P269" s="39" t="n">
        <v>0</v>
      </c>
      <c r="Q269" s="40" t="n">
        <v>0</v>
      </c>
      <c r="R269" s="41" t="inlineStr">
        <is>
          <t>Unclassified</t>
        </is>
      </c>
      <c r="S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0</v>
      </c>
      <c r="F270" s="36" t="n">
        <v>-0.6</v>
      </c>
      <c r="G270" s="36" t="n">
        <v>0</v>
      </c>
      <c r="H270" s="36" t="n">
        <v>0</v>
      </c>
      <c r="I270" s="36" t="n">
        <v>0</v>
      </c>
      <c r="J270" s="36" t="n">
        <v>-0.6</v>
      </c>
      <c r="K270" s="36" t="n">
        <v>0</v>
      </c>
      <c r="L270" s="36" t="n">
        <v>0</v>
      </c>
      <c r="M270" s="36" t="n">
        <v>0</v>
      </c>
      <c r="N270" s="37" t="n">
        <v>0.6</v>
      </c>
      <c r="O270" s="38" t="inlineStr">
        <is>
          <t> </t>
        </is>
      </c>
      <c r="P270" s="39" t="n">
        <v>0</v>
      </c>
      <c r="Q270" s="40" t="n">
        <v>0</v>
      </c>
      <c r="R270" s="41" t="inlineStr">
        <is>
          <t>Unclassified</t>
        </is>
      </c>
      <c r="S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-0.6</v>
      </c>
      <c r="L271" s="36" t="n">
        <v>0</v>
      </c>
      <c r="M271" s="36" t="n">
        <v>0</v>
      </c>
      <c r="N271" s="37" t="n">
        <v>0.6</v>
      </c>
      <c r="O271" s="38" t="inlineStr">
        <is>
          <t> </t>
        </is>
      </c>
      <c r="P271" s="39" t="n">
        <v>0</v>
      </c>
      <c r="Q271" s="40" t="n">
        <v>0</v>
      </c>
      <c r="R271" s="41" t="inlineStr">
        <is>
          <t>Unclassified</t>
        </is>
      </c>
      <c r="S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-0.3</v>
      </c>
      <c r="K272" s="36" t="n">
        <v>0</v>
      </c>
      <c r="L272" s="36" t="n">
        <v>0</v>
      </c>
      <c r="M272" s="36" t="n">
        <v>0</v>
      </c>
      <c r="N272" s="37" t="n">
        <v>0.3</v>
      </c>
      <c r="O272" s="38" t="inlineStr">
        <is>
          <t> </t>
        </is>
      </c>
      <c r="P272" s="39" t="n">
        <v>0</v>
      </c>
      <c r="Q272" s="40" t="n">
        <v>0</v>
      </c>
      <c r="R272" s="41" t="inlineStr">
        <is>
          <t>Unclassified</t>
        </is>
      </c>
      <c r="S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0</v>
      </c>
      <c r="I273" s="36" t="n">
        <v>0</v>
      </c>
      <c r="J273" s="36" t="n">
        <v>-0.3</v>
      </c>
      <c r="K273" s="36" t="n">
        <v>0</v>
      </c>
      <c r="L273" s="36" t="n">
        <v>0</v>
      </c>
      <c r="M273" s="36" t="n">
        <v>0</v>
      </c>
      <c r="N273" s="37" t="n">
        <v>0.3</v>
      </c>
      <c r="O273" s="38" t="inlineStr">
        <is>
          <t> </t>
        </is>
      </c>
      <c r="P273" s="39" t="n">
        <v>0</v>
      </c>
      <c r="Q273" s="40" t="n">
        <v>0</v>
      </c>
      <c r="R273" s="41" t="inlineStr">
        <is>
          <t>Unclassified</t>
        </is>
      </c>
      <c r="S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0</v>
      </c>
      <c r="F274" s="36" t="n">
        <v>-0.6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7" t="n">
        <v>0.6</v>
      </c>
      <c r="O274" s="38" t="inlineStr">
        <is>
          <t> </t>
        </is>
      </c>
      <c r="P274" s="39" t="n">
        <v>0</v>
      </c>
      <c r="Q274" s="40" t="n">
        <v>0</v>
      </c>
      <c r="R274" s="41" t="inlineStr">
        <is>
          <t>Unclassified</t>
        </is>
      </c>
      <c r="S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3</v>
      </c>
      <c r="F275" s="36" t="n">
        <v>-2.4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6" t="n">
        <v>3</v>
      </c>
      <c r="M275" s="36" t="n">
        <v>3</v>
      </c>
      <c r="N275" s="37" t="n">
        <v>2.4</v>
      </c>
      <c r="O275" s="38" t="inlineStr">
        <is>
          <t> </t>
        </is>
      </c>
      <c r="P275" s="39" t="n">
        <v>7</v>
      </c>
      <c r="Q275" s="40" t="n">
        <v>16.8</v>
      </c>
      <c r="R275" s="41" t="inlineStr">
        <is>
          <t>Generic Drug</t>
        </is>
      </c>
      <c r="S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0</v>
      </c>
      <c r="I276" s="36" t="n">
        <v>0</v>
      </c>
      <c r="J276" s="36" t="n">
        <v>-0.18</v>
      </c>
      <c r="K276" s="36" t="n">
        <v>0</v>
      </c>
      <c r="L276" s="36" t="n">
        <v>0</v>
      </c>
      <c r="M276" s="36" t="n">
        <v>0</v>
      </c>
      <c r="N276" s="37" t="n">
        <v>0.18</v>
      </c>
      <c r="O276" s="38" t="inlineStr">
        <is>
          <t> </t>
        </is>
      </c>
      <c r="P276" s="39" t="n">
        <v>0</v>
      </c>
      <c r="Q276" s="40" t="n">
        <v>0</v>
      </c>
      <c r="R276" s="41" t="inlineStr">
        <is>
          <t>Unclassified</t>
        </is>
      </c>
      <c r="S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0</v>
      </c>
      <c r="F277" s="36" t="n">
        <v>-0.27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7" t="n">
        <v>0.27</v>
      </c>
      <c r="O277" s="38" t="inlineStr">
        <is>
          <t> </t>
        </is>
      </c>
      <c r="P277" s="39" t="n">
        <v>0</v>
      </c>
      <c r="Q277" s="40" t="n">
        <v>0</v>
      </c>
      <c r="R277" s="41" t="inlineStr">
        <is>
          <t>Unclassified</t>
        </is>
      </c>
      <c r="S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0</v>
      </c>
      <c r="F278" s="36" t="n">
        <v>-0.9</v>
      </c>
      <c r="G278" s="36" t="n">
        <v>0</v>
      </c>
      <c r="H278" s="36" t="n">
        <v>0</v>
      </c>
      <c r="I278" s="36" t="n">
        <v>0</v>
      </c>
      <c r="J278" s="36" t="n">
        <v>-0.9</v>
      </c>
      <c r="K278" s="36" t="n">
        <v>0</v>
      </c>
      <c r="L278" s="36" t="n">
        <v>0</v>
      </c>
      <c r="M278" s="36" t="n">
        <v>0</v>
      </c>
      <c r="N278" s="37" t="n">
        <v>0.9</v>
      </c>
      <c r="O278" s="38" t="inlineStr">
        <is>
          <t> </t>
        </is>
      </c>
      <c r="P278" s="39" t="n">
        <v>0</v>
      </c>
      <c r="Q278" s="40" t="n">
        <v>0</v>
      </c>
      <c r="R278" s="41" t="inlineStr">
        <is>
          <t>Unclassified</t>
        </is>
      </c>
      <c r="S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0</v>
      </c>
      <c r="F279" s="36" t="n">
        <v>-0.87</v>
      </c>
      <c r="G279" s="36" t="n">
        <v>-0.09</v>
      </c>
      <c r="H279" s="36" t="n">
        <v>0</v>
      </c>
      <c r="I279" s="36" t="n">
        <v>-0.18</v>
      </c>
      <c r="J279" s="36" t="n">
        <v>-0.12</v>
      </c>
      <c r="K279" s="36" t="n">
        <v>-0.09</v>
      </c>
      <c r="L279" s="36" t="n">
        <v>0</v>
      </c>
      <c r="M279" s="36" t="n">
        <v>0</v>
      </c>
      <c r="N279" s="37" t="n">
        <v>0.87</v>
      </c>
      <c r="O279" s="38" t="inlineStr">
        <is>
          <t> </t>
        </is>
      </c>
      <c r="P279" s="39" t="n">
        <v>0</v>
      </c>
      <c r="Q279" s="40" t="n">
        <v>0</v>
      </c>
      <c r="R279" s="41" t="inlineStr">
        <is>
          <t>Unclassified</t>
        </is>
      </c>
      <c r="S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0</v>
      </c>
      <c r="I280" s="36" t="n">
        <v>0</v>
      </c>
      <c r="J280" s="36" t="n">
        <v>-0.32</v>
      </c>
      <c r="K280" s="36" t="n">
        <v>0</v>
      </c>
      <c r="L280" s="36" t="n">
        <v>0</v>
      </c>
      <c r="M280" s="36" t="n">
        <v>0</v>
      </c>
      <c r="N280" s="37" t="n">
        <v>0.32</v>
      </c>
      <c r="O280" s="38" t="inlineStr">
        <is>
          <t> </t>
        </is>
      </c>
      <c r="P280" s="39" t="n">
        <v>0</v>
      </c>
      <c r="Q280" s="40" t="n">
        <v>0</v>
      </c>
      <c r="R280" s="41" t="inlineStr">
        <is>
          <t>Unclassified</t>
        </is>
      </c>
      <c r="S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0</v>
      </c>
      <c r="I281" s="36" t="n">
        <v>0</v>
      </c>
      <c r="J281" s="36" t="n">
        <v>-2</v>
      </c>
      <c r="K281" s="36" t="n">
        <v>0</v>
      </c>
      <c r="L281" s="36" t="n">
        <v>0</v>
      </c>
      <c r="M281" s="36" t="n">
        <v>0</v>
      </c>
      <c r="N281" s="37" t="n">
        <v>2</v>
      </c>
      <c r="O281" s="38" t="inlineStr">
        <is>
          <t> </t>
        </is>
      </c>
      <c r="P281" s="39" t="n">
        <v>0</v>
      </c>
      <c r="Q281" s="40" t="n">
        <v>0</v>
      </c>
      <c r="R281" s="41" t="inlineStr">
        <is>
          <t>Unclassified</t>
        </is>
      </c>
      <c r="S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0</v>
      </c>
      <c r="I282" s="36" t="n">
        <v>0</v>
      </c>
      <c r="J282" s="36" t="n">
        <v>-1</v>
      </c>
      <c r="K282" s="36" t="n">
        <v>0</v>
      </c>
      <c r="L282" s="36" t="n">
        <v>0</v>
      </c>
      <c r="M282" s="36" t="n">
        <v>0</v>
      </c>
      <c r="N282" s="37" t="n">
        <v>1</v>
      </c>
      <c r="O282" s="38" t="inlineStr">
        <is>
          <t> </t>
        </is>
      </c>
      <c r="P282" s="39" t="n">
        <v>0</v>
      </c>
      <c r="Q282" s="40" t="n">
        <v>0</v>
      </c>
      <c r="R282" s="41" t="inlineStr">
        <is>
          <t>Unclassified</t>
        </is>
      </c>
      <c r="S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0</v>
      </c>
      <c r="F283" s="36" t="n">
        <v>-3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7" t="n">
        <v>3</v>
      </c>
      <c r="O283" s="38" t="inlineStr">
        <is>
          <t> </t>
        </is>
      </c>
      <c r="P283" s="39" t="n">
        <v>0</v>
      </c>
      <c r="Q283" s="40" t="n">
        <v>0</v>
      </c>
      <c r="R283" s="41" t="inlineStr">
        <is>
          <t>Unclassified</t>
        </is>
      </c>
      <c r="S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0</v>
      </c>
      <c r="F284" s="36" t="n">
        <v>-1</v>
      </c>
      <c r="G284" s="36" t="n">
        <v>0</v>
      </c>
      <c r="H284" s="36" t="n">
        <v>0</v>
      </c>
      <c r="I284" s="36" t="n">
        <v>0</v>
      </c>
      <c r="J284" s="36" t="n">
        <v>-2</v>
      </c>
      <c r="K284" s="36" t="n">
        <v>0</v>
      </c>
      <c r="L284" s="36" t="n">
        <v>0</v>
      </c>
      <c r="M284" s="36" t="n">
        <v>0</v>
      </c>
      <c r="N284" s="37" t="n">
        <v>2</v>
      </c>
      <c r="O284" s="38" t="inlineStr">
        <is>
          <t> </t>
        </is>
      </c>
      <c r="P284" s="39" t="n">
        <v>0</v>
      </c>
      <c r="Q284" s="40" t="n">
        <v>0</v>
      </c>
      <c r="R284" s="41" t="inlineStr">
        <is>
          <t>Unclassified</t>
        </is>
      </c>
      <c r="S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-1</v>
      </c>
      <c r="K285" s="36" t="n">
        <v>0</v>
      </c>
      <c r="L285" s="36" t="n">
        <v>0</v>
      </c>
      <c r="M285" s="36" t="n">
        <v>0</v>
      </c>
      <c r="N285" s="37" t="n">
        <v>1</v>
      </c>
      <c r="O285" s="38" t="inlineStr">
        <is>
          <t> </t>
        </is>
      </c>
      <c r="P285" s="39" t="n">
        <v>0</v>
      </c>
      <c r="Q285" s="40" t="n">
        <v>0</v>
      </c>
      <c r="R285" s="41" t="inlineStr">
        <is>
          <t>Unclassified</t>
        </is>
      </c>
      <c r="S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0</v>
      </c>
      <c r="F286" s="36" t="n">
        <v>-0.06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7" t="n">
        <v>0.06</v>
      </c>
      <c r="O286" s="38" t="inlineStr">
        <is>
          <t> </t>
        </is>
      </c>
      <c r="P286" s="39" t="n">
        <v>0</v>
      </c>
      <c r="Q286" s="40" t="n">
        <v>0</v>
      </c>
      <c r="R286" s="41" t="inlineStr">
        <is>
          <t>Unclassified</t>
        </is>
      </c>
      <c r="S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0</v>
      </c>
      <c r="F287" s="36" t="n">
        <v>-0.9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7" t="n">
        <v>0.9</v>
      </c>
      <c r="O287" s="38" t="inlineStr">
        <is>
          <t> </t>
        </is>
      </c>
      <c r="P287" s="39" t="n">
        <v>0</v>
      </c>
      <c r="Q287" s="40" t="n">
        <v>0</v>
      </c>
      <c r="R287" s="41" t="inlineStr">
        <is>
          <t>Unclassified</t>
        </is>
      </c>
      <c r="S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-0.06</v>
      </c>
      <c r="K288" s="36" t="n">
        <v>0</v>
      </c>
      <c r="L288" s="36" t="n">
        <v>0</v>
      </c>
      <c r="M288" s="36" t="n">
        <v>0</v>
      </c>
      <c r="N288" s="37" t="n">
        <v>0.06</v>
      </c>
      <c r="O288" s="38" t="inlineStr">
        <is>
          <t> </t>
        </is>
      </c>
      <c r="P288" s="39" t="n">
        <v>0</v>
      </c>
      <c r="Q288" s="40" t="n">
        <v>0</v>
      </c>
      <c r="R288" s="41" t="inlineStr">
        <is>
          <t>Unclassified</t>
        </is>
      </c>
      <c r="S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0</v>
      </c>
      <c r="F289" s="36" t="n">
        <v>-0.07000000000000001</v>
      </c>
      <c r="G289" s="36" t="n">
        <v>-0.15</v>
      </c>
      <c r="H289" s="36" t="n">
        <v>0</v>
      </c>
      <c r="I289" s="36" t="n">
        <v>0</v>
      </c>
      <c r="J289" s="36" t="n">
        <v>-0.12</v>
      </c>
      <c r="K289" s="36" t="n">
        <v>-0.03</v>
      </c>
      <c r="L289" s="36" t="n">
        <v>0</v>
      </c>
      <c r="M289" s="36" t="n">
        <v>0</v>
      </c>
      <c r="N289" s="37" t="n">
        <v>0.15</v>
      </c>
      <c r="O289" s="38" t="inlineStr">
        <is>
          <t> </t>
        </is>
      </c>
      <c r="P289" s="39" t="n">
        <v>0</v>
      </c>
      <c r="Q289" s="40" t="n">
        <v>0</v>
      </c>
      <c r="R289" s="41" t="inlineStr">
        <is>
          <t>Unclassified</t>
        </is>
      </c>
      <c r="S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-0.09</v>
      </c>
      <c r="K290" s="36" t="n">
        <v>0</v>
      </c>
      <c r="L290" s="36" t="n">
        <v>0</v>
      </c>
      <c r="M290" s="36" t="n">
        <v>0</v>
      </c>
      <c r="N290" s="37" t="n">
        <v>0.09</v>
      </c>
      <c r="O290" s="38" t="inlineStr">
        <is>
          <t> </t>
        </is>
      </c>
      <c r="P290" s="39" t="n">
        <v>0</v>
      </c>
      <c r="Q290" s="40" t="n">
        <v>0</v>
      </c>
      <c r="R290" s="41" t="inlineStr">
        <is>
          <t>Unclassified</t>
        </is>
      </c>
      <c r="S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0</v>
      </c>
      <c r="F291" s="36" t="n">
        <v>-0.4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7" t="n">
        <v>0.4</v>
      </c>
      <c r="O291" s="38" t="inlineStr">
        <is>
          <t> </t>
        </is>
      </c>
      <c r="P291" s="39" t="n">
        <v>0</v>
      </c>
      <c r="Q291" s="40" t="n">
        <v>0</v>
      </c>
      <c r="R291" s="41" t="inlineStr">
        <is>
          <t>Unclassified</t>
        </is>
      </c>
      <c r="S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0</v>
      </c>
      <c r="F292" s="36" t="n">
        <v>-3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6" t="n">
        <v>0</v>
      </c>
      <c r="M292" s="36" t="n">
        <v>0</v>
      </c>
      <c r="N292" s="37" t="n">
        <v>3</v>
      </c>
      <c r="O292" s="38" t="inlineStr">
        <is>
          <t> </t>
        </is>
      </c>
      <c r="P292" s="39" t="n">
        <v>0</v>
      </c>
      <c r="Q292" s="40" t="n">
        <v>0</v>
      </c>
      <c r="R292" s="41" t="inlineStr">
        <is>
          <t>Unclassified</t>
        </is>
      </c>
      <c r="S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-1</v>
      </c>
      <c r="K293" s="36" t="n">
        <v>0</v>
      </c>
      <c r="L293" s="36" t="n">
        <v>0</v>
      </c>
      <c r="M293" s="36" t="n">
        <v>0</v>
      </c>
      <c r="N293" s="37" t="n">
        <v>1</v>
      </c>
      <c r="O293" s="38" t="inlineStr">
        <is>
          <t> </t>
        </is>
      </c>
      <c r="P293" s="39" t="n">
        <v>0</v>
      </c>
      <c r="Q293" s="40" t="n">
        <v>0</v>
      </c>
      <c r="R293" s="41" t="inlineStr">
        <is>
          <t>Unclassified</t>
        </is>
      </c>
      <c r="S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0</v>
      </c>
      <c r="F294" s="36" t="n">
        <v>-0.66</v>
      </c>
      <c r="G294" s="36" t="n">
        <v>-0.06</v>
      </c>
      <c r="H294" s="36" t="n">
        <v>0</v>
      </c>
      <c r="I294" s="36" t="n">
        <v>0</v>
      </c>
      <c r="J294" s="36" t="n">
        <v>-0.36</v>
      </c>
      <c r="K294" s="36" t="n">
        <v>0</v>
      </c>
      <c r="L294" s="36" t="n">
        <v>0</v>
      </c>
      <c r="M294" s="36" t="n">
        <v>0</v>
      </c>
      <c r="N294" s="37" t="n">
        <v>0.66</v>
      </c>
      <c r="O294" s="38" t="inlineStr">
        <is>
          <t> </t>
        </is>
      </c>
      <c r="P294" s="39" t="n">
        <v>0</v>
      </c>
      <c r="Q294" s="40" t="n">
        <v>0</v>
      </c>
      <c r="R294" s="41" t="inlineStr">
        <is>
          <t>Unclassified</t>
        </is>
      </c>
      <c r="S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0</v>
      </c>
      <c r="F295" s="36" t="n">
        <v>-0.06</v>
      </c>
      <c r="G295" s="36" t="n">
        <v>0</v>
      </c>
      <c r="H295" s="36" t="n">
        <v>0</v>
      </c>
      <c r="I295" s="36" t="n">
        <v>0</v>
      </c>
      <c r="J295" s="36" t="n">
        <v>-0.08</v>
      </c>
      <c r="K295" s="36" t="n">
        <v>0</v>
      </c>
      <c r="L295" s="36" t="n">
        <v>0</v>
      </c>
      <c r="M295" s="36" t="n">
        <v>0</v>
      </c>
      <c r="N295" s="37" t="n">
        <v>0.08</v>
      </c>
      <c r="O295" s="38" t="inlineStr">
        <is>
          <t> </t>
        </is>
      </c>
      <c r="P295" s="39" t="n">
        <v>0</v>
      </c>
      <c r="Q295" s="40" t="n">
        <v>0</v>
      </c>
      <c r="R295" s="41" t="inlineStr">
        <is>
          <t>Unclassified</t>
        </is>
      </c>
      <c r="S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0</v>
      </c>
      <c r="H296" s="36" t="n">
        <v>0</v>
      </c>
      <c r="I296" s="36" t="n">
        <v>-3</v>
      </c>
      <c r="J296" s="36" t="n">
        <v>0</v>
      </c>
      <c r="K296" s="36" t="n">
        <v>0</v>
      </c>
      <c r="L296" s="36" t="n">
        <v>0</v>
      </c>
      <c r="M296" s="36" t="n">
        <v>0</v>
      </c>
      <c r="N296" s="37" t="n">
        <v>3</v>
      </c>
      <c r="O296" s="38" t="inlineStr">
        <is>
          <t> </t>
        </is>
      </c>
      <c r="P296" s="39" t="n">
        <v>0</v>
      </c>
      <c r="Q296" s="40" t="n">
        <v>0</v>
      </c>
      <c r="R296" s="41" t="inlineStr">
        <is>
          <t>Unclassified</t>
        </is>
      </c>
      <c r="S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0</v>
      </c>
      <c r="F297" s="36" t="n">
        <v>-1</v>
      </c>
      <c r="G297" s="36" t="n">
        <v>-1</v>
      </c>
      <c r="H297" s="36" t="n">
        <v>0</v>
      </c>
      <c r="I297" s="36" t="n">
        <v>0</v>
      </c>
      <c r="J297" s="36" t="n">
        <v>-3</v>
      </c>
      <c r="K297" s="36" t="n">
        <v>0</v>
      </c>
      <c r="L297" s="36" t="n">
        <v>0</v>
      </c>
      <c r="M297" s="36" t="n">
        <v>0</v>
      </c>
      <c r="N297" s="37" t="n">
        <v>3</v>
      </c>
      <c r="O297" s="38" t="inlineStr">
        <is>
          <t> </t>
        </is>
      </c>
      <c r="P297" s="39" t="n">
        <v>0</v>
      </c>
      <c r="Q297" s="40" t="n">
        <v>0</v>
      </c>
      <c r="R297" s="41" t="inlineStr">
        <is>
          <t>Unclassified</t>
        </is>
      </c>
      <c r="S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0</v>
      </c>
      <c r="F298" s="36" t="n">
        <v>-1.2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6" t="n">
        <v>0</v>
      </c>
      <c r="M298" s="36" t="n">
        <v>0</v>
      </c>
      <c r="N298" s="37" t="n">
        <v>1.2</v>
      </c>
      <c r="O298" s="38" t="inlineStr">
        <is>
          <t> </t>
        </is>
      </c>
      <c r="P298" s="39" t="n">
        <v>0</v>
      </c>
      <c r="Q298" s="40" t="n">
        <v>0</v>
      </c>
      <c r="R298" s="41" t="inlineStr">
        <is>
          <t>Unclassified</t>
        </is>
      </c>
      <c r="S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0</v>
      </c>
      <c r="F299" s="36" t="n">
        <v>-1.2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7" t="n">
        <v>1.2</v>
      </c>
      <c r="O299" s="38" t="inlineStr">
        <is>
          <t> </t>
        </is>
      </c>
      <c r="P299" s="39" t="n">
        <v>0</v>
      </c>
      <c r="Q299" s="40" t="n">
        <v>0</v>
      </c>
      <c r="R299" s="41" t="inlineStr">
        <is>
          <t>Unclassified</t>
        </is>
      </c>
      <c r="S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1</v>
      </c>
      <c r="F300" s="36" t="n">
        <v>0</v>
      </c>
      <c r="G300" s="36" t="n">
        <v>0.6</v>
      </c>
      <c r="H300" s="36" t="n">
        <v>1</v>
      </c>
      <c r="I300" s="36" t="n">
        <v>1</v>
      </c>
      <c r="J300" s="36" t="n">
        <v>-0.8</v>
      </c>
      <c r="K300" s="36" t="n">
        <v>1</v>
      </c>
      <c r="L300" s="36" t="n">
        <v>1</v>
      </c>
      <c r="M300" s="36" t="n">
        <v>1</v>
      </c>
      <c r="N300" s="37" t="n">
        <v>0.8</v>
      </c>
      <c r="O300" s="38" t="inlineStr">
        <is>
          <t> </t>
        </is>
      </c>
      <c r="P300" s="39" t="n">
        <v>89</v>
      </c>
      <c r="Q300" s="40" t="n">
        <v>71.2</v>
      </c>
      <c r="R300" s="41" t="inlineStr">
        <is>
          <t>Branded Drug</t>
        </is>
      </c>
      <c r="S300" s="41" t="n"/>
    </row>
    <row r="301" ht="20" customHeight="1">
      <c r="A301" s="34" t="inlineStr">
        <is>
          <t>76204010030</t>
        </is>
      </c>
      <c r="B301" s="35" t="inlineStr">
        <is>
          <t>IPRATROPIUM BROMIDE 0.02 % INHALATION SOLUTION</t>
        </is>
      </c>
      <c r="C301" s="34" t="n">
        <v>75</v>
      </c>
      <c r="D301" s="36" t="n">
        <v>0</v>
      </c>
      <c r="E301" s="36" t="n">
        <v>0</v>
      </c>
      <c r="F301" s="36" t="n">
        <v>-4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7" t="n">
        <v>4</v>
      </c>
      <c r="O301" s="38" t="inlineStr">
        <is>
          <t> </t>
        </is>
      </c>
      <c r="P301" s="39" t="n">
        <v>0</v>
      </c>
      <c r="Q301" s="40" t="n">
        <v>0</v>
      </c>
      <c r="R301" s="41" t="inlineStr">
        <is>
          <t>Unclassified</t>
        </is>
      </c>
      <c r="S301" s="41" t="n"/>
    </row>
    <row r="302" ht="20" customHeight="1">
      <c r="A302" s="34" t="inlineStr">
        <is>
          <t>00378797052</t>
        </is>
      </c>
      <c r="B302" s="35" t="inlineStr">
        <is>
          <t>IPRATROPIUM BROMIDE 0.02 % INHALATION SOLUTION</t>
        </is>
      </c>
      <c r="C302" s="34" t="n">
        <v>62.5</v>
      </c>
      <c r="D302" s="36" t="n">
        <v>0</v>
      </c>
      <c r="E302" s="36" t="n">
        <v>0</v>
      </c>
      <c r="F302" s="36" t="n">
        <v>-2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7" t="n">
        <v>2</v>
      </c>
      <c r="O302" s="38" t="inlineStr">
        <is>
          <t> </t>
        </is>
      </c>
      <c r="P302" s="39" t="n">
        <v>0</v>
      </c>
      <c r="Q302" s="40" t="n">
        <v>0</v>
      </c>
      <c r="R302" s="41" t="inlineStr">
        <is>
          <t>Unclassified</t>
        </is>
      </c>
      <c r="S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0</v>
      </c>
      <c r="F303" s="36" t="n">
        <v>-1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7" t="n">
        <v>1</v>
      </c>
      <c r="O303" s="38" t="inlineStr">
        <is>
          <t> </t>
        </is>
      </c>
      <c r="P303" s="39" t="n">
        <v>0</v>
      </c>
      <c r="Q303" s="40" t="n">
        <v>0</v>
      </c>
      <c r="R303" s="41" t="inlineStr">
        <is>
          <t>Unclassified</t>
        </is>
      </c>
      <c r="S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0</v>
      </c>
      <c r="F304" s="36" t="n">
        <v>-6</v>
      </c>
      <c r="G304" s="36" t="n">
        <v>0</v>
      </c>
      <c r="H304" s="36" t="n">
        <v>0</v>
      </c>
      <c r="I304" s="36" t="n">
        <v>0</v>
      </c>
      <c r="J304" s="36" t="n">
        <v>-1</v>
      </c>
      <c r="K304" s="36" t="n">
        <v>0</v>
      </c>
      <c r="L304" s="36" t="n">
        <v>0</v>
      </c>
      <c r="M304" s="36" t="n">
        <v>0</v>
      </c>
      <c r="N304" s="37" t="n">
        <v>6</v>
      </c>
      <c r="O304" s="38" t="inlineStr">
        <is>
          <t> </t>
        </is>
      </c>
      <c r="P304" s="39" t="n">
        <v>0</v>
      </c>
      <c r="Q304" s="40" t="n">
        <v>0</v>
      </c>
      <c r="R304" s="41" t="inlineStr">
        <is>
          <t>Unclassified</t>
        </is>
      </c>
      <c r="S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0</v>
      </c>
      <c r="F305" s="36" t="n">
        <v>-2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7" t="n">
        <v>2</v>
      </c>
      <c r="O305" s="38" t="inlineStr">
        <is>
          <t> </t>
        </is>
      </c>
      <c r="P305" s="39" t="n">
        <v>0</v>
      </c>
      <c r="Q305" s="40" t="n">
        <v>0</v>
      </c>
      <c r="R305" s="41" t="inlineStr">
        <is>
          <t>Unclassified</t>
        </is>
      </c>
      <c r="S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0</v>
      </c>
      <c r="I306" s="36" t="n">
        <v>0</v>
      </c>
      <c r="J306" s="36" t="n">
        <v>-0.9</v>
      </c>
      <c r="K306" s="36" t="n">
        <v>0</v>
      </c>
      <c r="L306" s="36" t="n">
        <v>0</v>
      </c>
      <c r="M306" s="36" t="n">
        <v>0</v>
      </c>
      <c r="N306" s="37" t="n">
        <v>0.9</v>
      </c>
      <c r="O306" s="38" t="inlineStr">
        <is>
          <t> </t>
        </is>
      </c>
      <c r="P306" s="39" t="n">
        <v>0</v>
      </c>
      <c r="Q306" s="40" t="n">
        <v>0</v>
      </c>
      <c r="R306" s="41" t="inlineStr">
        <is>
          <t>Unclassified</t>
        </is>
      </c>
      <c r="S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0</v>
      </c>
      <c r="F307" s="36" t="n">
        <v>-0.09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7" t="n">
        <v>0.09</v>
      </c>
      <c r="O307" s="38" t="inlineStr">
        <is>
          <t> </t>
        </is>
      </c>
      <c r="P307" s="39" t="n">
        <v>0</v>
      </c>
      <c r="Q307" s="40" t="n">
        <v>0</v>
      </c>
      <c r="R307" s="41" t="inlineStr">
        <is>
          <t>Unclassified</t>
        </is>
      </c>
      <c r="S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0</v>
      </c>
      <c r="F308" s="36" t="n">
        <v>-0.06</v>
      </c>
      <c r="G308" s="36" t="n">
        <v>-0.06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0</v>
      </c>
      <c r="M308" s="36" t="n">
        <v>0</v>
      </c>
      <c r="N308" s="37" t="n">
        <v>0.06</v>
      </c>
      <c r="O308" s="38" t="inlineStr">
        <is>
          <t> </t>
        </is>
      </c>
      <c r="P308" s="39" t="n">
        <v>0</v>
      </c>
      <c r="Q308" s="40" t="n">
        <v>0</v>
      </c>
      <c r="R308" s="41" t="inlineStr">
        <is>
          <t>Unclassified</t>
        </is>
      </c>
      <c r="S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-0.06</v>
      </c>
      <c r="L309" s="36" t="n">
        <v>0</v>
      </c>
      <c r="M309" s="36" t="n">
        <v>0</v>
      </c>
      <c r="N309" s="37" t="n">
        <v>0.06</v>
      </c>
      <c r="O309" s="38" t="inlineStr">
        <is>
          <t> </t>
        </is>
      </c>
      <c r="P309" s="39" t="n">
        <v>0</v>
      </c>
      <c r="Q309" s="40" t="n">
        <v>0</v>
      </c>
      <c r="R309" s="41" t="inlineStr">
        <is>
          <t>Unclassified</t>
        </is>
      </c>
      <c r="S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0</v>
      </c>
      <c r="G310" s="36" t="n">
        <v>-1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7" t="n">
        <v>1</v>
      </c>
      <c r="O310" s="38" t="inlineStr">
        <is>
          <t> </t>
        </is>
      </c>
      <c r="P310" s="39" t="n">
        <v>0</v>
      </c>
      <c r="Q310" s="40" t="n">
        <v>0</v>
      </c>
      <c r="R310" s="41" t="inlineStr">
        <is>
          <t>Unclassified</t>
        </is>
      </c>
      <c r="S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1</v>
      </c>
      <c r="F311" s="36" t="n">
        <v>-1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6" t="n">
        <v>1</v>
      </c>
      <c r="M311" s="36" t="n">
        <v>1</v>
      </c>
      <c r="N311" s="37" t="n">
        <v>1</v>
      </c>
      <c r="O311" s="38" t="inlineStr">
        <is>
          <t> </t>
        </is>
      </c>
      <c r="P311" s="39" t="n">
        <v>308</v>
      </c>
      <c r="Q311" s="40" t="n">
        <v>308</v>
      </c>
      <c r="R311" s="41" t="inlineStr">
        <is>
          <t>Branded Drug</t>
        </is>
      </c>
      <c r="S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0</v>
      </c>
      <c r="F312" s="36" t="n">
        <v>-6</v>
      </c>
      <c r="G312" s="36" t="n">
        <v>0</v>
      </c>
      <c r="H312" s="36" t="n">
        <v>0</v>
      </c>
      <c r="I312" s="36" t="n">
        <v>-1</v>
      </c>
      <c r="J312" s="36" t="n">
        <v>0</v>
      </c>
      <c r="K312" s="36" t="n">
        <v>0</v>
      </c>
      <c r="L312" s="36" t="n">
        <v>0</v>
      </c>
      <c r="M312" s="36" t="n">
        <v>0</v>
      </c>
      <c r="N312" s="37" t="n">
        <v>6</v>
      </c>
      <c r="O312" s="38" t="inlineStr">
        <is>
          <t> </t>
        </is>
      </c>
      <c r="P312" s="39" t="n">
        <v>0</v>
      </c>
      <c r="Q312" s="40" t="n">
        <v>0</v>
      </c>
      <c r="R312" s="41" t="inlineStr">
        <is>
          <t>Unclassified</t>
        </is>
      </c>
      <c r="S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0</v>
      </c>
      <c r="F313" s="36" t="n">
        <v>-3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7" t="n">
        <v>3</v>
      </c>
      <c r="O313" s="38" t="inlineStr">
        <is>
          <t> </t>
        </is>
      </c>
      <c r="P313" s="39" t="n">
        <v>0</v>
      </c>
      <c r="Q313" s="40" t="n">
        <v>0</v>
      </c>
      <c r="R313" s="41" t="inlineStr">
        <is>
          <t>Unclassified</t>
        </is>
      </c>
      <c r="S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0</v>
      </c>
      <c r="G314" s="36" t="n">
        <v>-1</v>
      </c>
      <c r="H314" s="36" t="n">
        <v>0</v>
      </c>
      <c r="I314" s="36" t="n">
        <v>0</v>
      </c>
      <c r="J314" s="36" t="n">
        <v>0</v>
      </c>
      <c r="K314" s="36" t="n">
        <v>0</v>
      </c>
      <c r="L314" s="36" t="n">
        <v>0</v>
      </c>
      <c r="M314" s="36" t="n">
        <v>0</v>
      </c>
      <c r="N314" s="37" t="n">
        <v>1</v>
      </c>
      <c r="O314" s="38" t="inlineStr">
        <is>
          <t> </t>
        </is>
      </c>
      <c r="P314" s="39" t="n">
        <v>0</v>
      </c>
      <c r="Q314" s="40" t="n">
        <v>0</v>
      </c>
      <c r="R314" s="41" t="inlineStr">
        <is>
          <t>Unclassified</t>
        </is>
      </c>
      <c r="S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0</v>
      </c>
      <c r="F315" s="36" t="n">
        <v>-1</v>
      </c>
      <c r="G315" s="36" t="n">
        <v>0</v>
      </c>
      <c r="H315" s="36" t="n">
        <v>0</v>
      </c>
      <c r="I315" s="36" t="n">
        <v>0</v>
      </c>
      <c r="J315" s="36" t="n">
        <v>-1</v>
      </c>
      <c r="K315" s="36" t="n">
        <v>0</v>
      </c>
      <c r="L315" s="36" t="n">
        <v>0</v>
      </c>
      <c r="M315" s="36" t="n">
        <v>0</v>
      </c>
      <c r="N315" s="37" t="n">
        <v>1</v>
      </c>
      <c r="O315" s="38" t="inlineStr">
        <is>
          <t> </t>
        </is>
      </c>
      <c r="P315" s="39" t="n">
        <v>0</v>
      </c>
      <c r="Q315" s="40" t="n">
        <v>0</v>
      </c>
      <c r="R315" s="41" t="inlineStr">
        <is>
          <t>Unclassified</t>
        </is>
      </c>
      <c r="S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-0.5</v>
      </c>
      <c r="K316" s="36" t="n">
        <v>0</v>
      </c>
      <c r="L316" s="36" t="n">
        <v>0</v>
      </c>
      <c r="M316" s="36" t="n">
        <v>0</v>
      </c>
      <c r="N316" s="37" t="n">
        <v>0.5</v>
      </c>
      <c r="O316" s="38" t="inlineStr">
        <is>
          <t> </t>
        </is>
      </c>
      <c r="P316" s="39" t="n">
        <v>0</v>
      </c>
      <c r="Q316" s="40" t="n">
        <v>0</v>
      </c>
      <c r="R316" s="41" t="inlineStr">
        <is>
          <t>Unclassified</t>
        </is>
      </c>
      <c r="S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3</v>
      </c>
      <c r="F317" s="36" t="n">
        <v>-1</v>
      </c>
      <c r="G317" s="36" t="n">
        <v>3</v>
      </c>
      <c r="H317" s="36" t="n">
        <v>3</v>
      </c>
      <c r="I317" s="36" t="n">
        <v>3</v>
      </c>
      <c r="J317" s="36" t="n">
        <v>-3</v>
      </c>
      <c r="K317" s="36" t="n">
        <v>3</v>
      </c>
      <c r="L317" s="36" t="n">
        <v>3</v>
      </c>
      <c r="M317" s="36" t="n">
        <v>3</v>
      </c>
      <c r="N317" s="37" t="n">
        <v>3</v>
      </c>
      <c r="O317" s="38" t="inlineStr">
        <is>
          <t> </t>
        </is>
      </c>
      <c r="P317" s="39" t="n">
        <v>23</v>
      </c>
      <c r="Q317" s="40" t="n">
        <v>69</v>
      </c>
      <c r="R317" s="41" t="inlineStr">
        <is>
          <t>Generic Drug</t>
        </is>
      </c>
      <c r="S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0</v>
      </c>
      <c r="I318" s="36" t="n">
        <v>0</v>
      </c>
      <c r="J318" s="36" t="n">
        <v>-3</v>
      </c>
      <c r="K318" s="36" t="n">
        <v>0</v>
      </c>
      <c r="L318" s="36" t="n">
        <v>0</v>
      </c>
      <c r="M318" s="36" t="n">
        <v>0</v>
      </c>
      <c r="N318" s="37" t="n">
        <v>3</v>
      </c>
      <c r="O318" s="38" t="inlineStr">
        <is>
          <t> </t>
        </is>
      </c>
      <c r="P318" s="39" t="n">
        <v>0</v>
      </c>
      <c r="Q318" s="40" t="n">
        <v>0</v>
      </c>
      <c r="R318" s="41" t="inlineStr">
        <is>
          <t>Unclassified</t>
        </is>
      </c>
      <c r="S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6</v>
      </c>
      <c r="F319" s="36" t="n">
        <v>-4</v>
      </c>
      <c r="G319" s="36" t="n">
        <v>3</v>
      </c>
      <c r="H319" s="36" t="n">
        <v>6</v>
      </c>
      <c r="I319" s="36" t="n">
        <v>6</v>
      </c>
      <c r="J319" s="36" t="n">
        <v>1</v>
      </c>
      <c r="K319" s="36" t="n">
        <v>5</v>
      </c>
      <c r="L319" s="36" t="n">
        <v>6</v>
      </c>
      <c r="M319" s="36" t="n">
        <v>6</v>
      </c>
      <c r="N319" s="37" t="n">
        <v>4</v>
      </c>
      <c r="O319" s="38" t="inlineStr">
        <is>
          <t> </t>
        </is>
      </c>
      <c r="P319" s="39" t="n">
        <v>7</v>
      </c>
      <c r="Q319" s="40" t="n">
        <v>28</v>
      </c>
      <c r="R319" s="41" t="inlineStr">
        <is>
          <t>Generic Drug</t>
        </is>
      </c>
      <c r="S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0</v>
      </c>
      <c r="F320" s="36" t="n">
        <v>-1</v>
      </c>
      <c r="G320" s="36" t="n">
        <v>-1</v>
      </c>
      <c r="H320" s="36" t="n">
        <v>0</v>
      </c>
      <c r="I320" s="36" t="n">
        <v>0</v>
      </c>
      <c r="J320" s="36" t="n">
        <v>-3</v>
      </c>
      <c r="K320" s="36" t="n">
        <v>0</v>
      </c>
      <c r="L320" s="36" t="n">
        <v>0</v>
      </c>
      <c r="M320" s="36" t="n">
        <v>0</v>
      </c>
      <c r="N320" s="37" t="n">
        <v>3</v>
      </c>
      <c r="O320" s="38" t="inlineStr">
        <is>
          <t> </t>
        </is>
      </c>
      <c r="P320" s="39" t="n">
        <v>0</v>
      </c>
      <c r="Q320" s="40" t="n">
        <v>0</v>
      </c>
      <c r="R320" s="41" t="inlineStr">
        <is>
          <t>Unclassified</t>
        </is>
      </c>
      <c r="S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0</v>
      </c>
      <c r="F321" s="36" t="n">
        <v>-7</v>
      </c>
      <c r="G321" s="36" t="n">
        <v>0</v>
      </c>
      <c r="H321" s="36" t="n">
        <v>0</v>
      </c>
      <c r="I321" s="36" t="n">
        <v>0</v>
      </c>
      <c r="J321" s="36" t="n">
        <v>-1</v>
      </c>
      <c r="K321" s="36" t="n">
        <v>0</v>
      </c>
      <c r="L321" s="36" t="n">
        <v>0</v>
      </c>
      <c r="M321" s="36" t="n">
        <v>0</v>
      </c>
      <c r="N321" s="37" t="n">
        <v>7</v>
      </c>
      <c r="O321" s="38" t="inlineStr">
        <is>
          <t> </t>
        </is>
      </c>
      <c r="P321" s="39" t="n">
        <v>0</v>
      </c>
      <c r="Q321" s="40" t="n">
        <v>0</v>
      </c>
      <c r="R321" s="41" t="inlineStr">
        <is>
          <t>Unclassified</t>
        </is>
      </c>
      <c r="S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0</v>
      </c>
      <c r="G322" s="36" t="n">
        <v>-0.36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7" t="n">
        <v>0.36</v>
      </c>
      <c r="O322" s="38" t="inlineStr">
        <is>
          <t> </t>
        </is>
      </c>
      <c r="P322" s="39" t="n">
        <v>0</v>
      </c>
      <c r="Q322" s="40" t="n">
        <v>0</v>
      </c>
      <c r="R322" s="41" t="inlineStr">
        <is>
          <t>Unclassified</t>
        </is>
      </c>
      <c r="S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0</v>
      </c>
      <c r="G323" s="36" t="n">
        <v>-1.8</v>
      </c>
      <c r="H323" s="36" t="n">
        <v>0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7" t="n">
        <v>1.8</v>
      </c>
      <c r="O323" s="38" t="inlineStr">
        <is>
          <t> </t>
        </is>
      </c>
      <c r="P323" s="39" t="n">
        <v>0</v>
      </c>
      <c r="Q323" s="40" t="n">
        <v>0</v>
      </c>
      <c r="R323" s="41" t="inlineStr">
        <is>
          <t>Unclassified</t>
        </is>
      </c>
      <c r="S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0</v>
      </c>
      <c r="G324" s="36" t="n">
        <v>-1</v>
      </c>
      <c r="H324" s="36" t="n">
        <v>0</v>
      </c>
      <c r="I324" s="36" t="n">
        <v>0</v>
      </c>
      <c r="J324" s="36" t="n">
        <v>0</v>
      </c>
      <c r="K324" s="36" t="n">
        <v>0</v>
      </c>
      <c r="L324" s="36" t="n">
        <v>0</v>
      </c>
      <c r="M324" s="36" t="n">
        <v>0</v>
      </c>
      <c r="N324" s="37" t="n">
        <v>1</v>
      </c>
      <c r="O324" s="38" t="inlineStr">
        <is>
          <t> </t>
        </is>
      </c>
      <c r="P324" s="39" t="n">
        <v>0</v>
      </c>
      <c r="Q324" s="40" t="n">
        <v>0</v>
      </c>
      <c r="R324" s="41" t="inlineStr">
        <is>
          <t>Unclassified</t>
        </is>
      </c>
      <c r="S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0</v>
      </c>
      <c r="F325" s="36" t="n">
        <v>-1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7" t="n">
        <v>1</v>
      </c>
      <c r="O325" s="38" t="inlineStr">
        <is>
          <t> </t>
        </is>
      </c>
      <c r="P325" s="39" t="n">
        <v>0</v>
      </c>
      <c r="Q325" s="40" t="n">
        <v>0</v>
      </c>
      <c r="R325" s="41" t="inlineStr">
        <is>
          <t>Unclassified</t>
        </is>
      </c>
      <c r="S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0</v>
      </c>
      <c r="I326" s="36" t="n">
        <v>0</v>
      </c>
      <c r="J326" s="36" t="n">
        <v>-1</v>
      </c>
      <c r="K326" s="36" t="n">
        <v>0</v>
      </c>
      <c r="L326" s="36" t="n">
        <v>0</v>
      </c>
      <c r="M326" s="36" t="n">
        <v>0</v>
      </c>
      <c r="N326" s="37" t="n">
        <v>1</v>
      </c>
      <c r="O326" s="38" t="inlineStr">
        <is>
          <t> </t>
        </is>
      </c>
      <c r="P326" s="39" t="n">
        <v>0</v>
      </c>
      <c r="Q326" s="40" t="n">
        <v>0</v>
      </c>
      <c r="R326" s="41" t="inlineStr">
        <is>
          <t>Unclassified</t>
        </is>
      </c>
      <c r="S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0</v>
      </c>
      <c r="F327" s="36" t="n">
        <v>-0.3</v>
      </c>
      <c r="G327" s="36" t="n">
        <v>0</v>
      </c>
      <c r="H327" s="36" t="n">
        <v>0</v>
      </c>
      <c r="I327" s="36" t="n">
        <v>0</v>
      </c>
      <c r="J327" s="36" t="n">
        <v>0</v>
      </c>
      <c r="K327" s="36" t="n">
        <v>-0.3</v>
      </c>
      <c r="L327" s="36" t="n">
        <v>0</v>
      </c>
      <c r="M327" s="36" t="n">
        <v>0</v>
      </c>
      <c r="N327" s="37" t="n">
        <v>0.3</v>
      </c>
      <c r="O327" s="38" t="inlineStr">
        <is>
          <t> </t>
        </is>
      </c>
      <c r="P327" s="39" t="n">
        <v>0</v>
      </c>
      <c r="Q327" s="40" t="n">
        <v>0</v>
      </c>
      <c r="R327" s="41" t="inlineStr">
        <is>
          <t>Unclassified</t>
        </is>
      </c>
      <c r="S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0</v>
      </c>
      <c r="I328" s="36" t="n">
        <v>0</v>
      </c>
      <c r="J328" s="36" t="n">
        <v>-2</v>
      </c>
      <c r="K328" s="36" t="n">
        <v>0</v>
      </c>
      <c r="L328" s="36" t="n">
        <v>0</v>
      </c>
      <c r="M328" s="36" t="n">
        <v>0</v>
      </c>
      <c r="N328" s="37" t="n">
        <v>2</v>
      </c>
      <c r="O328" s="38" t="inlineStr">
        <is>
          <t> </t>
        </is>
      </c>
      <c r="P328" s="39" t="n">
        <v>0</v>
      </c>
      <c r="Q328" s="40" t="n">
        <v>0</v>
      </c>
      <c r="R328" s="41" t="inlineStr">
        <is>
          <t>Unclassified</t>
        </is>
      </c>
      <c r="S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-12</v>
      </c>
      <c r="K329" s="36" t="n">
        <v>0</v>
      </c>
      <c r="L329" s="36" t="n">
        <v>0</v>
      </c>
      <c r="M329" s="36" t="n">
        <v>0</v>
      </c>
      <c r="N329" s="37" t="n">
        <v>12</v>
      </c>
      <c r="O329" s="38" t="inlineStr">
        <is>
          <t> </t>
        </is>
      </c>
      <c r="P329" s="39" t="n">
        <v>0</v>
      </c>
      <c r="Q329" s="40" t="n">
        <v>0</v>
      </c>
      <c r="R329" s="41" t="inlineStr">
        <is>
          <t>Unclassified</t>
        </is>
      </c>
      <c r="S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-2</v>
      </c>
      <c r="F330" s="36" t="n">
        <v>-45</v>
      </c>
      <c r="G330" s="36" t="n">
        <v>-1</v>
      </c>
      <c r="H330" s="36" t="n">
        <v>0</v>
      </c>
      <c r="I330" s="36" t="n">
        <v>-3</v>
      </c>
      <c r="J330" s="36" t="n">
        <v>-1</v>
      </c>
      <c r="K330" s="36" t="n">
        <v>-2</v>
      </c>
      <c r="L330" s="36" t="n">
        <v>0</v>
      </c>
      <c r="M330" s="36" t="n">
        <v>0</v>
      </c>
      <c r="N330" s="37" t="n">
        <v>45</v>
      </c>
      <c r="O330" s="38" t="inlineStr">
        <is>
          <t> </t>
        </is>
      </c>
      <c r="P330" s="39" t="n">
        <v>0</v>
      </c>
      <c r="Q330" s="40" t="n">
        <v>0</v>
      </c>
      <c r="R330" s="41" t="inlineStr">
        <is>
          <t>Unclassified</t>
        </is>
      </c>
      <c r="S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0</v>
      </c>
      <c r="G331" s="36" t="n">
        <v>-3</v>
      </c>
      <c r="H331" s="36" t="n">
        <v>0</v>
      </c>
      <c r="I331" s="36" t="n">
        <v>-3</v>
      </c>
      <c r="J331" s="36" t="n">
        <v>0</v>
      </c>
      <c r="K331" s="36" t="n">
        <v>-1</v>
      </c>
      <c r="L331" s="36" t="n">
        <v>0</v>
      </c>
      <c r="M331" s="36" t="n">
        <v>0</v>
      </c>
      <c r="N331" s="37" t="n">
        <v>3</v>
      </c>
      <c r="O331" s="38" t="inlineStr">
        <is>
          <t> </t>
        </is>
      </c>
      <c r="P331" s="39" t="n">
        <v>0</v>
      </c>
      <c r="Q331" s="40" t="n">
        <v>0</v>
      </c>
      <c r="R331" s="41" t="inlineStr">
        <is>
          <t>Unclassified</t>
        </is>
      </c>
      <c r="S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0</v>
      </c>
      <c r="F332" s="36" t="n">
        <v>-3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6" t="n">
        <v>0</v>
      </c>
      <c r="M332" s="36" t="n">
        <v>0</v>
      </c>
      <c r="N332" s="37" t="n">
        <v>3</v>
      </c>
      <c r="O332" s="38" t="inlineStr">
        <is>
          <t> </t>
        </is>
      </c>
      <c r="P332" s="39" t="n">
        <v>0</v>
      </c>
      <c r="Q332" s="40" t="n">
        <v>0</v>
      </c>
      <c r="R332" s="41" t="inlineStr">
        <is>
          <t>Unclassified</t>
        </is>
      </c>
      <c r="S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0</v>
      </c>
      <c r="F333" s="36" t="n">
        <v>-2</v>
      </c>
      <c r="G333" s="36" t="n">
        <v>-2</v>
      </c>
      <c r="H333" s="36" t="n">
        <v>0</v>
      </c>
      <c r="I333" s="36" t="n">
        <v>0</v>
      </c>
      <c r="J333" s="36" t="n">
        <v>0</v>
      </c>
      <c r="K333" s="36" t="n">
        <v>0</v>
      </c>
      <c r="L333" s="36" t="n">
        <v>-1</v>
      </c>
      <c r="M333" s="36" t="n">
        <v>0</v>
      </c>
      <c r="N333" s="37" t="n">
        <v>2</v>
      </c>
      <c r="O333" s="38" t="inlineStr">
        <is>
          <t> </t>
        </is>
      </c>
      <c r="P333" s="39" t="n">
        <v>0</v>
      </c>
      <c r="Q333" s="40" t="n">
        <v>0</v>
      </c>
      <c r="R333" s="41" t="inlineStr">
        <is>
          <t>Unclassified</t>
        </is>
      </c>
      <c r="S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6" t="n">
        <v>0</v>
      </c>
      <c r="M334" s="36" t="n">
        <v>0</v>
      </c>
      <c r="N334" s="37" t="n">
        <v>1</v>
      </c>
      <c r="O334" s="38" t="inlineStr">
        <is>
          <t> </t>
        </is>
      </c>
      <c r="P334" s="39" t="n">
        <v>0</v>
      </c>
      <c r="Q334" s="40" t="n">
        <v>0</v>
      </c>
      <c r="R334" s="41" t="inlineStr">
        <is>
          <t>Unclassified</t>
        </is>
      </c>
      <c r="S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19</v>
      </c>
      <c r="F335" s="36" t="n">
        <v>-2.8</v>
      </c>
      <c r="G335" s="36" t="n">
        <v>19</v>
      </c>
      <c r="H335" s="36" t="n">
        <v>19</v>
      </c>
      <c r="I335" s="36" t="n">
        <v>18.2</v>
      </c>
      <c r="J335" s="36" t="n">
        <v>15.2</v>
      </c>
      <c r="K335" s="36" t="n">
        <v>19</v>
      </c>
      <c r="L335" s="36" t="n">
        <v>19</v>
      </c>
      <c r="M335" s="36" t="n">
        <v>19</v>
      </c>
      <c r="N335" s="37" t="n">
        <v>2.8</v>
      </c>
      <c r="O335" s="38" t="inlineStr">
        <is>
          <t> </t>
        </is>
      </c>
      <c r="P335" s="39" t="n">
        <v>94</v>
      </c>
      <c r="Q335" s="40" t="n">
        <v>263.2</v>
      </c>
      <c r="R335" s="41" t="inlineStr">
        <is>
          <t>Branded Drug</t>
        </is>
      </c>
      <c r="S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0</v>
      </c>
      <c r="F336" s="36" t="n">
        <v>-0.8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6" t="n">
        <v>0</v>
      </c>
      <c r="M336" s="36" t="n">
        <v>0</v>
      </c>
      <c r="N336" s="37" t="n">
        <v>0.8</v>
      </c>
      <c r="O336" s="38" t="inlineStr">
        <is>
          <t> </t>
        </is>
      </c>
      <c r="P336" s="39" t="n">
        <v>0</v>
      </c>
      <c r="Q336" s="40" t="n">
        <v>0</v>
      </c>
      <c r="R336" s="41" t="inlineStr">
        <is>
          <t>Unclassified</t>
        </is>
      </c>
      <c r="S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0</v>
      </c>
      <c r="F337" s="36" t="n">
        <v>-3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7" t="n">
        <v>3</v>
      </c>
      <c r="O337" s="38" t="inlineStr">
        <is>
          <t> </t>
        </is>
      </c>
      <c r="P337" s="39" t="n">
        <v>0</v>
      </c>
      <c r="Q337" s="40" t="n">
        <v>0</v>
      </c>
      <c r="R337" s="41" t="inlineStr">
        <is>
          <t>Unclassified</t>
        </is>
      </c>
      <c r="S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0</v>
      </c>
      <c r="F338" s="36" t="n">
        <v>-1</v>
      </c>
      <c r="G338" s="36" t="n">
        <v>0</v>
      </c>
      <c r="H338" s="36" t="n">
        <v>0</v>
      </c>
      <c r="I338" s="36" t="n">
        <v>0</v>
      </c>
      <c r="J338" s="36" t="n">
        <v>-2</v>
      </c>
      <c r="K338" s="36" t="n">
        <v>0</v>
      </c>
      <c r="L338" s="36" t="n">
        <v>0</v>
      </c>
      <c r="M338" s="36" t="n">
        <v>0</v>
      </c>
      <c r="N338" s="37" t="n">
        <v>2</v>
      </c>
      <c r="O338" s="38" t="inlineStr">
        <is>
          <t> </t>
        </is>
      </c>
      <c r="P338" s="39" t="n">
        <v>0</v>
      </c>
      <c r="Q338" s="40" t="n">
        <v>0</v>
      </c>
      <c r="R338" s="41" t="inlineStr">
        <is>
          <t>Unclassified</t>
        </is>
      </c>
      <c r="S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0</v>
      </c>
      <c r="I339" s="36" t="n">
        <v>0</v>
      </c>
      <c r="J339" s="36" t="n">
        <v>-0.25</v>
      </c>
      <c r="K339" s="36" t="n">
        <v>0</v>
      </c>
      <c r="L339" s="36" t="n">
        <v>0</v>
      </c>
      <c r="M339" s="36" t="n">
        <v>0</v>
      </c>
      <c r="N339" s="37" t="n">
        <v>0.25</v>
      </c>
      <c r="O339" s="38" t="inlineStr">
        <is>
          <t> </t>
        </is>
      </c>
      <c r="P339" s="39" t="n">
        <v>0</v>
      </c>
      <c r="Q339" s="40" t="n">
        <v>0</v>
      </c>
      <c r="R339" s="41" t="inlineStr">
        <is>
          <t>Unclassified</t>
        </is>
      </c>
      <c r="S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0</v>
      </c>
      <c r="F340" s="36" t="n">
        <v>-0.36</v>
      </c>
      <c r="G340" s="36" t="n">
        <v>-0.36</v>
      </c>
      <c r="H340" s="36" t="n">
        <v>0</v>
      </c>
      <c r="I340" s="36" t="n">
        <v>-0.36</v>
      </c>
      <c r="J340" s="36" t="n">
        <v>-0.12</v>
      </c>
      <c r="K340" s="36" t="n">
        <v>0</v>
      </c>
      <c r="L340" s="36" t="n">
        <v>0</v>
      </c>
      <c r="M340" s="36" t="n">
        <v>0</v>
      </c>
      <c r="N340" s="37" t="n">
        <v>0.36</v>
      </c>
      <c r="O340" s="38" t="inlineStr">
        <is>
          <t> </t>
        </is>
      </c>
      <c r="P340" s="39" t="n">
        <v>0</v>
      </c>
      <c r="Q340" s="40" t="n">
        <v>0</v>
      </c>
      <c r="R340" s="41" t="inlineStr">
        <is>
          <t>Unclassified</t>
        </is>
      </c>
      <c r="S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0</v>
      </c>
      <c r="F341" s="36" t="n">
        <v>-0.5</v>
      </c>
      <c r="G341" s="36" t="n">
        <v>0</v>
      </c>
      <c r="H341" s="36" t="n">
        <v>0</v>
      </c>
      <c r="I341" s="36" t="n">
        <v>0</v>
      </c>
      <c r="J341" s="36" t="n">
        <v>-1</v>
      </c>
      <c r="K341" s="36" t="n">
        <v>0</v>
      </c>
      <c r="L341" s="36" t="n">
        <v>0</v>
      </c>
      <c r="M341" s="36" t="n">
        <v>0</v>
      </c>
      <c r="N341" s="37" t="n">
        <v>1</v>
      </c>
      <c r="O341" s="38" t="inlineStr">
        <is>
          <t> </t>
        </is>
      </c>
      <c r="P341" s="39" t="n">
        <v>0</v>
      </c>
      <c r="Q341" s="40" t="n">
        <v>0</v>
      </c>
      <c r="R341" s="41" t="inlineStr">
        <is>
          <t>Unclassified</t>
        </is>
      </c>
      <c r="S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0</v>
      </c>
      <c r="F342" s="36" t="n">
        <v>-1.33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0</v>
      </c>
      <c r="M342" s="36" t="n">
        <v>0</v>
      </c>
      <c r="N342" s="37" t="n">
        <v>1.33</v>
      </c>
      <c r="O342" s="38" t="inlineStr">
        <is>
          <t> </t>
        </is>
      </c>
      <c r="P342" s="39" t="n">
        <v>0</v>
      </c>
      <c r="Q342" s="40" t="n">
        <v>0</v>
      </c>
      <c r="R342" s="41" t="inlineStr">
        <is>
          <t>Unclassified</t>
        </is>
      </c>
      <c r="S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0</v>
      </c>
      <c r="F343" s="36" t="n">
        <v>-0.48</v>
      </c>
      <c r="G343" s="36" t="n">
        <v>0</v>
      </c>
      <c r="H343" s="36" t="n">
        <v>0</v>
      </c>
      <c r="I343" s="36" t="n">
        <v>0</v>
      </c>
      <c r="J343" s="36" t="n">
        <v>-0.4</v>
      </c>
      <c r="K343" s="36" t="n">
        <v>0</v>
      </c>
      <c r="L343" s="36" t="n">
        <v>0</v>
      </c>
      <c r="M343" s="36" t="n">
        <v>0</v>
      </c>
      <c r="N343" s="37" t="n">
        <v>0.48</v>
      </c>
      <c r="O343" s="38" t="inlineStr">
        <is>
          <t> </t>
        </is>
      </c>
      <c r="P343" s="39" t="n">
        <v>0</v>
      </c>
      <c r="Q343" s="40" t="n">
        <v>0</v>
      </c>
      <c r="R343" s="41" t="inlineStr">
        <is>
          <t>Unclassified</t>
        </is>
      </c>
      <c r="S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0</v>
      </c>
      <c r="I344" s="36" t="n">
        <v>0</v>
      </c>
      <c r="J344" s="36" t="n">
        <v>-0.7</v>
      </c>
      <c r="K344" s="36" t="n">
        <v>0</v>
      </c>
      <c r="L344" s="36" t="n">
        <v>0</v>
      </c>
      <c r="M344" s="36" t="n">
        <v>0</v>
      </c>
      <c r="N344" s="37" t="n">
        <v>0.7</v>
      </c>
      <c r="O344" s="38" t="inlineStr">
        <is>
          <t> </t>
        </is>
      </c>
      <c r="P344" s="39" t="n">
        <v>0</v>
      </c>
      <c r="Q344" s="40" t="n">
        <v>0</v>
      </c>
      <c r="R344" s="41" t="inlineStr">
        <is>
          <t>Unclassified</t>
        </is>
      </c>
      <c r="S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0</v>
      </c>
      <c r="F345" s="36" t="n">
        <v>-0.21</v>
      </c>
      <c r="G345" s="36" t="n">
        <v>-0.09</v>
      </c>
      <c r="H345" s="36" t="n">
        <v>0</v>
      </c>
      <c r="I345" s="36" t="n">
        <v>0</v>
      </c>
      <c r="J345" s="36" t="n">
        <v>-0.15</v>
      </c>
      <c r="K345" s="36" t="n">
        <v>-0.03</v>
      </c>
      <c r="L345" s="36" t="n">
        <v>0</v>
      </c>
      <c r="M345" s="36" t="n">
        <v>0</v>
      </c>
      <c r="N345" s="37" t="n">
        <v>0.21</v>
      </c>
      <c r="O345" s="38" t="inlineStr">
        <is>
          <t> </t>
        </is>
      </c>
      <c r="P345" s="39" t="n">
        <v>0</v>
      </c>
      <c r="Q345" s="40" t="n">
        <v>0</v>
      </c>
      <c r="R345" s="41" t="inlineStr">
        <is>
          <t>Unclassified</t>
        </is>
      </c>
      <c r="S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0</v>
      </c>
      <c r="F346" s="36" t="n">
        <v>-0.09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6" t="n">
        <v>0</v>
      </c>
      <c r="M346" s="36" t="n">
        <v>0</v>
      </c>
      <c r="N346" s="37" t="n">
        <v>0.09</v>
      </c>
      <c r="O346" s="38" t="inlineStr">
        <is>
          <t> </t>
        </is>
      </c>
      <c r="P346" s="39" t="n">
        <v>0</v>
      </c>
      <c r="Q346" s="40" t="n">
        <v>0</v>
      </c>
      <c r="R346" s="41" t="inlineStr">
        <is>
          <t>Unclassified</t>
        </is>
      </c>
      <c r="S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0</v>
      </c>
      <c r="F347" s="36" t="n">
        <v>-0.21</v>
      </c>
      <c r="G347" s="36" t="n">
        <v>-0.03</v>
      </c>
      <c r="H347" s="36" t="n">
        <v>0</v>
      </c>
      <c r="I347" s="36" t="n">
        <v>0</v>
      </c>
      <c r="J347" s="36" t="n">
        <v>-0.09</v>
      </c>
      <c r="K347" s="36" t="n">
        <v>0</v>
      </c>
      <c r="L347" s="36" t="n">
        <v>0</v>
      </c>
      <c r="M347" s="36" t="n">
        <v>0</v>
      </c>
      <c r="N347" s="37" t="n">
        <v>0.21</v>
      </c>
      <c r="O347" s="38" t="inlineStr">
        <is>
          <t> </t>
        </is>
      </c>
      <c r="P347" s="39" t="n">
        <v>0</v>
      </c>
      <c r="Q347" s="40" t="n">
        <v>0</v>
      </c>
      <c r="R347" s="41" t="inlineStr">
        <is>
          <t>Unclassified</t>
        </is>
      </c>
      <c r="S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-0.04</v>
      </c>
      <c r="K348" s="36" t="n">
        <v>0</v>
      </c>
      <c r="L348" s="36" t="n">
        <v>0</v>
      </c>
      <c r="M348" s="36" t="n">
        <v>0</v>
      </c>
      <c r="N348" s="37" t="n">
        <v>0.04</v>
      </c>
      <c r="O348" s="38" t="inlineStr">
        <is>
          <t> </t>
        </is>
      </c>
      <c r="P348" s="39" t="n">
        <v>0</v>
      </c>
      <c r="Q348" s="40" t="n">
        <v>0</v>
      </c>
      <c r="R348" s="41" t="inlineStr">
        <is>
          <t>Unclassified</t>
        </is>
      </c>
      <c r="S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0</v>
      </c>
      <c r="F349" s="36" t="n">
        <v>-0.21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-0.03</v>
      </c>
      <c r="L349" s="36" t="n">
        <v>0</v>
      </c>
      <c r="M349" s="36" t="n">
        <v>0</v>
      </c>
      <c r="N349" s="37" t="n">
        <v>0.21</v>
      </c>
      <c r="O349" s="38" t="inlineStr">
        <is>
          <t> </t>
        </is>
      </c>
      <c r="P349" s="39" t="n">
        <v>0</v>
      </c>
      <c r="Q349" s="40" t="n">
        <v>0</v>
      </c>
      <c r="R349" s="41" t="inlineStr">
        <is>
          <t>Unclassified</t>
        </is>
      </c>
      <c r="S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0</v>
      </c>
      <c r="F350" s="36" t="n">
        <v>-0.15</v>
      </c>
      <c r="G350" s="36" t="n">
        <v>-0.03</v>
      </c>
      <c r="H350" s="36" t="n">
        <v>0</v>
      </c>
      <c r="I350" s="36" t="n">
        <v>0</v>
      </c>
      <c r="J350" s="36" t="n">
        <v>0</v>
      </c>
      <c r="K350" s="36" t="n">
        <v>0</v>
      </c>
      <c r="L350" s="36" t="n">
        <v>0</v>
      </c>
      <c r="M350" s="36" t="n">
        <v>0</v>
      </c>
      <c r="N350" s="37" t="n">
        <v>0.15</v>
      </c>
      <c r="O350" s="38" t="inlineStr">
        <is>
          <t> </t>
        </is>
      </c>
      <c r="P350" s="39" t="n">
        <v>0</v>
      </c>
      <c r="Q350" s="40" t="n">
        <v>0</v>
      </c>
      <c r="R350" s="41" t="inlineStr">
        <is>
          <t>Unclassified</t>
        </is>
      </c>
      <c r="S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0</v>
      </c>
      <c r="F351" s="36" t="n">
        <v>-0.33</v>
      </c>
      <c r="G351" s="36" t="n">
        <v>0</v>
      </c>
      <c r="H351" s="36" t="n">
        <v>0</v>
      </c>
      <c r="I351" s="36" t="n">
        <v>0</v>
      </c>
      <c r="J351" s="36" t="n">
        <v>-0.09</v>
      </c>
      <c r="K351" s="36" t="n">
        <v>0</v>
      </c>
      <c r="L351" s="36" t="n">
        <v>0</v>
      </c>
      <c r="M351" s="36" t="n">
        <v>0</v>
      </c>
      <c r="N351" s="37" t="n">
        <v>0.33</v>
      </c>
      <c r="O351" s="38" t="inlineStr">
        <is>
          <t> </t>
        </is>
      </c>
      <c r="P351" s="39" t="n">
        <v>0</v>
      </c>
      <c r="Q351" s="40" t="n">
        <v>0</v>
      </c>
      <c r="R351" s="41" t="inlineStr">
        <is>
          <t>Unclassified</t>
        </is>
      </c>
      <c r="S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0</v>
      </c>
      <c r="G352" s="36" t="n">
        <v>-0.03</v>
      </c>
      <c r="H352" s="36" t="n">
        <v>0</v>
      </c>
      <c r="I352" s="36" t="n">
        <v>0</v>
      </c>
      <c r="J352" s="36" t="n">
        <v>0</v>
      </c>
      <c r="K352" s="36" t="n">
        <v>-0.03</v>
      </c>
      <c r="L352" s="36" t="n">
        <v>0</v>
      </c>
      <c r="M352" s="36" t="n">
        <v>0</v>
      </c>
      <c r="N352" s="37" t="n">
        <v>0.03</v>
      </c>
      <c r="O352" s="38" t="inlineStr">
        <is>
          <t> </t>
        </is>
      </c>
      <c r="P352" s="39" t="n">
        <v>0</v>
      </c>
      <c r="Q352" s="40" t="n">
        <v>0</v>
      </c>
      <c r="R352" s="41" t="inlineStr">
        <is>
          <t>Unclassified</t>
        </is>
      </c>
      <c r="S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0</v>
      </c>
      <c r="I353" s="36" t="n">
        <v>0</v>
      </c>
      <c r="J353" s="36" t="n">
        <v>-4</v>
      </c>
      <c r="K353" s="36" t="n">
        <v>0</v>
      </c>
      <c r="L353" s="36" t="n">
        <v>0</v>
      </c>
      <c r="M353" s="36" t="n">
        <v>0</v>
      </c>
      <c r="N353" s="37" t="n">
        <v>4</v>
      </c>
      <c r="O353" s="38" t="inlineStr">
        <is>
          <t> </t>
        </is>
      </c>
      <c r="P353" s="39" t="n">
        <v>0</v>
      </c>
      <c r="Q353" s="40" t="n">
        <v>0</v>
      </c>
      <c r="R353" s="41" t="inlineStr">
        <is>
          <t>Unclassified</t>
        </is>
      </c>
      <c r="S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0</v>
      </c>
      <c r="F354" s="36" t="n">
        <v>-1</v>
      </c>
      <c r="G354" s="36" t="n">
        <v>0</v>
      </c>
      <c r="H354" s="36" t="n">
        <v>0</v>
      </c>
      <c r="I354" s="36" t="n">
        <v>0</v>
      </c>
      <c r="J354" s="36" t="n">
        <v>-1</v>
      </c>
      <c r="K354" s="36" t="n">
        <v>0</v>
      </c>
      <c r="L354" s="36" t="n">
        <v>0</v>
      </c>
      <c r="M354" s="36" t="n">
        <v>0</v>
      </c>
      <c r="N354" s="37" t="n">
        <v>1</v>
      </c>
      <c r="O354" s="38" t="inlineStr">
        <is>
          <t> </t>
        </is>
      </c>
      <c r="P354" s="39" t="n">
        <v>0</v>
      </c>
      <c r="Q354" s="40" t="n">
        <v>0</v>
      </c>
      <c r="R354" s="41" t="inlineStr">
        <is>
          <t>Unclassified</t>
        </is>
      </c>
      <c r="S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0</v>
      </c>
      <c r="F355" s="36" t="n">
        <v>-4</v>
      </c>
      <c r="G355" s="36" t="n">
        <v>0</v>
      </c>
      <c r="H355" s="36" t="n">
        <v>0</v>
      </c>
      <c r="I355" s="36" t="n">
        <v>0</v>
      </c>
      <c r="J355" s="36" t="n">
        <v>-1</v>
      </c>
      <c r="K355" s="36" t="n">
        <v>0</v>
      </c>
      <c r="L355" s="36" t="n">
        <v>0</v>
      </c>
      <c r="M355" s="36" t="n">
        <v>0</v>
      </c>
      <c r="N355" s="37" t="n">
        <v>4</v>
      </c>
      <c r="O355" s="38" t="inlineStr">
        <is>
          <t> </t>
        </is>
      </c>
      <c r="P355" s="39" t="n">
        <v>0</v>
      </c>
      <c r="Q355" s="40" t="n">
        <v>0</v>
      </c>
      <c r="R355" s="41" t="inlineStr">
        <is>
          <t>Unclassified</t>
        </is>
      </c>
      <c r="S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21</v>
      </c>
      <c r="F356" s="36" t="n">
        <v>18</v>
      </c>
      <c r="G356" s="36" t="n">
        <v>21</v>
      </c>
      <c r="H356" s="36" t="n">
        <v>21</v>
      </c>
      <c r="I356" s="36" t="n">
        <v>21</v>
      </c>
      <c r="J356" s="36" t="n">
        <v>-5</v>
      </c>
      <c r="K356" s="36" t="n">
        <v>21</v>
      </c>
      <c r="L356" s="36" t="n">
        <v>21</v>
      </c>
      <c r="M356" s="36" t="n">
        <v>21</v>
      </c>
      <c r="N356" s="37" t="n">
        <v>5</v>
      </c>
      <c r="O356" s="38" t="inlineStr">
        <is>
          <t> </t>
        </is>
      </c>
      <c r="P356" s="39" t="n">
        <v>32</v>
      </c>
      <c r="Q356" s="40" t="n">
        <v>160</v>
      </c>
      <c r="R356" s="41" t="inlineStr">
        <is>
          <t>OTC Drug</t>
        </is>
      </c>
      <c r="S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3</v>
      </c>
      <c r="F357" s="36" t="n">
        <v>-1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6" t="n">
        <v>3</v>
      </c>
      <c r="M357" s="36" t="n">
        <v>3</v>
      </c>
      <c r="N357" s="37" t="n">
        <v>1</v>
      </c>
      <c r="O357" s="38" t="inlineStr">
        <is>
          <t> </t>
        </is>
      </c>
      <c r="P357" s="39" t="n">
        <v>9</v>
      </c>
      <c r="Q357" s="40" t="n">
        <v>9</v>
      </c>
      <c r="R357" s="41" t="inlineStr">
        <is>
          <t>Generic Drug</t>
        </is>
      </c>
      <c r="S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0</v>
      </c>
      <c r="F358" s="36" t="n">
        <v>-1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6" t="n">
        <v>0</v>
      </c>
      <c r="M358" s="36" t="n">
        <v>0</v>
      </c>
      <c r="N358" s="37" t="n">
        <v>1</v>
      </c>
      <c r="O358" s="38" t="inlineStr">
        <is>
          <t> </t>
        </is>
      </c>
      <c r="P358" s="39" t="n">
        <v>0</v>
      </c>
      <c r="Q358" s="40" t="n">
        <v>0</v>
      </c>
      <c r="R358" s="41" t="inlineStr">
        <is>
          <t>Unclassified</t>
        </is>
      </c>
      <c r="S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12</v>
      </c>
      <c r="F359" s="36" t="n">
        <v>-4</v>
      </c>
      <c r="G359" s="36" t="n">
        <v>12</v>
      </c>
      <c r="H359" s="36" t="n">
        <v>12</v>
      </c>
      <c r="I359" s="36" t="n">
        <v>6</v>
      </c>
      <c r="J359" s="36" t="n">
        <v>10</v>
      </c>
      <c r="K359" s="36" t="n">
        <v>11</v>
      </c>
      <c r="L359" s="36" t="n">
        <v>12</v>
      </c>
      <c r="M359" s="36" t="n">
        <v>12</v>
      </c>
      <c r="N359" s="37" t="n">
        <v>4</v>
      </c>
      <c r="O359" s="38" t="inlineStr">
        <is>
          <t> </t>
        </is>
      </c>
      <c r="P359" s="39" t="n">
        <v>275</v>
      </c>
      <c r="Q359" s="40" t="n">
        <v>1100</v>
      </c>
      <c r="R359" s="41" t="inlineStr">
        <is>
          <t>Branded Drug</t>
        </is>
      </c>
      <c r="S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0</v>
      </c>
      <c r="F360" s="36" t="n">
        <v>-1</v>
      </c>
      <c r="G360" s="36" t="n">
        <v>0</v>
      </c>
      <c r="H360" s="36" t="n">
        <v>0</v>
      </c>
      <c r="I360" s="36" t="n">
        <v>0</v>
      </c>
      <c r="J360" s="36" t="n">
        <v>-4</v>
      </c>
      <c r="K360" s="36" t="n">
        <v>0</v>
      </c>
      <c r="L360" s="36" t="n">
        <v>0</v>
      </c>
      <c r="M360" s="36" t="n">
        <v>0</v>
      </c>
      <c r="N360" s="37" t="n">
        <v>4</v>
      </c>
      <c r="O360" s="38" t="inlineStr">
        <is>
          <t> </t>
        </is>
      </c>
      <c r="P360" s="39" t="n">
        <v>0</v>
      </c>
      <c r="Q360" s="40" t="n">
        <v>0</v>
      </c>
      <c r="R360" s="41" t="inlineStr">
        <is>
          <t>Unclassified</t>
        </is>
      </c>
      <c r="S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0</v>
      </c>
      <c r="F361" s="36" t="n">
        <v>-0.09</v>
      </c>
      <c r="G361" s="36" t="n">
        <v>-0.09</v>
      </c>
      <c r="H361" s="36" t="n">
        <v>0</v>
      </c>
      <c r="I361" s="36" t="n">
        <v>0</v>
      </c>
      <c r="J361" s="36" t="n">
        <v>-0.09</v>
      </c>
      <c r="K361" s="36" t="n">
        <v>0</v>
      </c>
      <c r="L361" s="36" t="n">
        <v>0</v>
      </c>
      <c r="M361" s="36" t="n">
        <v>0</v>
      </c>
      <c r="N361" s="37" t="n">
        <v>0.09</v>
      </c>
      <c r="O361" s="38" t="inlineStr">
        <is>
          <t> </t>
        </is>
      </c>
      <c r="P361" s="39" t="n">
        <v>0</v>
      </c>
      <c r="Q361" s="40" t="n">
        <v>0</v>
      </c>
      <c r="R361" s="41" t="inlineStr">
        <is>
          <t>Unclassified</t>
        </is>
      </c>
      <c r="S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-0.18</v>
      </c>
      <c r="K362" s="36" t="n">
        <v>0</v>
      </c>
      <c r="L362" s="36" t="n">
        <v>0</v>
      </c>
      <c r="M362" s="36" t="n">
        <v>0</v>
      </c>
      <c r="N362" s="37" t="n">
        <v>0.18</v>
      </c>
      <c r="O362" s="38" t="inlineStr">
        <is>
          <t> </t>
        </is>
      </c>
      <c r="P362" s="39" t="n">
        <v>0</v>
      </c>
      <c r="Q362" s="40" t="n">
        <v>0</v>
      </c>
      <c r="R362" s="41" t="inlineStr">
        <is>
          <t>Unclassified</t>
        </is>
      </c>
      <c r="S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0</v>
      </c>
      <c r="F363" s="36" t="n">
        <v>-0.63</v>
      </c>
      <c r="G363" s="36" t="n">
        <v>-0.09</v>
      </c>
      <c r="H363" s="36" t="n">
        <v>0</v>
      </c>
      <c r="I363" s="36" t="n">
        <v>0</v>
      </c>
      <c r="J363" s="36" t="n">
        <v>-0.06</v>
      </c>
      <c r="K363" s="36" t="n">
        <v>0</v>
      </c>
      <c r="L363" s="36" t="n">
        <v>0</v>
      </c>
      <c r="M363" s="36" t="n">
        <v>0</v>
      </c>
      <c r="N363" s="37" t="n">
        <v>0.63</v>
      </c>
      <c r="O363" s="38" t="inlineStr">
        <is>
          <t> </t>
        </is>
      </c>
      <c r="P363" s="39" t="n">
        <v>0</v>
      </c>
      <c r="Q363" s="40" t="n">
        <v>0</v>
      </c>
      <c r="R363" s="41" t="inlineStr">
        <is>
          <t>Unclassified</t>
        </is>
      </c>
      <c r="S363" s="41" t="n"/>
    </row>
    <row r="364" ht="20" customHeight="1">
      <c r="A364" s="34" t="inlineStr">
        <is>
          <t>68180098202</t>
        </is>
      </c>
      <c r="B364" s="35" t="inlineStr">
        <is>
          <t>LISINOPRIL 30MG TABLET</t>
        </is>
      </c>
      <c r="C364" s="34" t="n">
        <v>500</v>
      </c>
      <c r="D364" s="36" t="n">
        <v>0</v>
      </c>
      <c r="E364" s="36" t="n">
        <v>-0.18</v>
      </c>
      <c r="F364" s="36" t="n">
        <v>0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7" t="n">
        <v>0.18</v>
      </c>
      <c r="O364" s="38" t="inlineStr">
        <is>
          <t> </t>
        </is>
      </c>
      <c r="P364" s="39" t="n">
        <v>0</v>
      </c>
      <c r="Q364" s="40" t="n">
        <v>0</v>
      </c>
      <c r="R364" s="41" t="inlineStr">
        <is>
          <t>Unclassified</t>
        </is>
      </c>
      <c r="S364" s="41" t="n"/>
    </row>
    <row r="365" ht="20" customHeight="1">
      <c r="A365" s="34" t="inlineStr">
        <is>
          <t>68180097903</t>
        </is>
      </c>
      <c r="B365" s="35" t="inlineStr">
        <is>
          <t>LISINOPRIL 40MG TABLET</t>
        </is>
      </c>
      <c r="C365" s="34" t="n">
        <v>1000</v>
      </c>
      <c r="D365" s="36" t="n">
        <v>0</v>
      </c>
      <c r="E365" s="36" t="n">
        <v>0</v>
      </c>
      <c r="F365" s="36" t="n">
        <v>-0.18</v>
      </c>
      <c r="G365" s="36" t="n">
        <v>0</v>
      </c>
      <c r="H365" s="36" t="n">
        <v>0</v>
      </c>
      <c r="I365" s="36" t="n">
        <v>-0.09</v>
      </c>
      <c r="J365" s="36" t="n">
        <v>-0.03</v>
      </c>
      <c r="K365" s="36" t="n">
        <v>-0.03</v>
      </c>
      <c r="L365" s="36" t="n">
        <v>0</v>
      </c>
      <c r="M365" s="36" t="n">
        <v>0</v>
      </c>
      <c r="N365" s="37" t="n">
        <v>0.18</v>
      </c>
      <c r="O365" s="38" t="inlineStr">
        <is>
          <t> </t>
        </is>
      </c>
      <c r="P365" s="39" t="n">
        <v>0</v>
      </c>
      <c r="Q365" s="40" t="n">
        <v>0</v>
      </c>
      <c r="R365" s="41" t="inlineStr">
        <is>
          <t>Unclassified</t>
        </is>
      </c>
      <c r="S365" s="41" t="n"/>
    </row>
    <row r="366" ht="20" customHeight="1">
      <c r="A366" s="34" t="inlineStr">
        <is>
          <t>68180051303</t>
        </is>
      </c>
      <c r="B366" s="35" t="inlineStr">
        <is>
          <t>LISINOPRIL 5MG TABLET</t>
        </is>
      </c>
      <c r="C366" s="34" t="n">
        <v>1000</v>
      </c>
      <c r="D366" s="36" t="n">
        <v>0</v>
      </c>
      <c r="E366" s="36" t="n">
        <v>0</v>
      </c>
      <c r="F366" s="36" t="n">
        <v>-0.36</v>
      </c>
      <c r="G366" s="36" t="n">
        <v>0</v>
      </c>
      <c r="H366" s="36" t="n">
        <v>0</v>
      </c>
      <c r="I366" s="36" t="n">
        <v>0</v>
      </c>
      <c r="J366" s="36" t="n">
        <v>-0.09</v>
      </c>
      <c r="K366" s="36" t="n">
        <v>0</v>
      </c>
      <c r="L366" s="36" t="n">
        <v>0</v>
      </c>
      <c r="M366" s="36" t="n">
        <v>0</v>
      </c>
      <c r="N366" s="37" t="n">
        <v>0.36</v>
      </c>
      <c r="O366" s="38" t="inlineStr">
        <is>
          <t> </t>
        </is>
      </c>
      <c r="P366" s="39" t="n">
        <v>0</v>
      </c>
      <c r="Q366" s="40" t="n">
        <v>0</v>
      </c>
      <c r="R366" s="41" t="inlineStr">
        <is>
          <t>Unclassified</t>
        </is>
      </c>
      <c r="S366" s="41" t="n"/>
    </row>
    <row r="367" ht="20" customHeight="1">
      <c r="A367" s="34" t="inlineStr">
        <is>
          <t>68180051902</t>
        </is>
      </c>
      <c r="B367" s="35" t="inlineStr">
        <is>
          <t xml:space="preserve">LISINOPRIL-HCTZ 20-12.5MG TAB </t>
        </is>
      </c>
      <c r="C367" s="34" t="n">
        <v>500</v>
      </c>
      <c r="D367" s="36" t="n">
        <v>0</v>
      </c>
      <c r="E367" s="36" t="n">
        <v>0</v>
      </c>
      <c r="F367" s="36" t="n">
        <v>-0.42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7" t="n">
        <v>0.42</v>
      </c>
      <c r="O367" s="38" t="inlineStr">
        <is>
          <t> </t>
        </is>
      </c>
      <c r="P367" s="39" t="n">
        <v>0</v>
      </c>
      <c r="Q367" s="40" t="n">
        <v>0</v>
      </c>
      <c r="R367" s="41" t="inlineStr">
        <is>
          <t>Unclassified</t>
        </is>
      </c>
      <c r="S367" s="41" t="n"/>
    </row>
    <row r="368" ht="20" customHeight="1">
      <c r="A368" s="34" t="inlineStr">
        <is>
          <t>31722054501</t>
        </is>
      </c>
      <c r="B368" s="35" t="inlineStr">
        <is>
          <t xml:space="preserve">LITHIUM CARBONATE 300MG CAP </t>
        </is>
      </c>
      <c r="C368" s="34" t="n">
        <v>100</v>
      </c>
      <c r="D368" s="36" t="n">
        <v>0</v>
      </c>
      <c r="E368" s="36" t="n">
        <v>0</v>
      </c>
      <c r="F368" s="36" t="n">
        <v>-1.2</v>
      </c>
      <c r="G368" s="36" t="n">
        <v>0</v>
      </c>
      <c r="H368" s="36" t="n">
        <v>0</v>
      </c>
      <c r="I368" s="36" t="n">
        <v>0</v>
      </c>
      <c r="J368" s="36" t="n">
        <v>0</v>
      </c>
      <c r="K368" s="36" t="n">
        <v>0</v>
      </c>
      <c r="L368" s="36" t="n">
        <v>0</v>
      </c>
      <c r="M368" s="36" t="n">
        <v>0</v>
      </c>
      <c r="N368" s="37" t="n">
        <v>1.2</v>
      </c>
      <c r="O368" s="38" t="inlineStr">
        <is>
          <t> </t>
        </is>
      </c>
      <c r="P368" s="39" t="n">
        <v>0</v>
      </c>
      <c r="Q368" s="40" t="n">
        <v>0</v>
      </c>
      <c r="R368" s="41" t="inlineStr">
        <is>
          <t>Unclassified</t>
        </is>
      </c>
      <c r="S368" s="41" t="n"/>
    </row>
    <row r="369" ht="20" customHeight="1">
      <c r="A369" s="34" t="inlineStr">
        <is>
          <t>00054253125</t>
        </is>
      </c>
      <c r="B369" s="35" t="inlineStr">
        <is>
          <t>LITHIUM CARBONATE 600MG CAPSULE</t>
        </is>
      </c>
      <c r="C369" s="34" t="n">
        <v>100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0</v>
      </c>
      <c r="I369" s="36" t="n">
        <v>0</v>
      </c>
      <c r="J369" s="36" t="n">
        <v>-0.6</v>
      </c>
      <c r="K369" s="36" t="n">
        <v>0</v>
      </c>
      <c r="L369" s="36" t="n">
        <v>0</v>
      </c>
      <c r="M369" s="36" t="n">
        <v>0</v>
      </c>
      <c r="N369" s="37" t="n">
        <v>0.6</v>
      </c>
      <c r="O369" s="38" t="inlineStr">
        <is>
          <t> </t>
        </is>
      </c>
      <c r="P369" s="39" t="n">
        <v>0</v>
      </c>
      <c r="Q369" s="40" t="n">
        <v>0</v>
      </c>
      <c r="R369" s="41" t="inlineStr">
        <is>
          <t>Unclassified</t>
        </is>
      </c>
      <c r="S369" s="41" t="n"/>
    </row>
    <row r="370" ht="20" customHeight="1">
      <c r="A370" s="34" t="inlineStr">
        <is>
          <t>00430042014</t>
        </is>
      </c>
      <c r="B370" s="35" t="inlineStr">
        <is>
          <t>LO LOESTRIN FE 1 MG-10 MCG / 10 MCG ORAL TABLET</t>
        </is>
      </c>
      <c r="C370" s="34" t="n">
        <v>140</v>
      </c>
      <c r="D370" s="36" t="n">
        <v>0</v>
      </c>
      <c r="E370" s="36" t="n">
        <v>0</v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-0.6</v>
      </c>
      <c r="K370" s="36" t="n">
        <v>0</v>
      </c>
      <c r="L370" s="36" t="n">
        <v>0</v>
      </c>
      <c r="M370" s="36" t="n">
        <v>0</v>
      </c>
      <c r="N370" s="37" t="n">
        <v>0.6</v>
      </c>
      <c r="O370" s="38" t="inlineStr">
        <is>
          <t> </t>
        </is>
      </c>
      <c r="P370" s="39" t="n">
        <v>0</v>
      </c>
      <c r="Q370" s="40" t="n">
        <v>0</v>
      </c>
      <c r="R370" s="41" t="inlineStr">
        <is>
          <t>Unclassified</t>
        </is>
      </c>
      <c r="S370" s="41" t="n"/>
    </row>
    <row r="371" ht="20" customHeight="1">
      <c r="A371" s="34" t="inlineStr">
        <is>
          <t>59651002988</t>
        </is>
      </c>
      <c r="B371" s="35" t="inlineStr">
        <is>
          <t>LO-ZUMANDIMINE 3-0.02 MG ORAL TABLET</t>
        </is>
      </c>
      <c r="C371" s="34" t="n">
        <v>84</v>
      </c>
      <c r="D371" s="36" t="n">
        <v>0</v>
      </c>
      <c r="E371" s="36" t="n">
        <v>0</v>
      </c>
      <c r="F371" s="36" t="n">
        <v>-1</v>
      </c>
      <c r="G371" s="36" t="n">
        <v>0</v>
      </c>
      <c r="H371" s="36" t="n">
        <v>0</v>
      </c>
      <c r="I371" s="36" t="n">
        <v>0</v>
      </c>
      <c r="J371" s="36" t="n">
        <v>-1</v>
      </c>
      <c r="K371" s="36" t="n">
        <v>-0.33</v>
      </c>
      <c r="L371" s="36" t="n">
        <v>0</v>
      </c>
      <c r="M371" s="36" t="n">
        <v>0</v>
      </c>
      <c r="N371" s="37" t="n">
        <v>1</v>
      </c>
      <c r="O371" s="38" t="inlineStr">
        <is>
          <t> </t>
        </is>
      </c>
      <c r="P371" s="39" t="n">
        <v>0</v>
      </c>
      <c r="Q371" s="40" t="n">
        <v>0</v>
      </c>
      <c r="R371" s="41" t="inlineStr">
        <is>
          <t>Unclassified</t>
        </is>
      </c>
      <c r="S371" s="41" t="n"/>
    </row>
    <row r="372" ht="20" customHeight="1">
      <c r="A372" s="34" t="inlineStr">
        <is>
          <t>00378210005</t>
        </is>
      </c>
      <c r="B372" s="35" t="inlineStr">
        <is>
          <t xml:space="preserve">LOPERAMIDE 2MG CAP </t>
        </is>
      </c>
      <c r="C372" s="34" t="n">
        <v>500</v>
      </c>
      <c r="D372" s="36" t="n">
        <v>0</v>
      </c>
      <c r="E372" s="36" t="n">
        <v>0</v>
      </c>
      <c r="F372" s="36" t="n">
        <v>-0.11</v>
      </c>
      <c r="G372" s="36" t="n">
        <v>0</v>
      </c>
      <c r="H372" s="36" t="n">
        <v>0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7" t="n">
        <v>0.11</v>
      </c>
      <c r="O372" s="38" t="inlineStr">
        <is>
          <t> </t>
        </is>
      </c>
      <c r="P372" s="39" t="n">
        <v>0</v>
      </c>
      <c r="Q372" s="40" t="n">
        <v>0</v>
      </c>
      <c r="R372" s="41" t="inlineStr">
        <is>
          <t>Unclassified</t>
        </is>
      </c>
      <c r="S372" s="41" t="n"/>
    </row>
    <row r="373" ht="20" customHeight="1">
      <c r="A373" s="34" t="inlineStr">
        <is>
          <t>45802065087</t>
        </is>
      </c>
      <c r="B373" s="35" t="inlineStr">
        <is>
          <t xml:space="preserve">LORATADINE 10MG TAB </t>
        </is>
      </c>
      <c r="C373" s="34" t="n">
        <v>300</v>
      </c>
      <c r="D373" s="36" t="n">
        <v>0</v>
      </c>
      <c r="E373" s="36" t="n">
        <v>0</v>
      </c>
      <c r="F373" s="36" t="n">
        <v>-0.07000000000000001</v>
      </c>
      <c r="G373" s="36" t="n">
        <v>-0.2</v>
      </c>
      <c r="H373" s="36" t="n">
        <v>0</v>
      </c>
      <c r="I373" s="36" t="n">
        <v>-0.1</v>
      </c>
      <c r="J373" s="36" t="n">
        <v>-3</v>
      </c>
      <c r="K373" s="36" t="n">
        <v>0</v>
      </c>
      <c r="L373" s="36" t="n">
        <v>0</v>
      </c>
      <c r="M373" s="36" t="n">
        <v>0</v>
      </c>
      <c r="N373" s="37" t="n">
        <v>3</v>
      </c>
      <c r="O373" s="38" t="inlineStr">
        <is>
          <t> </t>
        </is>
      </c>
      <c r="P373" s="39" t="n">
        <v>0</v>
      </c>
      <c r="Q373" s="40" t="n">
        <v>0</v>
      </c>
      <c r="R373" s="41" t="inlineStr">
        <is>
          <t>Unclassified</t>
        </is>
      </c>
      <c r="S373" s="41" t="n"/>
    </row>
    <row r="374" ht="20" customHeight="1">
      <c r="A374" s="34" t="inlineStr">
        <is>
          <t>51672213108</t>
        </is>
      </c>
      <c r="B374" s="35" t="inlineStr">
        <is>
          <t>LORATADINE CHILDRENS 5 MG/5ML ORAL SOLUTION</t>
        </is>
      </c>
      <c r="C374" s="34" t="n">
        <v>120</v>
      </c>
      <c r="D374" s="36" t="n">
        <v>0</v>
      </c>
      <c r="E374" s="36" t="n">
        <v>0</v>
      </c>
      <c r="F374" s="36" t="n">
        <v>0</v>
      </c>
      <c r="G374" s="36" t="n">
        <v>0</v>
      </c>
      <c r="H374" s="36" t="n">
        <v>0</v>
      </c>
      <c r="I374" s="36" t="n">
        <v>0</v>
      </c>
      <c r="J374" s="36" t="n">
        <v>-1</v>
      </c>
      <c r="K374" s="36" t="n">
        <v>0</v>
      </c>
      <c r="L374" s="36" t="n">
        <v>0</v>
      </c>
      <c r="M374" s="36" t="n">
        <v>0</v>
      </c>
      <c r="N374" s="37" t="n">
        <v>1</v>
      </c>
      <c r="O374" s="38" t="inlineStr">
        <is>
          <t> </t>
        </is>
      </c>
      <c r="P374" s="39" t="n">
        <v>0</v>
      </c>
      <c r="Q374" s="40" t="n">
        <v>0</v>
      </c>
      <c r="R374" s="41" t="inlineStr">
        <is>
          <t>Unclassified</t>
        </is>
      </c>
      <c r="S374" s="41" t="n"/>
    </row>
    <row r="375" ht="20" customHeight="1">
      <c r="A375" s="34" t="inlineStr">
        <is>
          <t>65862020399</t>
        </is>
      </c>
      <c r="B375" s="35" t="inlineStr">
        <is>
          <t>LOSARTAN 100MG TABLET</t>
        </is>
      </c>
      <c r="C375" s="34" t="n">
        <v>1000</v>
      </c>
      <c r="D375" s="36" t="n">
        <v>0</v>
      </c>
      <c r="E375" s="36" t="n">
        <v>0</v>
      </c>
      <c r="F375" s="36" t="n">
        <v>-0.75</v>
      </c>
      <c r="G375" s="36" t="n">
        <v>-0.18</v>
      </c>
      <c r="H375" s="36" t="n">
        <v>0</v>
      </c>
      <c r="I375" s="36" t="n">
        <v>0</v>
      </c>
      <c r="J375" s="36" t="n">
        <v>-0.27</v>
      </c>
      <c r="K375" s="36" t="n">
        <v>-0.09</v>
      </c>
      <c r="L375" s="36" t="n">
        <v>0</v>
      </c>
      <c r="M375" s="36" t="n">
        <v>0</v>
      </c>
      <c r="N375" s="37" t="n">
        <v>0.75</v>
      </c>
      <c r="O375" s="38" t="inlineStr">
        <is>
          <t> </t>
        </is>
      </c>
      <c r="P375" s="39" t="n">
        <v>0</v>
      </c>
      <c r="Q375" s="40" t="n">
        <v>0</v>
      </c>
      <c r="R375" s="41" t="inlineStr">
        <is>
          <t>Unclassified</t>
        </is>
      </c>
      <c r="S375" s="41" t="n"/>
    </row>
    <row r="376" ht="20" customHeight="1">
      <c r="A376" s="34" t="inlineStr">
        <is>
          <t>65862020299</t>
        </is>
      </c>
      <c r="B376" s="35" t="inlineStr">
        <is>
          <t>LOSARTAN 50MG TABLET</t>
        </is>
      </c>
      <c r="C376" s="34" t="n">
        <v>1000</v>
      </c>
      <c r="D376" s="36" t="n">
        <v>0</v>
      </c>
      <c r="E376" s="36" t="n">
        <v>0</v>
      </c>
      <c r="F376" s="36" t="n">
        <v>-0.75</v>
      </c>
      <c r="G376" s="36" t="n">
        <v>-0.06</v>
      </c>
      <c r="H376" s="36" t="n">
        <v>0</v>
      </c>
      <c r="I376" s="36" t="n">
        <v>0</v>
      </c>
      <c r="J376" s="36" t="n">
        <v>-0.18</v>
      </c>
      <c r="K376" s="36" t="n">
        <v>-0.09</v>
      </c>
      <c r="L376" s="36" t="n">
        <v>0</v>
      </c>
      <c r="M376" s="36" t="n">
        <v>0</v>
      </c>
      <c r="N376" s="37" t="n">
        <v>0.75</v>
      </c>
      <c r="O376" s="38" t="inlineStr">
        <is>
          <t> </t>
        </is>
      </c>
      <c r="P376" s="39" t="n">
        <v>0</v>
      </c>
      <c r="Q376" s="40" t="n">
        <v>0</v>
      </c>
      <c r="R376" s="41" t="inlineStr">
        <is>
          <t>Unclassified</t>
        </is>
      </c>
      <c r="S376" s="41" t="n"/>
    </row>
    <row r="377" ht="20" customHeight="1">
      <c r="A377" s="34" t="inlineStr">
        <is>
          <t>00093736810</t>
        </is>
      </c>
      <c r="B377" s="35" t="inlineStr">
        <is>
          <t>LOSARTAN HCTZ 100-25MG TABLET</t>
        </is>
      </c>
      <c r="C377" s="34" t="n">
        <v>1000</v>
      </c>
      <c r="D377" s="36" t="n">
        <v>0</v>
      </c>
      <c r="E377" s="36" t="n">
        <v>0</v>
      </c>
      <c r="F377" s="36" t="n">
        <v>-0.27</v>
      </c>
      <c r="G377" s="36" t="n">
        <v>-0.18</v>
      </c>
      <c r="H377" s="36" t="n">
        <v>0</v>
      </c>
      <c r="I377" s="36" t="n">
        <v>0</v>
      </c>
      <c r="J377" s="36" t="n">
        <v>-0.09</v>
      </c>
      <c r="K377" s="36" t="n">
        <v>0</v>
      </c>
      <c r="L377" s="36" t="n">
        <v>0</v>
      </c>
      <c r="M377" s="36" t="n">
        <v>0</v>
      </c>
      <c r="N377" s="37" t="n">
        <v>0.27</v>
      </c>
      <c r="O377" s="38" t="inlineStr">
        <is>
          <t> </t>
        </is>
      </c>
      <c r="P377" s="39" t="n">
        <v>0</v>
      </c>
      <c r="Q377" s="40" t="n">
        <v>0</v>
      </c>
      <c r="R377" s="41" t="inlineStr">
        <is>
          <t>Unclassified</t>
        </is>
      </c>
      <c r="S377" s="41" t="n"/>
    </row>
    <row r="378" ht="20" customHeight="1">
      <c r="A378" s="34" t="inlineStr">
        <is>
          <t>68180037603</t>
        </is>
      </c>
      <c r="B378" s="35" t="inlineStr">
        <is>
          <t>LOSARTAN POTASSIUM 25MG TABLET</t>
        </is>
      </c>
      <c r="C378" s="34" t="n">
        <v>1000</v>
      </c>
      <c r="D378" s="36" t="n">
        <v>0</v>
      </c>
      <c r="E378" s="36" t="n">
        <v>0</v>
      </c>
      <c r="F378" s="36" t="n">
        <v>-0.84</v>
      </c>
      <c r="G378" s="36" t="n">
        <v>-0.09</v>
      </c>
      <c r="H378" s="36" t="n">
        <v>0</v>
      </c>
      <c r="I378" s="36" t="n">
        <v>0</v>
      </c>
      <c r="J378" s="36" t="n">
        <v>-0.09</v>
      </c>
      <c r="K378" s="36" t="n">
        <v>0</v>
      </c>
      <c r="L378" s="36" t="n">
        <v>0</v>
      </c>
      <c r="M378" s="36" t="n">
        <v>0</v>
      </c>
      <c r="N378" s="37" t="n">
        <v>0.84</v>
      </c>
      <c r="O378" s="38" t="inlineStr">
        <is>
          <t> </t>
        </is>
      </c>
      <c r="P378" s="39" t="n">
        <v>0</v>
      </c>
      <c r="Q378" s="40" t="n">
        <v>0</v>
      </c>
      <c r="R378" s="41" t="inlineStr">
        <is>
          <t>Unclassified</t>
        </is>
      </c>
      <c r="S378" s="41" t="n"/>
    </row>
    <row r="379" ht="20" customHeight="1">
      <c r="A379" s="34" t="inlineStr">
        <is>
          <t>43547042409</t>
        </is>
      </c>
      <c r="B379" s="35" t="inlineStr">
        <is>
          <t>LOSARTAN-HCTZ 100-25MG TABLET</t>
        </is>
      </c>
      <c r="C379" s="34" t="n">
        <v>90</v>
      </c>
      <c r="D379" s="36" t="n">
        <v>1</v>
      </c>
      <c r="E379" s="36" t="n">
        <v>1</v>
      </c>
      <c r="F379" s="36" t="n">
        <v>-3.67</v>
      </c>
      <c r="G379" s="36" t="n">
        <v>1</v>
      </c>
      <c r="H379" s="36" t="n">
        <v>1</v>
      </c>
      <c r="I379" s="36" t="n">
        <v>1</v>
      </c>
      <c r="J379" s="36" t="n">
        <v>1</v>
      </c>
      <c r="K379" s="36" t="n">
        <v>1</v>
      </c>
      <c r="L379" s="36" t="n">
        <v>1</v>
      </c>
      <c r="M379" s="36" t="n">
        <v>1</v>
      </c>
      <c r="N379" s="37" t="n">
        <v>3.67</v>
      </c>
      <c r="O379" s="38" t="inlineStr">
        <is>
          <t> </t>
        </is>
      </c>
      <c r="P379" s="39" t="n">
        <v>10</v>
      </c>
      <c r="Q379" s="40" t="n">
        <v>36.67</v>
      </c>
      <c r="R379" s="41" t="inlineStr">
        <is>
          <t>Generic Drug</t>
        </is>
      </c>
      <c r="S379" s="41" t="n"/>
    </row>
    <row r="380" ht="20" customHeight="1">
      <c r="A380" s="34" t="inlineStr">
        <is>
          <t>33342005144</t>
        </is>
      </c>
      <c r="B380" s="35" t="inlineStr">
        <is>
          <t>LOSARTANHCTZ 100-12.5 MG TABLET</t>
        </is>
      </c>
      <c r="C380" s="34" t="n">
        <v>1000</v>
      </c>
      <c r="D380" s="36" t="n">
        <v>0</v>
      </c>
      <c r="E380" s="36" t="n">
        <v>0</v>
      </c>
      <c r="F380" s="36" t="n">
        <v>-0.18</v>
      </c>
      <c r="G380" s="36" t="n">
        <v>0</v>
      </c>
      <c r="H380" s="36" t="n">
        <v>0</v>
      </c>
      <c r="I380" s="36" t="n">
        <v>0</v>
      </c>
      <c r="J380" s="36" t="n">
        <v>-0.18</v>
      </c>
      <c r="K380" s="36" t="n">
        <v>-0.03</v>
      </c>
      <c r="L380" s="36" t="n">
        <v>0</v>
      </c>
      <c r="M380" s="36" t="n">
        <v>0</v>
      </c>
      <c r="N380" s="37" t="n">
        <v>0.18</v>
      </c>
      <c r="O380" s="38" t="inlineStr">
        <is>
          <t> </t>
        </is>
      </c>
      <c r="P380" s="39" t="n">
        <v>0</v>
      </c>
      <c r="Q380" s="40" t="n">
        <v>0</v>
      </c>
      <c r="R380" s="41" t="inlineStr">
        <is>
          <t>Unclassified</t>
        </is>
      </c>
      <c r="S380" s="41" t="n"/>
    </row>
    <row r="381" ht="20" customHeight="1">
      <c r="A381" s="34" t="inlineStr">
        <is>
          <t>68180046801</t>
        </is>
      </c>
      <c r="B381" s="35" t="inlineStr">
        <is>
          <t xml:space="preserve">LOVASTATIN 20MG TAB </t>
        </is>
      </c>
      <c r="C381" s="34" t="n">
        <v>100</v>
      </c>
      <c r="D381" s="36" t="n">
        <v>0</v>
      </c>
      <c r="E381" s="36" t="n">
        <v>0</v>
      </c>
      <c r="F381" s="36" t="n">
        <v>-0.9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7" t="n">
        <v>0.9</v>
      </c>
      <c r="O381" s="38" t="inlineStr">
        <is>
          <t> </t>
        </is>
      </c>
      <c r="P381" s="39" t="n">
        <v>0</v>
      </c>
      <c r="Q381" s="40" t="n">
        <v>0</v>
      </c>
      <c r="R381" s="41" t="inlineStr">
        <is>
          <t>Unclassified</t>
        </is>
      </c>
      <c r="S381" s="41" t="n"/>
    </row>
    <row r="382" ht="20" customHeight="1">
      <c r="A382" s="34" t="inlineStr">
        <is>
          <t>00023320505</t>
        </is>
      </c>
      <c r="B382" s="35" t="inlineStr">
        <is>
          <t>LUMIGAN 0.01 % OPHTHALMIC SOLUTION</t>
        </is>
      </c>
      <c r="C382" s="34" t="n">
        <v>5</v>
      </c>
      <c r="D382" s="36" t="n">
        <v>1</v>
      </c>
      <c r="E382" s="36" t="n">
        <v>1</v>
      </c>
      <c r="F382" s="36" t="n">
        <v>-1</v>
      </c>
      <c r="G382" s="36" t="n">
        <v>1</v>
      </c>
      <c r="H382" s="36" t="n">
        <v>1</v>
      </c>
      <c r="I382" s="36" t="n">
        <v>1</v>
      </c>
      <c r="J382" s="36" t="n">
        <v>1</v>
      </c>
      <c r="K382" s="36" t="n">
        <v>1</v>
      </c>
      <c r="L382" s="36" t="n">
        <v>1</v>
      </c>
      <c r="M382" s="36" t="n">
        <v>1</v>
      </c>
      <c r="N382" s="37" t="n">
        <v>1</v>
      </c>
      <c r="O382" s="38" t="inlineStr">
        <is>
          <t> </t>
        </is>
      </c>
      <c r="P382" s="39" t="n">
        <v>524</v>
      </c>
      <c r="Q382" s="40" t="n">
        <v>524</v>
      </c>
      <c r="R382" s="41" t="inlineStr">
        <is>
          <t>Branded Drug</t>
        </is>
      </c>
      <c r="S382" s="41" t="n"/>
    </row>
    <row r="383" ht="20" customHeight="1">
      <c r="A383" s="34" t="inlineStr">
        <is>
          <t>00023320508</t>
        </is>
      </c>
      <c r="B383" s="35" t="inlineStr">
        <is>
          <t>LUMIGAN 0.01% SOLUTION</t>
        </is>
      </c>
      <c r="C383" s="34" t="n">
        <v>7.5</v>
      </c>
      <c r="D383" s="36" t="n">
        <v>2</v>
      </c>
      <c r="E383" s="36" t="n">
        <v>2</v>
      </c>
      <c r="F383" s="36" t="n">
        <v>-1</v>
      </c>
      <c r="G383" s="36" t="n">
        <v>2</v>
      </c>
      <c r="H383" s="36" t="n">
        <v>2</v>
      </c>
      <c r="I383" s="36" t="n">
        <v>2</v>
      </c>
      <c r="J383" s="36" t="n">
        <v>1</v>
      </c>
      <c r="K383" s="36" t="n">
        <v>2</v>
      </c>
      <c r="L383" s="36" t="n">
        <v>2</v>
      </c>
      <c r="M383" s="36" t="n">
        <v>2</v>
      </c>
      <c r="N383" s="37" t="n">
        <v>1</v>
      </c>
      <c r="O383" s="38" t="inlineStr">
        <is>
          <t> </t>
        </is>
      </c>
      <c r="P383" s="39" t="n">
        <v>786</v>
      </c>
      <c r="Q383" s="40" t="n">
        <v>786</v>
      </c>
      <c r="R383" s="41" t="inlineStr">
        <is>
          <t>Branded Drug</t>
        </is>
      </c>
      <c r="S383" s="41" t="n"/>
    </row>
    <row r="384" ht="20" customHeight="1">
      <c r="A384" s="34" t="inlineStr">
        <is>
          <t>00603020922</t>
        </is>
      </c>
      <c r="B384" s="35" t="inlineStr">
        <is>
          <t>MAGNESIUM OXIDE 400MG TABLET</t>
        </is>
      </c>
      <c r="C384" s="34" t="n">
        <v>120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0</v>
      </c>
      <c r="I384" s="36" t="n">
        <v>0</v>
      </c>
      <c r="J384" s="36" t="n">
        <v>-0.25</v>
      </c>
      <c r="K384" s="36" t="n">
        <v>0</v>
      </c>
      <c r="L384" s="36" t="n">
        <v>0</v>
      </c>
      <c r="M384" s="36" t="n">
        <v>0</v>
      </c>
      <c r="N384" s="37" t="n">
        <v>0.25</v>
      </c>
      <c r="O384" s="38" t="inlineStr">
        <is>
          <t> </t>
        </is>
      </c>
      <c r="P384" s="39" t="n">
        <v>0</v>
      </c>
      <c r="Q384" s="40" t="n">
        <v>0</v>
      </c>
      <c r="R384" s="41" t="inlineStr">
        <is>
          <t>Unclassified</t>
        </is>
      </c>
      <c r="S384" s="41" t="n"/>
    </row>
    <row r="385" ht="20" customHeight="1">
      <c r="A385" s="34" t="inlineStr">
        <is>
          <t>00536129710</t>
        </is>
      </c>
      <c r="B385" s="35" t="inlineStr">
        <is>
          <t>MECLIZINE 12.5MG TABLET</t>
        </is>
      </c>
      <c r="C385" s="34" t="n">
        <v>1000</v>
      </c>
      <c r="D385" s="36" t="n">
        <v>0</v>
      </c>
      <c r="E385" s="36" t="n">
        <v>0</v>
      </c>
      <c r="F385" s="36" t="n">
        <v>0</v>
      </c>
      <c r="G385" s="36" t="n">
        <v>0</v>
      </c>
      <c r="H385" s="36" t="n">
        <v>0</v>
      </c>
      <c r="I385" s="36" t="n">
        <v>0</v>
      </c>
      <c r="J385" s="36" t="n">
        <v>-0.27</v>
      </c>
      <c r="K385" s="36" t="n">
        <v>0</v>
      </c>
      <c r="L385" s="36" t="n">
        <v>0</v>
      </c>
      <c r="M385" s="36" t="n">
        <v>0</v>
      </c>
      <c r="N385" s="37" t="n">
        <v>0.27</v>
      </c>
      <c r="O385" s="38" t="inlineStr">
        <is>
          <t> </t>
        </is>
      </c>
      <c r="P385" s="39" t="n">
        <v>0</v>
      </c>
      <c r="Q385" s="40" t="n">
        <v>0</v>
      </c>
      <c r="R385" s="41" t="inlineStr">
        <is>
          <t>Unclassified</t>
        </is>
      </c>
      <c r="S385" s="41" t="n"/>
    </row>
    <row r="386" ht="20" customHeight="1">
      <c r="A386" s="34" t="inlineStr">
        <is>
          <t>65162044210</t>
        </is>
      </c>
      <c r="B386" s="35" t="inlineStr">
        <is>
          <t>MECLIZINE 25MG TABLET</t>
        </is>
      </c>
      <c r="C386" s="34" t="n">
        <v>100</v>
      </c>
      <c r="D386" s="36" t="n">
        <v>0</v>
      </c>
      <c r="E386" s="36" t="n">
        <v>0</v>
      </c>
      <c r="F386" s="36" t="n">
        <v>-0.3</v>
      </c>
      <c r="G386" s="36" t="n">
        <v>0</v>
      </c>
      <c r="H386" s="36" t="n">
        <v>0</v>
      </c>
      <c r="I386" s="36" t="n">
        <v>0</v>
      </c>
      <c r="J386" s="36" t="n">
        <v>0</v>
      </c>
      <c r="K386" s="36" t="n">
        <v>-0.9</v>
      </c>
      <c r="L386" s="36" t="n">
        <v>0</v>
      </c>
      <c r="M386" s="36" t="n">
        <v>0</v>
      </c>
      <c r="N386" s="37" t="n">
        <v>0.9</v>
      </c>
      <c r="O386" s="38" t="inlineStr">
        <is>
          <t> </t>
        </is>
      </c>
      <c r="P386" s="39" t="n">
        <v>0</v>
      </c>
      <c r="Q386" s="40" t="n">
        <v>0</v>
      </c>
      <c r="R386" s="41" t="inlineStr">
        <is>
          <t>Unclassified</t>
        </is>
      </c>
      <c r="S386" s="41" t="n"/>
    </row>
    <row r="387" ht="20" customHeight="1">
      <c r="A387" s="34" t="inlineStr">
        <is>
          <t>59746012110</t>
        </is>
      </c>
      <c r="B387" s="35" t="inlineStr">
        <is>
          <t>MECLIZINE HCL 25MG TABLET</t>
        </is>
      </c>
      <c r="C387" s="34" t="n">
        <v>1000</v>
      </c>
      <c r="D387" s="36" t="n">
        <v>0</v>
      </c>
      <c r="E387" s="36" t="n">
        <v>0</v>
      </c>
      <c r="F387" s="36" t="n">
        <v>-0.17</v>
      </c>
      <c r="G387" s="36" t="n">
        <v>-0.03</v>
      </c>
      <c r="H387" s="36" t="n">
        <v>0</v>
      </c>
      <c r="I387" s="36" t="n">
        <v>0</v>
      </c>
      <c r="J387" s="36" t="n">
        <v>-0.12</v>
      </c>
      <c r="K387" s="36" t="n">
        <v>-0.09</v>
      </c>
      <c r="L387" s="36" t="n">
        <v>0</v>
      </c>
      <c r="M387" s="36" t="n">
        <v>0</v>
      </c>
      <c r="N387" s="37" t="n">
        <v>0.17</v>
      </c>
      <c r="O387" s="38" t="inlineStr">
        <is>
          <t> </t>
        </is>
      </c>
      <c r="P387" s="39" t="n">
        <v>0</v>
      </c>
      <c r="Q387" s="40" t="n">
        <v>0</v>
      </c>
      <c r="R387" s="41" t="inlineStr">
        <is>
          <t>Unclassified</t>
        </is>
      </c>
      <c r="S387" s="41" t="n"/>
    </row>
    <row r="388" ht="20" customHeight="1">
      <c r="A388" s="34" t="inlineStr">
        <is>
          <t>69097015912</t>
        </is>
      </c>
      <c r="B388" s="35" t="inlineStr">
        <is>
          <t xml:space="preserve">MELOXICAM 15MG TAB </t>
        </is>
      </c>
      <c r="C388" s="34" t="n">
        <v>500</v>
      </c>
      <c r="D388" s="36" t="n">
        <v>0</v>
      </c>
      <c r="E388" s="36" t="n">
        <v>0</v>
      </c>
      <c r="F388" s="36" t="n">
        <v>-0.77</v>
      </c>
      <c r="G388" s="36" t="n">
        <v>-0.06</v>
      </c>
      <c r="H388" s="36" t="n">
        <v>0</v>
      </c>
      <c r="I388" s="36" t="n">
        <v>-0.06</v>
      </c>
      <c r="J388" s="36" t="n">
        <v>-0.06</v>
      </c>
      <c r="K388" s="36" t="n">
        <v>-0.06</v>
      </c>
      <c r="L388" s="36" t="n">
        <v>0</v>
      </c>
      <c r="M388" s="36" t="n">
        <v>-0.06</v>
      </c>
      <c r="N388" s="37" t="n">
        <v>0.77</v>
      </c>
      <c r="O388" s="38" t="inlineStr">
        <is>
          <t> </t>
        </is>
      </c>
      <c r="P388" s="39" t="n">
        <v>0</v>
      </c>
      <c r="Q388" s="40" t="n">
        <v>0</v>
      </c>
      <c r="R388" s="41" t="inlineStr">
        <is>
          <t>Unclassified</t>
        </is>
      </c>
      <c r="S388" s="41" t="n"/>
    </row>
    <row r="389" ht="20" customHeight="1">
      <c r="A389" s="34" t="inlineStr">
        <is>
          <t>69097015915</t>
        </is>
      </c>
      <c r="B389" s="35" t="inlineStr">
        <is>
          <t>MELOXICAM 15MG TABLET</t>
        </is>
      </c>
      <c r="C389" s="34" t="n">
        <v>1000</v>
      </c>
      <c r="D389" s="36" t="n">
        <v>0</v>
      </c>
      <c r="E389" s="36" t="n">
        <v>0</v>
      </c>
      <c r="F389" s="36" t="n">
        <v>-0.03</v>
      </c>
      <c r="G389" s="36" t="n">
        <v>0</v>
      </c>
      <c r="H389" s="36" t="n">
        <v>0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7" t="n">
        <v>0.03</v>
      </c>
      <c r="O389" s="38" t="inlineStr">
        <is>
          <t> </t>
        </is>
      </c>
      <c r="P389" s="39" t="n">
        <v>0</v>
      </c>
      <c r="Q389" s="40" t="n">
        <v>0</v>
      </c>
      <c r="R389" s="41" t="inlineStr">
        <is>
          <t>Unclassified</t>
        </is>
      </c>
      <c r="S389" s="41" t="n"/>
    </row>
    <row r="390" ht="20" customHeight="1">
      <c r="A390" s="34" t="inlineStr">
        <is>
          <t>69097015815</t>
        </is>
      </c>
      <c r="B390" s="35" t="inlineStr">
        <is>
          <t xml:space="preserve">MELOXICAM 7.5MG TAB </t>
        </is>
      </c>
      <c r="C390" s="34" t="n">
        <v>1000</v>
      </c>
      <c r="D390" s="36" t="n">
        <v>0</v>
      </c>
      <c r="E390" s="36" t="n">
        <v>0</v>
      </c>
      <c r="F390" s="36" t="n">
        <v>0</v>
      </c>
      <c r="G390" s="36" t="n">
        <v>0</v>
      </c>
      <c r="H390" s="36" t="n">
        <v>0</v>
      </c>
      <c r="I390" s="36" t="n">
        <v>-0.03</v>
      </c>
      <c r="J390" s="36" t="n">
        <v>-0.03</v>
      </c>
      <c r="K390" s="36" t="n">
        <v>0</v>
      </c>
      <c r="L390" s="36" t="n">
        <v>0</v>
      </c>
      <c r="M390" s="36" t="n">
        <v>0</v>
      </c>
      <c r="N390" s="37" t="n">
        <v>0.03</v>
      </c>
      <c r="O390" s="38" t="inlineStr">
        <is>
          <t> </t>
        </is>
      </c>
      <c r="P390" s="39" t="n">
        <v>0</v>
      </c>
      <c r="Q390" s="40" t="n">
        <v>0</v>
      </c>
      <c r="R390" s="41" t="inlineStr">
        <is>
          <t>Unclassified</t>
        </is>
      </c>
      <c r="S390" s="41" t="n"/>
    </row>
    <row r="391" ht="20" customHeight="1">
      <c r="A391" s="34" t="inlineStr">
        <is>
          <t>33342029815</t>
        </is>
      </c>
      <c r="B391" s="35" t="inlineStr">
        <is>
          <t>MEMANTINE 10MG TABLET</t>
        </is>
      </c>
      <c r="C391" s="34" t="n">
        <v>500</v>
      </c>
      <c r="D391" s="36" t="n">
        <v>0</v>
      </c>
      <c r="E391" s="36" t="n">
        <v>0</v>
      </c>
      <c r="F391" s="36" t="n">
        <v>-0.3</v>
      </c>
      <c r="G391" s="36" t="n">
        <v>-0.12</v>
      </c>
      <c r="H391" s="36" t="n">
        <v>0</v>
      </c>
      <c r="I391" s="36" t="n">
        <v>0</v>
      </c>
      <c r="J391" s="36" t="n">
        <v>-0.12</v>
      </c>
      <c r="K391" s="36" t="n">
        <v>0</v>
      </c>
      <c r="L391" s="36" t="n">
        <v>0</v>
      </c>
      <c r="M391" s="36" t="n">
        <v>0</v>
      </c>
      <c r="N391" s="37" t="n">
        <v>0.3</v>
      </c>
      <c r="O391" s="38" t="inlineStr">
        <is>
          <t> </t>
        </is>
      </c>
      <c r="P391" s="39" t="n">
        <v>0</v>
      </c>
      <c r="Q391" s="40" t="n">
        <v>0</v>
      </c>
      <c r="R391" s="41" t="inlineStr">
        <is>
          <t>Unclassified</t>
        </is>
      </c>
      <c r="S391" s="41" t="n"/>
    </row>
    <row r="392" ht="20" customHeight="1">
      <c r="A392" s="34" t="inlineStr">
        <is>
          <t>70436005704</t>
        </is>
      </c>
      <c r="B392" s="35" t="inlineStr">
        <is>
          <t>MEMANTINE 28MG CAPSULE ER</t>
        </is>
      </c>
      <c r="C392" s="34" t="n">
        <v>30</v>
      </c>
      <c r="D392" s="36" t="n">
        <v>0</v>
      </c>
      <c r="E392" s="36" t="n">
        <v>0</v>
      </c>
      <c r="F392" s="36" t="n">
        <v>-1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6" t="n">
        <v>0</v>
      </c>
      <c r="M392" s="36" t="n">
        <v>0</v>
      </c>
      <c r="N392" s="37" t="n">
        <v>1</v>
      </c>
      <c r="O392" s="38" t="inlineStr">
        <is>
          <t> </t>
        </is>
      </c>
      <c r="P392" s="39" t="n">
        <v>0</v>
      </c>
      <c r="Q392" s="40" t="n">
        <v>0</v>
      </c>
      <c r="R392" s="41" t="inlineStr">
        <is>
          <t>Unclassified</t>
        </is>
      </c>
      <c r="S392" s="41" t="n"/>
    </row>
    <row r="393" ht="20" customHeight="1">
      <c r="A393" s="34" t="inlineStr">
        <is>
          <t>61442019205</t>
        </is>
      </c>
      <c r="B393" s="35" t="inlineStr">
        <is>
          <t>MEMANTINE 5MG TABLET</t>
        </is>
      </c>
      <c r="C393" s="34" t="n">
        <v>500</v>
      </c>
      <c r="D393" s="36" t="n">
        <v>0</v>
      </c>
      <c r="E393" s="36" t="n">
        <v>0</v>
      </c>
      <c r="F393" s="36" t="n">
        <v>-0.54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7" t="n">
        <v>0.54</v>
      </c>
      <c r="O393" s="38" t="inlineStr">
        <is>
          <t> </t>
        </is>
      </c>
      <c r="P393" s="39" t="n">
        <v>0</v>
      </c>
      <c r="Q393" s="40" t="n">
        <v>0</v>
      </c>
      <c r="R393" s="41" t="inlineStr">
        <is>
          <t>Unclassified</t>
        </is>
      </c>
      <c r="S393" s="41" t="n"/>
    </row>
    <row r="394" ht="20" customHeight="1">
      <c r="A394" s="34" t="inlineStr">
        <is>
          <t>70010006410</t>
        </is>
      </c>
      <c r="B394" s="35" t="inlineStr">
        <is>
          <t>METFORMIN 850 MG TABLET</t>
        </is>
      </c>
      <c r="C394" s="34" t="n">
        <v>1000</v>
      </c>
      <c r="D394" s="36" t="n">
        <v>0</v>
      </c>
      <c r="E394" s="36" t="n">
        <v>0</v>
      </c>
      <c r="F394" s="36" t="n">
        <v>-0.18</v>
      </c>
      <c r="G394" s="36" t="n">
        <v>-0.18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7" t="n">
        <v>0.18</v>
      </c>
      <c r="O394" s="38" t="inlineStr">
        <is>
          <t> </t>
        </is>
      </c>
      <c r="P394" s="39" t="n">
        <v>0</v>
      </c>
      <c r="Q394" s="40" t="n">
        <v>0</v>
      </c>
      <c r="R394" s="41" t="inlineStr">
        <is>
          <t>Unclassified</t>
        </is>
      </c>
      <c r="S394" s="41" t="n"/>
    </row>
    <row r="395" ht="20" customHeight="1">
      <c r="A395" s="34" t="inlineStr">
        <is>
          <t>62756014202</t>
        </is>
      </c>
      <c r="B395" s="35" t="inlineStr">
        <is>
          <t xml:space="preserve">METFORMIN ER 500MG TAB </t>
        </is>
      </c>
      <c r="C395" s="34" t="n">
        <v>500</v>
      </c>
      <c r="D395" s="36" t="n">
        <v>0</v>
      </c>
      <c r="E395" s="36" t="n">
        <v>0</v>
      </c>
      <c r="F395" s="36" t="n">
        <v>-0.42</v>
      </c>
      <c r="G395" s="36" t="n">
        <v>0</v>
      </c>
      <c r="H395" s="36" t="n">
        <v>0</v>
      </c>
      <c r="I395" s="36" t="n">
        <v>0</v>
      </c>
      <c r="J395" s="36" t="n">
        <v>-0.24</v>
      </c>
      <c r="K395" s="36" t="n">
        <v>0</v>
      </c>
      <c r="L395" s="36" t="n">
        <v>0</v>
      </c>
      <c r="M395" s="36" t="n">
        <v>0</v>
      </c>
      <c r="N395" s="37" t="n">
        <v>0.42</v>
      </c>
      <c r="O395" s="38" t="inlineStr">
        <is>
          <t> </t>
        </is>
      </c>
      <c r="P395" s="39" t="n">
        <v>0</v>
      </c>
      <c r="Q395" s="40" t="n">
        <v>0</v>
      </c>
      <c r="R395" s="41" t="inlineStr">
        <is>
          <t>Unclassified</t>
        </is>
      </c>
      <c r="S395" s="41" t="n"/>
    </row>
    <row r="396" ht="20" customHeight="1">
      <c r="A396" s="34" t="inlineStr">
        <is>
          <t>67877015905</t>
        </is>
      </c>
      <c r="B396" s="35" t="inlineStr">
        <is>
          <t xml:space="preserve">METFORMIN ER 500MG TABLET </t>
        </is>
      </c>
      <c r="C396" s="34" t="n">
        <v>500</v>
      </c>
      <c r="D396" s="36" t="n">
        <v>0</v>
      </c>
      <c r="E396" s="36" t="n">
        <v>0</v>
      </c>
      <c r="F396" s="36" t="n">
        <v>-0.48</v>
      </c>
      <c r="G396" s="36" t="n">
        <v>0</v>
      </c>
      <c r="H396" s="36" t="n">
        <v>0</v>
      </c>
      <c r="I396" s="36" t="n">
        <v>0</v>
      </c>
      <c r="J396" s="36" t="n">
        <v>-0.12</v>
      </c>
      <c r="K396" s="36" t="n">
        <v>0</v>
      </c>
      <c r="L396" s="36" t="n">
        <v>0</v>
      </c>
      <c r="M396" s="36" t="n">
        <v>0</v>
      </c>
      <c r="N396" s="37" t="n">
        <v>0.48</v>
      </c>
      <c r="O396" s="38" t="inlineStr">
        <is>
          <t> </t>
        </is>
      </c>
      <c r="P396" s="39" t="n">
        <v>0</v>
      </c>
      <c r="Q396" s="40" t="n">
        <v>0</v>
      </c>
      <c r="R396" s="41" t="inlineStr">
        <is>
          <t>Unclassified</t>
        </is>
      </c>
      <c r="S396" s="41" t="n"/>
    </row>
    <row r="397" ht="20" customHeight="1">
      <c r="A397" s="34" t="inlineStr">
        <is>
          <t>65862078201</t>
        </is>
      </c>
      <c r="B397" s="35" t="inlineStr">
        <is>
          <t>METHENAMINE HIPPURATE 1GM TABLET</t>
        </is>
      </c>
      <c r="C397" s="34" t="n">
        <v>100</v>
      </c>
      <c r="D397" s="36" t="n">
        <v>0</v>
      </c>
      <c r="E397" s="36" t="n">
        <v>0</v>
      </c>
      <c r="F397" s="36" t="n">
        <v>-1.2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7" t="n">
        <v>1.2</v>
      </c>
      <c r="O397" s="38" t="inlineStr">
        <is>
          <t> </t>
        </is>
      </c>
      <c r="P397" s="39" t="n">
        <v>0</v>
      </c>
      <c r="Q397" s="40" t="n">
        <v>0</v>
      </c>
      <c r="R397" s="41" t="inlineStr">
        <is>
          <t>Unclassified</t>
        </is>
      </c>
      <c r="S397" s="41" t="n"/>
    </row>
    <row r="398" ht="20" customHeight="1">
      <c r="A398" s="34" t="inlineStr">
        <is>
          <t>23155007101</t>
        </is>
      </c>
      <c r="B398" s="35" t="inlineStr">
        <is>
          <t xml:space="preserve">METHIMAZOLE 10MG TAB </t>
        </is>
      </c>
      <c r="C398" s="34" t="n">
        <v>100</v>
      </c>
      <c r="D398" s="36" t="n">
        <v>0</v>
      </c>
      <c r="E398" s="36" t="n">
        <v>0</v>
      </c>
      <c r="F398" s="36" t="n">
        <v>-0.9</v>
      </c>
      <c r="G398" s="36" t="n">
        <v>0</v>
      </c>
      <c r="H398" s="36" t="n">
        <v>0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7" t="n">
        <v>0.9</v>
      </c>
      <c r="O398" s="38" t="inlineStr">
        <is>
          <t> </t>
        </is>
      </c>
      <c r="P398" s="39" t="n">
        <v>0</v>
      </c>
      <c r="Q398" s="40" t="n">
        <v>0</v>
      </c>
      <c r="R398" s="41" t="inlineStr">
        <is>
          <t>Unclassified</t>
        </is>
      </c>
      <c r="S398" s="41" t="n"/>
    </row>
    <row r="399" ht="20" customHeight="1">
      <c r="A399" s="34" t="inlineStr">
        <is>
          <t>70010075401</t>
        </is>
      </c>
      <c r="B399" s="35" t="inlineStr">
        <is>
          <t xml:space="preserve">METHOCARBAMOL 500MG TAB 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0</v>
      </c>
      <c r="I399" s="36" t="n">
        <v>-0.9</v>
      </c>
      <c r="J399" s="36" t="n">
        <v>0</v>
      </c>
      <c r="K399" s="36" t="n">
        <v>0</v>
      </c>
      <c r="L399" s="36" t="n">
        <v>0</v>
      </c>
      <c r="M399" s="36" t="n">
        <v>0</v>
      </c>
      <c r="N399" s="37" t="n">
        <v>0.9</v>
      </c>
      <c r="O399" s="38" t="inlineStr">
        <is>
          <t> </t>
        </is>
      </c>
      <c r="P399" s="39" t="n">
        <v>0</v>
      </c>
      <c r="Q399" s="40" t="n">
        <v>0</v>
      </c>
      <c r="R399" s="41" t="inlineStr">
        <is>
          <t>Unclassified</t>
        </is>
      </c>
      <c r="S399" s="41" t="n"/>
    </row>
    <row r="400" ht="20" customHeight="1">
      <c r="A400" s="34" t="inlineStr">
        <is>
          <t>70010077001</t>
        </is>
      </c>
      <c r="B400" s="35" t="inlineStr">
        <is>
          <t>METHOCARBAMOL 750 MG ORAL TABLET</t>
        </is>
      </c>
      <c r="C400" s="34" t="n">
        <v>100</v>
      </c>
      <c r="D400" s="36" t="n">
        <v>0</v>
      </c>
      <c r="E400" s="36" t="n">
        <v>0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-0.28</v>
      </c>
      <c r="K400" s="36" t="n">
        <v>0</v>
      </c>
      <c r="L400" s="36" t="n">
        <v>0</v>
      </c>
      <c r="M400" s="36" t="n">
        <v>0</v>
      </c>
      <c r="N400" s="37" t="n">
        <v>0.28</v>
      </c>
      <c r="O400" s="38" t="inlineStr">
        <is>
          <t> </t>
        </is>
      </c>
      <c r="P400" s="39" t="n">
        <v>0</v>
      </c>
      <c r="Q400" s="40" t="n">
        <v>0</v>
      </c>
      <c r="R400" s="41" t="inlineStr">
        <is>
          <t>Unclassified</t>
        </is>
      </c>
      <c r="S400" s="41" t="n"/>
    </row>
    <row r="401" ht="20" customHeight="1">
      <c r="A401" s="34" t="inlineStr">
        <is>
          <t>68382077501</t>
        </is>
      </c>
      <c r="B401" s="35" t="inlineStr">
        <is>
          <t xml:space="preserve">METHOTREXATE 2.5MG TAB </t>
        </is>
      </c>
      <c r="C401" s="34" t="n">
        <v>100</v>
      </c>
      <c r="D401" s="36" t="n">
        <v>0</v>
      </c>
      <c r="E401" s="36" t="n">
        <v>0</v>
      </c>
      <c r="F401" s="36" t="n">
        <v>-0.5600000000000001</v>
      </c>
      <c r="G401" s="36" t="n">
        <v>0</v>
      </c>
      <c r="H401" s="36" t="n">
        <v>0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7" t="n">
        <v>0.5600000000000001</v>
      </c>
      <c r="O401" s="38" t="inlineStr">
        <is>
          <t> </t>
        </is>
      </c>
      <c r="P401" s="39" t="n">
        <v>0</v>
      </c>
      <c r="Q401" s="40" t="n">
        <v>0</v>
      </c>
      <c r="R401" s="41" t="inlineStr">
        <is>
          <t>Unclassified</t>
        </is>
      </c>
      <c r="S401" s="41" t="n"/>
    </row>
    <row r="402" ht="20" customHeight="1">
      <c r="A402" s="34" t="inlineStr">
        <is>
          <t>59630075050</t>
        </is>
      </c>
      <c r="B402" s="35" t="inlineStr">
        <is>
          <t>METHYLIN 5 MG/5ML ORAL SOLUTION</t>
        </is>
      </c>
      <c r="C402" s="34" t="n">
        <v>500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0</v>
      </c>
      <c r="I402" s="36" t="n">
        <v>0</v>
      </c>
      <c r="J402" s="36" t="n">
        <v>-0.6</v>
      </c>
      <c r="K402" s="36" t="n">
        <v>0</v>
      </c>
      <c r="L402" s="36" t="n">
        <v>0</v>
      </c>
      <c r="M402" s="36" t="n">
        <v>0</v>
      </c>
      <c r="N402" s="37" t="n">
        <v>0.6</v>
      </c>
      <c r="O402" s="38" t="inlineStr">
        <is>
          <t> </t>
        </is>
      </c>
      <c r="P402" s="39" t="n">
        <v>0</v>
      </c>
      <c r="Q402" s="40" t="n">
        <v>0</v>
      </c>
      <c r="R402" s="41" t="inlineStr">
        <is>
          <t>Unclassified</t>
        </is>
      </c>
      <c r="S402" s="41" t="n"/>
    </row>
    <row r="403" ht="20" customHeight="1">
      <c r="A403" s="34" t="inlineStr">
        <is>
          <t>59746000103</t>
        </is>
      </c>
      <c r="B403" s="35" t="inlineStr">
        <is>
          <t xml:space="preserve">METHYLPREDNISOLONE 4MG (MEDROL) </t>
        </is>
      </c>
      <c r="C403" s="34" t="n">
        <v>21</v>
      </c>
      <c r="D403" s="36" t="n">
        <v>0</v>
      </c>
      <c r="E403" s="36" t="n">
        <v>0</v>
      </c>
      <c r="F403" s="36" t="n">
        <v>0</v>
      </c>
      <c r="G403" s="36" t="n">
        <v>0</v>
      </c>
      <c r="H403" s="36" t="n">
        <v>0</v>
      </c>
      <c r="I403" s="36" t="n">
        <v>0</v>
      </c>
      <c r="J403" s="36" t="n">
        <v>-1</v>
      </c>
      <c r="K403" s="36" t="n">
        <v>-1</v>
      </c>
      <c r="L403" s="36" t="n">
        <v>0</v>
      </c>
      <c r="M403" s="36" t="n">
        <v>0</v>
      </c>
      <c r="N403" s="37" t="n">
        <v>1</v>
      </c>
      <c r="O403" s="38" t="inlineStr">
        <is>
          <t> </t>
        </is>
      </c>
      <c r="P403" s="39" t="n">
        <v>0</v>
      </c>
      <c r="Q403" s="40" t="n">
        <v>0</v>
      </c>
      <c r="R403" s="41" t="inlineStr">
        <is>
          <t>Unclassified</t>
        </is>
      </c>
      <c r="S403" s="41" t="n"/>
    </row>
    <row r="404" ht="20" customHeight="1">
      <c r="A404" s="34" t="inlineStr">
        <is>
          <t>59762004901</t>
        </is>
      </c>
      <c r="B404" s="35" t="inlineStr">
        <is>
          <t>METHYLPREDNISOLONE 8MG TABLET</t>
        </is>
      </c>
      <c r="C404" s="34" t="n">
        <v>25</v>
      </c>
      <c r="D404" s="36" t="n">
        <v>0</v>
      </c>
      <c r="E404" s="36" t="n">
        <v>0</v>
      </c>
      <c r="F404" s="36" t="n">
        <v>0</v>
      </c>
      <c r="G404" s="36" t="n">
        <v>0</v>
      </c>
      <c r="H404" s="36" t="n">
        <v>0</v>
      </c>
      <c r="I404" s="36" t="n">
        <v>-0.4</v>
      </c>
      <c r="J404" s="36" t="n">
        <v>0</v>
      </c>
      <c r="K404" s="36" t="n">
        <v>0</v>
      </c>
      <c r="L404" s="36" t="n">
        <v>0</v>
      </c>
      <c r="M404" s="36" t="n">
        <v>0</v>
      </c>
      <c r="N404" s="37" t="n">
        <v>0.4</v>
      </c>
      <c r="O404" s="38" t="inlineStr">
        <is>
          <t> </t>
        </is>
      </c>
      <c r="P404" s="39" t="n">
        <v>0</v>
      </c>
      <c r="Q404" s="40" t="n">
        <v>0</v>
      </c>
      <c r="R404" s="41" t="inlineStr">
        <is>
          <t>Unclassified</t>
        </is>
      </c>
      <c r="S404" s="41" t="n"/>
    </row>
    <row r="405" ht="20" customHeight="1">
      <c r="A405" s="34" t="inlineStr">
        <is>
          <t>00093220305</t>
        </is>
      </c>
      <c r="B405" s="35" t="inlineStr">
        <is>
          <t xml:space="preserve">METOCLOPRAMIDE 10MG TAB </t>
        </is>
      </c>
      <c r="C405" s="34" t="n">
        <v>500</v>
      </c>
      <c r="D405" s="36" t="n">
        <v>0</v>
      </c>
      <c r="E405" s="36" t="n">
        <v>0</v>
      </c>
      <c r="F405" s="36" t="n">
        <v>0</v>
      </c>
      <c r="G405" s="36" t="n">
        <v>-0.02</v>
      </c>
      <c r="H405" s="36" t="n">
        <v>0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7" t="n">
        <v>0.02</v>
      </c>
      <c r="O405" s="38" t="inlineStr">
        <is>
          <t> </t>
        </is>
      </c>
      <c r="P405" s="39" t="n">
        <v>0</v>
      </c>
      <c r="Q405" s="40" t="n">
        <v>0</v>
      </c>
      <c r="R405" s="41" t="inlineStr">
        <is>
          <t>Unclassified</t>
        </is>
      </c>
      <c r="S405" s="41" t="n"/>
    </row>
    <row r="406" ht="20" customHeight="1">
      <c r="A406" s="34" t="inlineStr">
        <is>
          <t>00093220405</t>
        </is>
      </c>
      <c r="B406" s="35" t="inlineStr">
        <is>
          <t>METOCLOPRAMIDE 5MG TABLET</t>
        </is>
      </c>
      <c r="C406" s="34" t="n">
        <v>500</v>
      </c>
      <c r="D406" s="36" t="n">
        <v>0</v>
      </c>
      <c r="E406" s="36" t="n">
        <v>0</v>
      </c>
      <c r="F406" s="36" t="n">
        <v>0</v>
      </c>
      <c r="G406" s="36" t="n">
        <v>-0.24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7" t="n">
        <v>0.24</v>
      </c>
      <c r="O406" s="38" t="inlineStr">
        <is>
          <t> </t>
        </is>
      </c>
      <c r="P406" s="39" t="n">
        <v>0</v>
      </c>
      <c r="Q406" s="40" t="n">
        <v>0</v>
      </c>
      <c r="R406" s="41" t="inlineStr">
        <is>
          <t>Unclassified</t>
        </is>
      </c>
      <c r="S406" s="41" t="n"/>
    </row>
    <row r="407" ht="20" customHeight="1">
      <c r="A407" s="34" t="inlineStr">
        <is>
          <t>00185005501</t>
        </is>
      </c>
      <c r="B407" s="35" t="inlineStr">
        <is>
          <t>METOLAZONE 5 MG TABLET</t>
        </is>
      </c>
      <c r="C407" s="34" t="n">
        <v>100</v>
      </c>
      <c r="D407" s="36" t="n">
        <v>0</v>
      </c>
      <c r="E407" s="36" t="n">
        <v>0</v>
      </c>
      <c r="F407" s="36" t="n">
        <v>-0.3</v>
      </c>
      <c r="G407" s="36" t="n">
        <v>0</v>
      </c>
      <c r="H407" s="36" t="n">
        <v>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7" t="n">
        <v>0.3</v>
      </c>
      <c r="O407" s="38" t="inlineStr">
        <is>
          <t> </t>
        </is>
      </c>
      <c r="P407" s="39" t="n">
        <v>0</v>
      </c>
      <c r="Q407" s="40" t="n">
        <v>0</v>
      </c>
      <c r="R407" s="41" t="inlineStr">
        <is>
          <t>Unclassified</t>
        </is>
      </c>
      <c r="S407" s="41" t="n"/>
    </row>
    <row r="408" ht="20" customHeight="1">
      <c r="A408" s="34" t="inlineStr">
        <is>
          <t>45963067696</t>
        </is>
      </c>
      <c r="B408" s="35" t="inlineStr">
        <is>
          <t>METOPROLOL SUCCINATE 50MG TABLET ER</t>
        </is>
      </c>
      <c r="C408" s="34" t="n">
        <v>1000</v>
      </c>
      <c r="D408" s="36" t="n">
        <v>0</v>
      </c>
      <c r="E408" s="36" t="n">
        <v>0</v>
      </c>
      <c r="F408" s="36" t="n">
        <v>-0.51</v>
      </c>
      <c r="G408" s="36" t="n">
        <v>-0.09</v>
      </c>
      <c r="H408" s="36" t="n">
        <v>0</v>
      </c>
      <c r="I408" s="36" t="n">
        <v>-0.09</v>
      </c>
      <c r="J408" s="36" t="n">
        <v>-0.45</v>
      </c>
      <c r="K408" s="36" t="n">
        <v>-0.27</v>
      </c>
      <c r="L408" s="36" t="n">
        <v>0</v>
      </c>
      <c r="M408" s="36" t="n">
        <v>0</v>
      </c>
      <c r="N408" s="37" t="n">
        <v>0.51</v>
      </c>
      <c r="O408" s="38" t="inlineStr">
        <is>
          <t> </t>
        </is>
      </c>
      <c r="P408" s="39" t="n">
        <v>0</v>
      </c>
      <c r="Q408" s="40" t="n">
        <v>0</v>
      </c>
      <c r="R408" s="41" t="inlineStr">
        <is>
          <t>Unclassified</t>
        </is>
      </c>
      <c r="S408" s="41" t="n"/>
    </row>
    <row r="409" ht="20" customHeight="1">
      <c r="A409" s="34" t="inlineStr">
        <is>
          <t>70010078305</t>
        </is>
      </c>
      <c r="B409" s="35" t="inlineStr">
        <is>
          <t>METOPROLOL SUCCINATE ER 200MG TABLET</t>
        </is>
      </c>
      <c r="C409" s="34" t="n">
        <v>500</v>
      </c>
      <c r="D409" s="36" t="n">
        <v>0</v>
      </c>
      <c r="E409" s="36" t="n">
        <v>0</v>
      </c>
      <c r="F409" s="36" t="n">
        <v>-0.3</v>
      </c>
      <c r="G409" s="36" t="n">
        <v>-0.18</v>
      </c>
      <c r="H409" s="36" t="n">
        <v>0</v>
      </c>
      <c r="I409" s="36" t="n">
        <v>0</v>
      </c>
      <c r="J409" s="36" t="n">
        <v>-0.18</v>
      </c>
      <c r="K409" s="36" t="n">
        <v>0</v>
      </c>
      <c r="L409" s="36" t="n">
        <v>0</v>
      </c>
      <c r="M409" s="36" t="n">
        <v>0</v>
      </c>
      <c r="N409" s="37" t="n">
        <v>0.3</v>
      </c>
      <c r="O409" s="38" t="inlineStr">
        <is>
          <t> </t>
        </is>
      </c>
      <c r="P409" s="39" t="n">
        <v>0</v>
      </c>
      <c r="Q409" s="40" t="n">
        <v>0</v>
      </c>
      <c r="R409" s="41" t="inlineStr">
        <is>
          <t>Unclassified</t>
        </is>
      </c>
      <c r="S409" s="41" t="n"/>
    </row>
    <row r="410" ht="20" customHeight="1">
      <c r="A410" s="34" t="inlineStr">
        <is>
          <t>57237010099</t>
        </is>
      </c>
      <c r="B410" s="35" t="inlineStr">
        <is>
          <t>METOPROLOL TARTRATE 25MG TABLET</t>
        </is>
      </c>
      <c r="C410" s="34" t="n">
        <v>1000</v>
      </c>
      <c r="D410" s="36" t="n">
        <v>0</v>
      </c>
      <c r="E410" s="36" t="n">
        <v>0</v>
      </c>
      <c r="F410" s="36" t="n">
        <v>0</v>
      </c>
      <c r="G410" s="36" t="n">
        <v>0</v>
      </c>
      <c r="H410" s="36" t="n">
        <v>0</v>
      </c>
      <c r="I410" s="36" t="n">
        <v>0</v>
      </c>
      <c r="J410" s="36" t="n">
        <v>-0.15</v>
      </c>
      <c r="K410" s="36" t="n">
        <v>0</v>
      </c>
      <c r="L410" s="36" t="n">
        <v>0</v>
      </c>
      <c r="M410" s="36" t="n">
        <v>0</v>
      </c>
      <c r="N410" s="37" t="n">
        <v>0.15</v>
      </c>
      <c r="O410" s="38" t="inlineStr">
        <is>
          <t> </t>
        </is>
      </c>
      <c r="P410" s="39" t="n">
        <v>0</v>
      </c>
      <c r="Q410" s="40" t="n">
        <v>0</v>
      </c>
      <c r="R410" s="41" t="inlineStr">
        <is>
          <t>Unclassified</t>
        </is>
      </c>
      <c r="S410" s="41" t="n"/>
    </row>
    <row r="411" ht="20" customHeight="1">
      <c r="A411" s="34" t="inlineStr">
        <is>
          <t>57237010199</t>
        </is>
      </c>
      <c r="B411" s="35" t="inlineStr">
        <is>
          <t>METOPROLOL TARTRATE 50MG TABLET</t>
        </is>
      </c>
      <c r="C411" s="34" t="n">
        <v>1000</v>
      </c>
      <c r="D411" s="36" t="n">
        <v>0</v>
      </c>
      <c r="E411" s="36" t="n">
        <v>0</v>
      </c>
      <c r="F411" s="36" t="n">
        <v>-0.18</v>
      </c>
      <c r="G411" s="36" t="n">
        <v>-0.06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7" t="n">
        <v>0.18</v>
      </c>
      <c r="O411" s="38" t="inlineStr">
        <is>
          <t> </t>
        </is>
      </c>
      <c r="P411" s="39" t="n">
        <v>0</v>
      </c>
      <c r="Q411" s="40" t="n">
        <v>0</v>
      </c>
      <c r="R411" s="41" t="inlineStr">
        <is>
          <t>Unclassified</t>
        </is>
      </c>
      <c r="S411" s="41" t="n"/>
    </row>
    <row r="412" ht="20" customHeight="1">
      <c r="A412" s="34" t="inlineStr">
        <is>
          <t>00713063737</t>
        </is>
      </c>
      <c r="B412" s="35" t="inlineStr">
        <is>
          <t>METRONIDAZOLE 0.75 % EXTERNAL GEL</t>
        </is>
      </c>
      <c r="C412" s="34" t="n">
        <v>45</v>
      </c>
      <c r="D412" s="36" t="n">
        <v>0</v>
      </c>
      <c r="E412" s="36" t="n">
        <v>0</v>
      </c>
      <c r="F412" s="36" t="n">
        <v>0</v>
      </c>
      <c r="G412" s="36" t="n">
        <v>-1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7" t="n">
        <v>1</v>
      </c>
      <c r="O412" s="38" t="inlineStr">
        <is>
          <t> </t>
        </is>
      </c>
      <c r="P412" s="39" t="n">
        <v>0</v>
      </c>
      <c r="Q412" s="40" t="n">
        <v>0</v>
      </c>
      <c r="R412" s="41" t="inlineStr">
        <is>
          <t>Unclassified</t>
        </is>
      </c>
      <c r="S412" s="41" t="n"/>
    </row>
    <row r="413" ht="20" customHeight="1">
      <c r="A413" s="34" t="inlineStr">
        <is>
          <t>73473030370</t>
        </is>
      </c>
      <c r="B413" s="35" t="inlineStr">
        <is>
          <t>METRONIDAZOLE 0.75% VAGINAL GEL</t>
        </is>
      </c>
      <c r="C413" s="34" t="n">
        <v>70</v>
      </c>
      <c r="D413" s="36" t="n">
        <v>0</v>
      </c>
      <c r="E413" s="36" t="n">
        <v>0</v>
      </c>
      <c r="F413" s="36" t="n">
        <v>-1</v>
      </c>
      <c r="G413" s="36" t="n">
        <v>0</v>
      </c>
      <c r="H413" s="36" t="n">
        <v>0</v>
      </c>
      <c r="I413" s="36" t="n">
        <v>0</v>
      </c>
      <c r="J413" s="36" t="n">
        <v>-1</v>
      </c>
      <c r="K413" s="36" t="n">
        <v>0</v>
      </c>
      <c r="L413" s="36" t="n">
        <v>0</v>
      </c>
      <c r="M413" s="36" t="n">
        <v>0</v>
      </c>
      <c r="N413" s="37" t="n">
        <v>1</v>
      </c>
      <c r="O413" s="38" t="inlineStr">
        <is>
          <t> </t>
        </is>
      </c>
      <c r="P413" s="39" t="n">
        <v>0</v>
      </c>
      <c r="Q413" s="40" t="n">
        <v>0</v>
      </c>
      <c r="R413" s="41" t="inlineStr">
        <is>
          <t>Unclassified</t>
        </is>
      </c>
      <c r="S413" s="41" t="n"/>
    </row>
    <row r="414" ht="20" customHeight="1">
      <c r="A414" s="34" t="inlineStr">
        <is>
          <t>72578000805</t>
        </is>
      </c>
      <c r="B414" s="35" t="inlineStr">
        <is>
          <t>METRONIDAZOLE 500MG TABLET</t>
        </is>
      </c>
      <c r="C414" s="34" t="n">
        <v>500</v>
      </c>
      <c r="D414" s="36" t="n">
        <v>0</v>
      </c>
      <c r="E414" s="36" t="n">
        <v>0</v>
      </c>
      <c r="F414" s="36" t="n">
        <v>-0.03</v>
      </c>
      <c r="G414" s="36" t="n">
        <v>0</v>
      </c>
      <c r="H414" s="36" t="n">
        <v>0</v>
      </c>
      <c r="I414" s="36" t="n">
        <v>0</v>
      </c>
      <c r="J414" s="36" t="n">
        <v>-0.1</v>
      </c>
      <c r="K414" s="36" t="n">
        <v>0</v>
      </c>
      <c r="L414" s="36" t="n">
        <v>0</v>
      </c>
      <c r="M414" s="36" t="n">
        <v>0</v>
      </c>
      <c r="N414" s="37" t="n">
        <v>0.1</v>
      </c>
      <c r="O414" s="38" t="inlineStr">
        <is>
          <t> </t>
        </is>
      </c>
      <c r="P414" s="39" t="n">
        <v>0</v>
      </c>
      <c r="Q414" s="40" t="n">
        <v>0</v>
      </c>
      <c r="R414" s="41" t="inlineStr">
        <is>
          <t>Unclassified</t>
        </is>
      </c>
      <c r="S414" s="41" t="n"/>
    </row>
    <row r="415" ht="20" customHeight="1">
      <c r="A415" s="34" t="inlineStr">
        <is>
          <t>00168032346</t>
        </is>
      </c>
      <c r="B415" s="35" t="inlineStr">
        <is>
          <t>METRONIDAZOLE TOPICAL 0.75% CREAM</t>
        </is>
      </c>
      <c r="C415" s="34" t="n">
        <v>45</v>
      </c>
      <c r="D415" s="36" t="n">
        <v>0</v>
      </c>
      <c r="E415" s="36" t="n">
        <v>-1</v>
      </c>
      <c r="F415" s="36" t="n">
        <v>0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7" t="n">
        <v>1</v>
      </c>
      <c r="O415" s="38" t="inlineStr">
        <is>
          <t> </t>
        </is>
      </c>
      <c r="P415" s="39" t="n">
        <v>0</v>
      </c>
      <c r="Q415" s="40" t="n">
        <v>0</v>
      </c>
      <c r="R415" s="41" t="inlineStr">
        <is>
          <t>Unclassified</t>
        </is>
      </c>
      <c r="S415" s="41" t="n"/>
    </row>
    <row r="416" ht="20" customHeight="1">
      <c r="A416" s="34" t="inlineStr">
        <is>
          <t>64980043401</t>
        </is>
      </c>
      <c r="B416" s="35" t="inlineStr">
        <is>
          <t>MIDODRINE 5MG TABLET</t>
        </is>
      </c>
      <c r="C416" s="34" t="n">
        <v>100</v>
      </c>
      <c r="D416" s="36" t="n">
        <v>0</v>
      </c>
      <c r="E416" s="36" t="n">
        <v>0</v>
      </c>
      <c r="F416" s="36" t="n">
        <v>-0.12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0</v>
      </c>
      <c r="L416" s="36" t="n">
        <v>0</v>
      </c>
      <c r="M416" s="36" t="n">
        <v>0</v>
      </c>
      <c r="N416" s="37" t="n">
        <v>0.12</v>
      </c>
      <c r="O416" s="38" t="inlineStr">
        <is>
          <t> </t>
        </is>
      </c>
      <c r="P416" s="39" t="n">
        <v>0</v>
      </c>
      <c r="Q416" s="40" t="n">
        <v>0</v>
      </c>
      <c r="R416" s="41" t="inlineStr">
        <is>
          <t>Unclassified</t>
        </is>
      </c>
      <c r="S416" s="41" t="n"/>
    </row>
    <row r="417" ht="20" customHeight="1">
      <c r="A417" s="34" t="inlineStr">
        <is>
          <t>53489038601</t>
        </is>
      </c>
      <c r="B417" s="35" t="inlineStr">
        <is>
          <t>MINOXIDIL 2.5MG TABLET</t>
        </is>
      </c>
      <c r="C417" s="34" t="n">
        <v>100</v>
      </c>
      <c r="D417" s="36" t="n">
        <v>0</v>
      </c>
      <c r="E417" s="36" t="n">
        <v>0</v>
      </c>
      <c r="F417" s="36" t="n">
        <v>0</v>
      </c>
      <c r="G417" s="36" t="n">
        <v>-0.3</v>
      </c>
      <c r="H417" s="36" t="n">
        <v>0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7" t="n">
        <v>0.3</v>
      </c>
      <c r="O417" s="38" t="inlineStr">
        <is>
          <t> </t>
        </is>
      </c>
      <c r="P417" s="39" t="n">
        <v>0</v>
      </c>
      <c r="Q417" s="40" t="n">
        <v>0</v>
      </c>
      <c r="R417" s="41" t="inlineStr">
        <is>
          <t>Unclassified</t>
        </is>
      </c>
      <c r="S417" s="41" t="n"/>
    </row>
    <row r="418" ht="20" customHeight="1">
      <c r="A418" s="34" t="inlineStr">
        <is>
          <t>13107003105</t>
        </is>
      </c>
      <c r="B418" s="35" t="inlineStr">
        <is>
          <t>MIRTAZAPINE 15MG TABLET</t>
        </is>
      </c>
      <c r="C418" s="34" t="n">
        <v>500</v>
      </c>
      <c r="D418" s="36" t="n">
        <v>0</v>
      </c>
      <c r="E418" s="36" t="n">
        <v>0</v>
      </c>
      <c r="F418" s="36" t="n">
        <v>-0.48</v>
      </c>
      <c r="G418" s="36" t="n">
        <v>0</v>
      </c>
      <c r="H418" s="36" t="n">
        <v>0</v>
      </c>
      <c r="I418" s="36" t="n">
        <v>0</v>
      </c>
      <c r="J418" s="36" t="n">
        <v>-0.12</v>
      </c>
      <c r="K418" s="36" t="n">
        <v>0</v>
      </c>
      <c r="L418" s="36" t="n">
        <v>0</v>
      </c>
      <c r="M418" s="36" t="n">
        <v>0</v>
      </c>
      <c r="N418" s="37" t="n">
        <v>0.48</v>
      </c>
      <c r="O418" s="38" t="inlineStr">
        <is>
          <t> </t>
        </is>
      </c>
      <c r="P418" s="39" t="n">
        <v>0</v>
      </c>
      <c r="Q418" s="40" t="n">
        <v>0</v>
      </c>
      <c r="R418" s="41" t="inlineStr">
        <is>
          <t>Unclassified</t>
        </is>
      </c>
      <c r="S418" s="41" t="n"/>
    </row>
    <row r="419" ht="20" customHeight="1">
      <c r="A419" s="34" t="inlineStr">
        <is>
          <t>65862002306</t>
        </is>
      </c>
      <c r="B419" s="35" t="inlineStr">
        <is>
          <t>MIRTAZAPINE 45 MG TABLET DISINTEGRATING</t>
        </is>
      </c>
      <c r="C419" s="34" t="n">
        <v>30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0</v>
      </c>
      <c r="I419" s="36" t="n">
        <v>-1</v>
      </c>
      <c r="J419" s="36" t="n">
        <v>0</v>
      </c>
      <c r="K419" s="36" t="n">
        <v>0</v>
      </c>
      <c r="L419" s="36" t="n">
        <v>0</v>
      </c>
      <c r="M419" s="36" t="n">
        <v>0</v>
      </c>
      <c r="N419" s="37" t="n">
        <v>1</v>
      </c>
      <c r="O419" s="38" t="inlineStr">
        <is>
          <t> </t>
        </is>
      </c>
      <c r="P419" s="39" t="n">
        <v>0</v>
      </c>
      <c r="Q419" s="40" t="n">
        <v>0</v>
      </c>
      <c r="R419" s="41" t="inlineStr">
        <is>
          <t>Unclassified</t>
        </is>
      </c>
      <c r="S419" s="41" t="n"/>
    </row>
    <row r="420" ht="20" customHeight="1">
      <c r="A420" s="34" t="inlineStr">
        <is>
          <t>70954044420</t>
        </is>
      </c>
      <c r="B420" s="35" t="inlineStr">
        <is>
          <t>MISOPROSTOL 200 MCG ORAL TABLET</t>
        </is>
      </c>
      <c r="C420" s="34" t="n">
        <v>100</v>
      </c>
      <c r="D420" s="36" t="n">
        <v>0</v>
      </c>
      <c r="E420" s="36" t="n">
        <v>0</v>
      </c>
      <c r="F420" s="36" t="n">
        <v>0</v>
      </c>
      <c r="G420" s="36" t="n">
        <v>0</v>
      </c>
      <c r="H420" s="36" t="n">
        <v>0</v>
      </c>
      <c r="I420" s="36" t="n">
        <v>0</v>
      </c>
      <c r="J420" s="36" t="n">
        <v>-0.02</v>
      </c>
      <c r="K420" s="36" t="n">
        <v>0</v>
      </c>
      <c r="L420" s="36" t="n">
        <v>0</v>
      </c>
      <c r="M420" s="36" t="n">
        <v>0</v>
      </c>
      <c r="N420" s="37" t="n">
        <v>0.02</v>
      </c>
      <c r="O420" s="38" t="inlineStr">
        <is>
          <t> </t>
        </is>
      </c>
      <c r="P420" s="39" t="n">
        <v>0</v>
      </c>
      <c r="Q420" s="40" t="n">
        <v>0</v>
      </c>
      <c r="R420" s="41" t="inlineStr">
        <is>
          <t>Unclassified</t>
        </is>
      </c>
      <c r="S420" s="41" t="n"/>
    </row>
    <row r="421" ht="20" customHeight="1">
      <c r="A421" s="34" t="inlineStr">
        <is>
          <t>00713063437</t>
        </is>
      </c>
      <c r="B421" s="35" t="inlineStr">
        <is>
          <t>MOMETASONE FUROATE 0.1 % EXTERNAL CREAM</t>
        </is>
      </c>
      <c r="C421" s="34" t="n">
        <v>45</v>
      </c>
      <c r="D421" s="36" t="n">
        <v>0</v>
      </c>
      <c r="E421" s="36" t="n">
        <v>0</v>
      </c>
      <c r="F421" s="36" t="n">
        <v>-1</v>
      </c>
      <c r="G421" s="36" t="n">
        <v>0</v>
      </c>
      <c r="H421" s="36" t="n">
        <v>0</v>
      </c>
      <c r="I421" s="36" t="n">
        <v>0</v>
      </c>
      <c r="J421" s="36" t="n">
        <v>-2</v>
      </c>
      <c r="K421" s="36" t="n">
        <v>0</v>
      </c>
      <c r="L421" s="36" t="n">
        <v>0</v>
      </c>
      <c r="M421" s="36" t="n">
        <v>0</v>
      </c>
      <c r="N421" s="37" t="n">
        <v>2</v>
      </c>
      <c r="O421" s="38" t="inlineStr">
        <is>
          <t> </t>
        </is>
      </c>
      <c r="P421" s="39" t="n">
        <v>0</v>
      </c>
      <c r="Q421" s="40" t="n">
        <v>0</v>
      </c>
      <c r="R421" s="41" t="inlineStr">
        <is>
          <t>Unclassified</t>
        </is>
      </c>
      <c r="S421" s="41" t="n"/>
    </row>
    <row r="422" ht="20" customHeight="1">
      <c r="A422" s="34" t="inlineStr">
        <is>
          <t>60505083001</t>
        </is>
      </c>
      <c r="B422" s="35" t="inlineStr">
        <is>
          <t>MOMETASONE FUROATE 50MCG/ACT SUSPENSION</t>
        </is>
      </c>
      <c r="C422" s="34" t="n">
        <v>17</v>
      </c>
      <c r="D422" s="36" t="n">
        <v>0</v>
      </c>
      <c r="E422" s="36" t="n">
        <v>0</v>
      </c>
      <c r="F422" s="36" t="n">
        <v>-1</v>
      </c>
      <c r="G422" s="36" t="n">
        <v>-1</v>
      </c>
      <c r="H422" s="36" t="n">
        <v>0</v>
      </c>
      <c r="I422" s="36" t="n">
        <v>-1</v>
      </c>
      <c r="J422" s="36" t="n">
        <v>0</v>
      </c>
      <c r="K422" s="36" t="n">
        <v>0</v>
      </c>
      <c r="L422" s="36" t="n">
        <v>0</v>
      </c>
      <c r="M422" s="36" t="n">
        <v>0</v>
      </c>
      <c r="N422" s="37" t="n">
        <v>1</v>
      </c>
      <c r="O422" s="38" t="inlineStr">
        <is>
          <t> </t>
        </is>
      </c>
      <c r="P422" s="39" t="n">
        <v>0</v>
      </c>
      <c r="Q422" s="40" t="n">
        <v>0</v>
      </c>
      <c r="R422" s="41" t="inlineStr">
        <is>
          <t>Unclassified</t>
        </is>
      </c>
      <c r="S422" s="41" t="n"/>
    </row>
    <row r="423" ht="20" customHeight="1">
      <c r="A423" s="34" t="inlineStr">
        <is>
          <t>29300022010</t>
        </is>
      </c>
      <c r="B423" s="35" t="inlineStr">
        <is>
          <t xml:space="preserve">MONTELUKAST 10MG TAB </t>
        </is>
      </c>
      <c r="C423" s="34" t="n">
        <v>1000</v>
      </c>
      <c r="D423" s="36" t="n">
        <v>0</v>
      </c>
      <c r="E423" s="36" t="n">
        <v>0</v>
      </c>
      <c r="F423" s="36" t="n">
        <v>-0.57</v>
      </c>
      <c r="G423" s="36" t="n">
        <v>-0.03</v>
      </c>
      <c r="H423" s="36" t="n">
        <v>0</v>
      </c>
      <c r="I423" s="36" t="n">
        <v>0</v>
      </c>
      <c r="J423" s="36" t="n">
        <v>-0.63</v>
      </c>
      <c r="K423" s="36" t="n">
        <v>-0.09</v>
      </c>
      <c r="L423" s="36" t="n">
        <v>0</v>
      </c>
      <c r="M423" s="36" t="n">
        <v>0</v>
      </c>
      <c r="N423" s="37" t="n">
        <v>0.63</v>
      </c>
      <c r="O423" s="38" t="inlineStr">
        <is>
          <t> </t>
        </is>
      </c>
      <c r="P423" s="39" t="n">
        <v>0</v>
      </c>
      <c r="Q423" s="40" t="n">
        <v>0</v>
      </c>
      <c r="R423" s="41" t="inlineStr">
        <is>
          <t>Unclassified</t>
        </is>
      </c>
      <c r="S423" s="41" t="n"/>
    </row>
    <row r="424" ht="20" customHeight="1">
      <c r="A424" s="34" t="inlineStr">
        <is>
          <t>00832022500</t>
        </is>
      </c>
      <c r="B424" s="35" t="inlineStr">
        <is>
          <t>MORPHINE SULFATE ER 10 MG CAPSULE</t>
        </is>
      </c>
      <c r="C424" s="34" t="n">
        <v>100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-0.3</v>
      </c>
      <c r="K424" s="36" t="n">
        <v>0</v>
      </c>
      <c r="L424" s="36" t="n">
        <v>0</v>
      </c>
      <c r="M424" s="36" t="n">
        <v>0</v>
      </c>
      <c r="N424" s="37" t="n">
        <v>0.3</v>
      </c>
      <c r="O424" s="38" t="inlineStr">
        <is>
          <t> </t>
        </is>
      </c>
      <c r="P424" s="39" t="n">
        <v>0</v>
      </c>
      <c r="Q424" s="40" t="n">
        <v>0</v>
      </c>
      <c r="R424" s="41" t="inlineStr">
        <is>
          <t>Unclassified</t>
        </is>
      </c>
      <c r="S424" s="41" t="n"/>
    </row>
    <row r="425" ht="20" customHeight="1">
      <c r="A425" s="34" t="inlineStr">
        <is>
          <t>00002147180</t>
        </is>
      </c>
      <c r="B425" s="35" t="inlineStr">
        <is>
          <t>MOUNJARO 10 MG/0.5ML PEN-INJECTOR</t>
        </is>
      </c>
      <c r="C425" s="34" t="n">
        <v>2</v>
      </c>
      <c r="D425" s="36" t="n">
        <v>2</v>
      </c>
      <c r="E425" s="36" t="n">
        <v>2</v>
      </c>
      <c r="F425" s="36" t="n">
        <v>-3</v>
      </c>
      <c r="G425" s="36" t="n">
        <v>2</v>
      </c>
      <c r="H425" s="36" t="n">
        <v>2</v>
      </c>
      <c r="I425" s="36" t="n">
        <v>2</v>
      </c>
      <c r="J425" s="36" t="n">
        <v>2</v>
      </c>
      <c r="K425" s="36" t="n">
        <v>2</v>
      </c>
      <c r="L425" s="36" t="n">
        <v>2</v>
      </c>
      <c r="M425" s="36" t="n">
        <v>2</v>
      </c>
      <c r="N425" s="37" t="n">
        <v>3</v>
      </c>
      <c r="O425" s="38" t="inlineStr">
        <is>
          <t> </t>
        </is>
      </c>
      <c r="P425" s="39" t="n">
        <v>1082</v>
      </c>
      <c r="Q425" s="40" t="n">
        <v>3246</v>
      </c>
      <c r="R425" s="41" t="inlineStr">
        <is>
          <t>Branded Drug</t>
        </is>
      </c>
      <c r="S425" s="41" t="n"/>
    </row>
    <row r="426" ht="20" customHeight="1">
      <c r="A426" s="34" t="inlineStr">
        <is>
          <t>00002150680</t>
        </is>
      </c>
      <c r="B426" s="35" t="inlineStr">
        <is>
          <t>MOUNJARO 2.5 MG/0.5ML PEN-INJECTOR</t>
        </is>
      </c>
      <c r="C426" s="34" t="n">
        <v>2</v>
      </c>
      <c r="D426" s="36" t="n">
        <v>3</v>
      </c>
      <c r="E426" s="36" t="n">
        <v>3</v>
      </c>
      <c r="F426" s="36" t="n">
        <v>-1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2</v>
      </c>
      <c r="L426" s="36" t="n">
        <v>3</v>
      </c>
      <c r="M426" s="36" t="n">
        <v>3</v>
      </c>
      <c r="N426" s="37" t="n">
        <v>1</v>
      </c>
      <c r="O426" s="38" t="inlineStr">
        <is>
          <t> </t>
        </is>
      </c>
      <c r="P426" s="39" t="n">
        <v>1082</v>
      </c>
      <c r="Q426" s="40" t="n">
        <v>1082</v>
      </c>
      <c r="R426" s="41" t="inlineStr">
        <is>
          <t>Branded Drug</t>
        </is>
      </c>
      <c r="S426" s="41" t="n"/>
    </row>
    <row r="427" ht="20" customHeight="1">
      <c r="A427" s="34" t="inlineStr">
        <is>
          <t>70069008101</t>
        </is>
      </c>
      <c r="B427" s="35" t="inlineStr">
        <is>
          <t>MOXIFLOXACIN HCL 0.5 % OPHTHALMIC SOLUTION</t>
        </is>
      </c>
      <c r="C427" s="34" t="n">
        <v>3</v>
      </c>
      <c r="D427" s="36" t="n">
        <v>0</v>
      </c>
      <c r="E427" s="36" t="n">
        <v>0</v>
      </c>
      <c r="F427" s="36" t="n">
        <v>-2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7" t="n">
        <v>2</v>
      </c>
      <c r="O427" s="38" t="inlineStr">
        <is>
          <t> </t>
        </is>
      </c>
      <c r="P427" s="39" t="n">
        <v>0</v>
      </c>
      <c r="Q427" s="40" t="n">
        <v>0</v>
      </c>
      <c r="R427" s="41" t="inlineStr">
        <is>
          <t>Unclassified</t>
        </is>
      </c>
      <c r="S427" s="41" t="n"/>
    </row>
    <row r="428" ht="20" customHeight="1">
      <c r="A428" s="34" t="inlineStr">
        <is>
          <t>72205000130</t>
        </is>
      </c>
      <c r="B428" s="35" t="inlineStr">
        <is>
          <t>MOXIFLOXACIN HCL 400 MG ORAL TABLET</t>
        </is>
      </c>
      <c r="C428" s="34" t="n">
        <v>30</v>
      </c>
      <c r="D428" s="36" t="n">
        <v>0</v>
      </c>
      <c r="E428" s="36" t="n">
        <v>0</v>
      </c>
      <c r="F428" s="36" t="n">
        <v>-0.23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0</v>
      </c>
      <c r="L428" s="36" t="n">
        <v>0</v>
      </c>
      <c r="M428" s="36" t="n">
        <v>0</v>
      </c>
      <c r="N428" s="37" t="n">
        <v>0.23</v>
      </c>
      <c r="O428" s="38" t="inlineStr">
        <is>
          <t> </t>
        </is>
      </c>
      <c r="P428" s="39" t="n">
        <v>0</v>
      </c>
      <c r="Q428" s="40" t="n">
        <v>0</v>
      </c>
      <c r="R428" s="41" t="inlineStr">
        <is>
          <t>Unclassified</t>
        </is>
      </c>
      <c r="S428" s="41" t="n"/>
    </row>
    <row r="429" ht="20" customHeight="1">
      <c r="A429" s="34" t="inlineStr">
        <is>
          <t>70000049101</t>
        </is>
      </c>
      <c r="B429" s="35" t="inlineStr">
        <is>
          <t>MUCUS RELIEF DM 30-600MG TABLET</t>
        </is>
      </c>
      <c r="C429" s="34" t="n">
        <v>20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-2.1</v>
      </c>
      <c r="K429" s="36" t="n">
        <v>0</v>
      </c>
      <c r="L429" s="36" t="n">
        <v>0</v>
      </c>
      <c r="M429" s="36" t="n">
        <v>0</v>
      </c>
      <c r="N429" s="37" t="n">
        <v>2.1</v>
      </c>
      <c r="O429" s="38" t="inlineStr">
        <is>
          <t> </t>
        </is>
      </c>
      <c r="P429" s="39" t="n">
        <v>0</v>
      </c>
      <c r="Q429" s="40" t="n">
        <v>0</v>
      </c>
      <c r="R429" s="41" t="inlineStr">
        <is>
          <t>Unclassified</t>
        </is>
      </c>
      <c r="S429" s="41" t="n"/>
    </row>
    <row r="430" ht="20" customHeight="1">
      <c r="A430" s="34" t="inlineStr">
        <is>
          <t>80681002000</t>
        </is>
      </c>
      <c r="B430" s="35" t="inlineStr">
        <is>
          <t>MULTI-VITAMIN TABLET</t>
        </is>
      </c>
      <c r="C430" s="34" t="n">
        <v>1000</v>
      </c>
      <c r="D430" s="36" t="n">
        <v>-0.03</v>
      </c>
      <c r="E430" s="36" t="n">
        <v>0</v>
      </c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-0.06</v>
      </c>
      <c r="K430" s="36" t="n">
        <v>0</v>
      </c>
      <c r="L430" s="36" t="n">
        <v>0</v>
      </c>
      <c r="M430" s="36" t="n">
        <v>0</v>
      </c>
      <c r="N430" s="37" t="n">
        <v>0.06</v>
      </c>
      <c r="O430" s="38" t="inlineStr">
        <is>
          <t> </t>
        </is>
      </c>
      <c r="P430" s="39" t="n">
        <v>0</v>
      </c>
      <c r="Q430" s="40" t="n">
        <v>0</v>
      </c>
      <c r="R430" s="41" t="inlineStr">
        <is>
          <t>Unclassified</t>
        </is>
      </c>
      <c r="S430" s="41" t="n"/>
    </row>
    <row r="431" ht="20" customHeight="1">
      <c r="A431" s="34" t="inlineStr">
        <is>
          <t>80681004900</t>
        </is>
      </c>
      <c r="B431" s="35" t="inlineStr">
        <is>
          <t>MULTIVITAMIN CHILDRENS TABLET CHEWABLE</t>
        </is>
      </c>
      <c r="C431" s="34" t="n">
        <v>100</v>
      </c>
      <c r="D431" s="36" t="n">
        <v>0</v>
      </c>
      <c r="E431" s="36" t="n">
        <v>0</v>
      </c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-1.18</v>
      </c>
      <c r="K431" s="36" t="n">
        <v>0</v>
      </c>
      <c r="L431" s="36" t="n">
        <v>0</v>
      </c>
      <c r="M431" s="36" t="n">
        <v>0</v>
      </c>
      <c r="N431" s="37" t="n">
        <v>1.18</v>
      </c>
      <c r="O431" s="38" t="inlineStr">
        <is>
          <t> </t>
        </is>
      </c>
      <c r="P431" s="39" t="n">
        <v>0</v>
      </c>
      <c r="Q431" s="40" t="n">
        <v>0</v>
      </c>
      <c r="R431" s="41" t="inlineStr">
        <is>
          <t>Unclassified</t>
        </is>
      </c>
      <c r="S431" s="41" t="n"/>
    </row>
    <row r="432" ht="20" customHeight="1">
      <c r="A432" s="34" t="inlineStr">
        <is>
          <t>51672131200</t>
        </is>
      </c>
      <c r="B432" s="35" t="inlineStr">
        <is>
          <t>MUPIROCIN 2% OINTMENT</t>
        </is>
      </c>
      <c r="C432" s="34" t="n">
        <v>22</v>
      </c>
      <c r="D432" s="36" t="n">
        <v>0</v>
      </c>
      <c r="E432" s="36" t="n">
        <v>0</v>
      </c>
      <c r="F432" s="36" t="n">
        <v>-2</v>
      </c>
      <c r="G432" s="36" t="n">
        <v>0</v>
      </c>
      <c r="H432" s="36" t="n">
        <v>0</v>
      </c>
      <c r="I432" s="36" t="n">
        <v>0</v>
      </c>
      <c r="J432" s="36" t="n">
        <v>-1</v>
      </c>
      <c r="K432" s="36" t="n">
        <v>-1</v>
      </c>
      <c r="L432" s="36" t="n">
        <v>0</v>
      </c>
      <c r="M432" s="36" t="n">
        <v>0</v>
      </c>
      <c r="N432" s="37" t="n">
        <v>2</v>
      </c>
      <c r="O432" s="38" t="inlineStr">
        <is>
          <t> </t>
        </is>
      </c>
      <c r="P432" s="39" t="n">
        <v>0</v>
      </c>
      <c r="Q432" s="40" t="n">
        <v>0</v>
      </c>
      <c r="R432" s="41" t="inlineStr">
        <is>
          <t>Unclassified</t>
        </is>
      </c>
      <c r="S432" s="41" t="n"/>
    </row>
    <row r="433" ht="20" customHeight="1">
      <c r="A433" s="34" t="inlineStr">
        <is>
          <t>24208027615</t>
        </is>
      </c>
      <c r="B433" s="35" t="inlineStr">
        <is>
          <t>MURO 128 2% SOLUTION</t>
        </is>
      </c>
      <c r="C433" s="34" t="n">
        <v>15</v>
      </c>
      <c r="D433" s="36" t="n">
        <v>0</v>
      </c>
      <c r="E433" s="36" t="n">
        <v>0</v>
      </c>
      <c r="F433" s="36" t="n">
        <v>0</v>
      </c>
      <c r="G433" s="36" t="n">
        <v>-1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7" t="n">
        <v>1</v>
      </c>
      <c r="O433" s="38" t="inlineStr">
        <is>
          <t> </t>
        </is>
      </c>
      <c r="P433" s="39" t="n">
        <v>0</v>
      </c>
      <c r="Q433" s="40" t="n">
        <v>0</v>
      </c>
      <c r="R433" s="41" t="inlineStr">
        <is>
          <t>Unclassified</t>
        </is>
      </c>
      <c r="S433" s="41" t="n"/>
    </row>
    <row r="434" ht="20" customHeight="1">
      <c r="A434" s="34" t="inlineStr">
        <is>
          <t>24208038555</t>
        </is>
      </c>
      <c r="B434" s="35" t="inlineStr">
        <is>
          <t>MURO 128 5% OINTMENT</t>
        </is>
      </c>
      <c r="C434" s="34" t="n">
        <v>3.5</v>
      </c>
      <c r="D434" s="36" t="n">
        <v>0</v>
      </c>
      <c r="E434" s="36" t="n">
        <v>0</v>
      </c>
      <c r="F434" s="36" t="n">
        <v>0</v>
      </c>
      <c r="G434" s="36" t="n">
        <v>0</v>
      </c>
      <c r="H434" s="36" t="n">
        <v>0</v>
      </c>
      <c r="I434" s="36" t="n">
        <v>0</v>
      </c>
      <c r="J434" s="36" t="n">
        <v>-1</v>
      </c>
      <c r="K434" s="36" t="n">
        <v>0</v>
      </c>
      <c r="L434" s="36" t="n">
        <v>0</v>
      </c>
      <c r="M434" s="36" t="n">
        <v>0</v>
      </c>
      <c r="N434" s="37" t="n">
        <v>1</v>
      </c>
      <c r="O434" s="38" t="inlineStr">
        <is>
          <t> </t>
        </is>
      </c>
      <c r="P434" s="39" t="n">
        <v>0</v>
      </c>
      <c r="Q434" s="40" t="n">
        <v>0</v>
      </c>
      <c r="R434" s="41" t="inlineStr">
        <is>
          <t>Unclassified</t>
        </is>
      </c>
      <c r="S434" s="41" t="n"/>
    </row>
    <row r="435" ht="20" customHeight="1">
      <c r="A435" s="34" t="inlineStr">
        <is>
          <t>64380072507</t>
        </is>
      </c>
      <c r="B435" s="35" t="inlineStr">
        <is>
          <t>MYCOPHENOLATE MOFETIL 500MG TABLET</t>
        </is>
      </c>
      <c r="C435" s="34" t="n">
        <v>500</v>
      </c>
      <c r="D435" s="36" t="n">
        <v>0</v>
      </c>
      <c r="E435" s="36" t="n">
        <v>0</v>
      </c>
      <c r="F435" s="36" t="n">
        <v>-0.36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7" t="n">
        <v>0.36</v>
      </c>
      <c r="O435" s="38" t="inlineStr">
        <is>
          <t> </t>
        </is>
      </c>
      <c r="P435" s="39" t="n">
        <v>0</v>
      </c>
      <c r="Q435" s="40" t="n">
        <v>0</v>
      </c>
      <c r="R435" s="41" t="inlineStr">
        <is>
          <t>Unclassified</t>
        </is>
      </c>
      <c r="S435" s="41" t="n"/>
    </row>
    <row r="436" ht="20" customHeight="1">
      <c r="A436" s="34" t="inlineStr">
        <is>
          <t>00469260230</t>
        </is>
      </c>
      <c r="B436" s="35" t="inlineStr">
        <is>
          <t>MYRBETRIQ 50MG TABLET</t>
        </is>
      </c>
      <c r="C436" s="34" t="n">
        <v>30</v>
      </c>
      <c r="D436" s="36" t="n">
        <v>3</v>
      </c>
      <c r="E436" s="36" t="n">
        <v>3</v>
      </c>
      <c r="F436" s="36" t="n">
        <v>-1</v>
      </c>
      <c r="G436" s="36" t="n">
        <v>3</v>
      </c>
      <c r="H436" s="36" t="n">
        <v>3</v>
      </c>
      <c r="I436" s="36" t="n">
        <v>3</v>
      </c>
      <c r="J436" s="36" t="n">
        <v>0</v>
      </c>
      <c r="K436" s="36" t="n">
        <v>3</v>
      </c>
      <c r="L436" s="36" t="n">
        <v>3</v>
      </c>
      <c r="M436" s="36" t="n">
        <v>3</v>
      </c>
      <c r="N436" s="37" t="n">
        <v>1</v>
      </c>
      <c r="O436" s="38" t="inlineStr">
        <is>
          <t> </t>
        </is>
      </c>
      <c r="P436" s="39" t="n">
        <v>448</v>
      </c>
      <c r="Q436" s="40" t="n">
        <v>448</v>
      </c>
      <c r="R436" s="41" t="inlineStr">
        <is>
          <t>Branded Drug</t>
        </is>
      </c>
      <c r="S436" s="41" t="n"/>
    </row>
    <row r="437" ht="20" customHeight="1">
      <c r="A437" s="34" t="inlineStr">
        <is>
          <t>69367024101</t>
        </is>
      </c>
      <c r="B437" s="35" t="inlineStr">
        <is>
          <t>NABUMETONE 500MG TABLET</t>
        </is>
      </c>
      <c r="C437" s="34" t="n">
        <v>100</v>
      </c>
      <c r="D437" s="36" t="n">
        <v>0</v>
      </c>
      <c r="E437" s="36" t="n">
        <v>0</v>
      </c>
      <c r="F437" s="36" t="n">
        <v>-0.28</v>
      </c>
      <c r="G437" s="36" t="n">
        <v>0</v>
      </c>
      <c r="H437" s="36" t="n">
        <v>0</v>
      </c>
      <c r="I437" s="36" t="n">
        <v>-0.3</v>
      </c>
      <c r="J437" s="36" t="n">
        <v>0</v>
      </c>
      <c r="K437" s="36" t="n">
        <v>0</v>
      </c>
      <c r="L437" s="36" t="n">
        <v>-0.6</v>
      </c>
      <c r="M437" s="36" t="n">
        <v>0</v>
      </c>
      <c r="N437" s="37" t="n">
        <v>0.6</v>
      </c>
      <c r="O437" s="38" t="inlineStr">
        <is>
          <t> </t>
        </is>
      </c>
      <c r="P437" s="39" t="n">
        <v>0</v>
      </c>
      <c r="Q437" s="40" t="n">
        <v>0</v>
      </c>
      <c r="R437" s="41" t="inlineStr">
        <is>
          <t>Unclassified</t>
        </is>
      </c>
      <c r="S437" s="41" t="n"/>
    </row>
    <row r="438" ht="20" customHeight="1">
      <c r="A438" s="34" t="inlineStr">
        <is>
          <t>69238112309</t>
        </is>
      </c>
      <c r="B438" s="35" t="inlineStr">
        <is>
          <t>NADOLOL 20MG TABLET</t>
        </is>
      </c>
      <c r="C438" s="34" t="n">
        <v>90</v>
      </c>
      <c r="D438" s="36" t="n">
        <v>0</v>
      </c>
      <c r="E438" s="36" t="n">
        <v>0</v>
      </c>
      <c r="F438" s="36" t="n">
        <v>0</v>
      </c>
      <c r="G438" s="36" t="n">
        <v>-0.33</v>
      </c>
      <c r="H438" s="36" t="n">
        <v>0</v>
      </c>
      <c r="I438" s="36" t="n">
        <v>0</v>
      </c>
      <c r="J438" s="36" t="n">
        <v>-0.33</v>
      </c>
      <c r="K438" s="36" t="n">
        <v>0</v>
      </c>
      <c r="L438" s="36" t="n">
        <v>0</v>
      </c>
      <c r="M438" s="36" t="n">
        <v>0</v>
      </c>
      <c r="N438" s="37" t="n">
        <v>0.33</v>
      </c>
      <c r="O438" s="38" t="inlineStr">
        <is>
          <t> </t>
        </is>
      </c>
      <c r="P438" s="39" t="n">
        <v>0</v>
      </c>
      <c r="Q438" s="40" t="n">
        <v>0</v>
      </c>
      <c r="R438" s="41" t="inlineStr">
        <is>
          <t>Unclassified</t>
        </is>
      </c>
      <c r="S438" s="41" t="n"/>
    </row>
    <row r="439" ht="20" customHeight="1">
      <c r="A439" s="34" t="inlineStr">
        <is>
          <t>45802057884</t>
        </is>
      </c>
      <c r="B439" s="35" t="inlineStr">
        <is>
          <t>NALOXONE HCL 4 MG/0.1ML NASAL LIQUID</t>
        </is>
      </c>
      <c r="C439" s="34" t="n">
        <v>2</v>
      </c>
      <c r="D439" s="36" t="n">
        <v>0</v>
      </c>
      <c r="E439" s="36" t="n">
        <v>0</v>
      </c>
      <c r="F439" s="36" t="n">
        <v>-1</v>
      </c>
      <c r="G439" s="36" t="n">
        <v>0</v>
      </c>
      <c r="H439" s="36" t="n">
        <v>0</v>
      </c>
      <c r="I439" s="36" t="n">
        <v>0</v>
      </c>
      <c r="J439" s="36" t="n">
        <v>-2</v>
      </c>
      <c r="K439" s="36" t="n">
        <v>0</v>
      </c>
      <c r="L439" s="36" t="n">
        <v>0</v>
      </c>
      <c r="M439" s="36" t="n">
        <v>0</v>
      </c>
      <c r="N439" s="37" t="n">
        <v>2</v>
      </c>
      <c r="O439" s="38" t="inlineStr">
        <is>
          <t> </t>
        </is>
      </c>
      <c r="P439" s="39" t="n">
        <v>0</v>
      </c>
      <c r="Q439" s="40" t="n">
        <v>0</v>
      </c>
      <c r="R439" s="41" t="inlineStr">
        <is>
          <t>Unclassified</t>
        </is>
      </c>
      <c r="S439" s="41" t="n"/>
    </row>
    <row r="440" ht="20" customHeight="1">
      <c r="A440" s="34" t="inlineStr">
        <is>
          <t>00406117001</t>
        </is>
      </c>
      <c r="B440" s="35" t="inlineStr">
        <is>
          <t>NALTREXONE 50MG TABLET</t>
        </is>
      </c>
      <c r="C440" s="34" t="n">
        <v>100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-0.3</v>
      </c>
      <c r="K440" s="36" t="n">
        <v>-0.3</v>
      </c>
      <c r="L440" s="36" t="n">
        <v>0</v>
      </c>
      <c r="M440" s="36" t="n">
        <v>0</v>
      </c>
      <c r="N440" s="37" t="n">
        <v>0.3</v>
      </c>
      <c r="O440" s="38" t="inlineStr">
        <is>
          <t> </t>
        </is>
      </c>
      <c r="P440" s="39" t="n">
        <v>0</v>
      </c>
      <c r="Q440" s="40" t="n">
        <v>0</v>
      </c>
      <c r="R440" s="41" t="inlineStr">
        <is>
          <t>Unclassified</t>
        </is>
      </c>
      <c r="S440" s="41" t="n"/>
    </row>
    <row r="441" ht="20" customHeight="1">
      <c r="A441" s="34" t="inlineStr">
        <is>
          <t>68462018801</t>
        </is>
      </c>
      <c r="B441" s="35" t="inlineStr">
        <is>
          <t>NAPROXEN 250MG TABLET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0</v>
      </c>
      <c r="I441" s="36" t="n">
        <v>0</v>
      </c>
      <c r="J441" s="36" t="n">
        <v>-0.2</v>
      </c>
      <c r="K441" s="36" t="n">
        <v>0</v>
      </c>
      <c r="L441" s="36" t="n">
        <v>0</v>
      </c>
      <c r="M441" s="36" t="n">
        <v>0</v>
      </c>
      <c r="N441" s="37" t="n">
        <v>0.2</v>
      </c>
      <c r="O441" s="38" t="inlineStr">
        <is>
          <t> </t>
        </is>
      </c>
      <c r="P441" s="39" t="n">
        <v>0</v>
      </c>
      <c r="Q441" s="40" t="n">
        <v>0</v>
      </c>
      <c r="R441" s="41" t="inlineStr">
        <is>
          <t>Unclassified</t>
        </is>
      </c>
      <c r="S441" s="41" t="n"/>
    </row>
    <row r="442" ht="20" customHeight="1">
      <c r="A442" s="34" t="inlineStr">
        <is>
          <t>65862052205</t>
        </is>
      </c>
      <c r="B442" s="35" t="inlineStr">
        <is>
          <t>NAPROXEN 500MG TABLET</t>
        </is>
      </c>
      <c r="C442" s="34" t="n">
        <v>500</v>
      </c>
      <c r="D442" s="36" t="n">
        <v>0</v>
      </c>
      <c r="E442" s="36" t="n">
        <v>0</v>
      </c>
      <c r="F442" s="36" t="n">
        <v>-0.54</v>
      </c>
      <c r="G442" s="36" t="n">
        <v>-0.36</v>
      </c>
      <c r="H442" s="36" t="n">
        <v>0</v>
      </c>
      <c r="I442" s="36" t="n">
        <v>-0.36</v>
      </c>
      <c r="J442" s="36" t="n">
        <v>-0.68</v>
      </c>
      <c r="K442" s="36" t="n">
        <v>0</v>
      </c>
      <c r="L442" s="36" t="n">
        <v>0</v>
      </c>
      <c r="M442" s="36" t="n">
        <v>-0.06</v>
      </c>
      <c r="N442" s="37" t="n">
        <v>0.68</v>
      </c>
      <c r="O442" s="38" t="inlineStr">
        <is>
          <t> </t>
        </is>
      </c>
      <c r="P442" s="39" t="n">
        <v>0</v>
      </c>
      <c r="Q442" s="40" t="n">
        <v>0</v>
      </c>
      <c r="R442" s="41" t="inlineStr">
        <is>
          <t>Unclassified</t>
        </is>
      </c>
      <c r="S442" s="41" t="n"/>
    </row>
    <row r="443" ht="20" customHeight="1">
      <c r="A443" s="34" t="inlineStr">
        <is>
          <t>72241003304</t>
        </is>
      </c>
      <c r="B443" s="35" t="inlineStr">
        <is>
          <t>NEBIVOLOL 5MG TABLET</t>
        </is>
      </c>
      <c r="C443" s="34" t="n">
        <v>90</v>
      </c>
      <c r="D443" s="36" t="n">
        <v>0</v>
      </c>
      <c r="E443" s="36" t="n">
        <v>0</v>
      </c>
      <c r="F443" s="36" t="n">
        <v>0</v>
      </c>
      <c r="G443" s="36" t="n">
        <v>-1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7" t="n">
        <v>1</v>
      </c>
      <c r="O443" s="38" t="inlineStr">
        <is>
          <t> </t>
        </is>
      </c>
      <c r="P443" s="39" t="n">
        <v>0</v>
      </c>
      <c r="Q443" s="40" t="n">
        <v>0</v>
      </c>
      <c r="R443" s="41" t="inlineStr">
        <is>
          <t>Unclassified</t>
        </is>
      </c>
      <c r="S443" s="41" t="n"/>
    </row>
    <row r="444" ht="20" customHeight="1">
      <c r="A444" s="34" t="inlineStr">
        <is>
          <t>91237000160</t>
        </is>
      </c>
      <c r="B444" s="35" t="inlineStr">
        <is>
          <t>NEBULIZER EASY AIR COMPRESSOR</t>
        </is>
      </c>
      <c r="C444" s="34" t="n">
        <v>1</v>
      </c>
      <c r="D444" s="36" t="n">
        <v>0</v>
      </c>
      <c r="E444" s="36" t="n">
        <v>0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-3</v>
      </c>
      <c r="K444" s="36" t="n">
        <v>0</v>
      </c>
      <c r="L444" s="36" t="n">
        <v>0</v>
      </c>
      <c r="M444" s="36" t="n">
        <v>0</v>
      </c>
      <c r="N444" s="37" t="n">
        <v>3</v>
      </c>
      <c r="O444" s="38" t="inlineStr">
        <is>
          <t> </t>
        </is>
      </c>
      <c r="P444" s="39" t="n">
        <v>0</v>
      </c>
      <c r="Q444" s="40" t="n">
        <v>0</v>
      </c>
      <c r="R444" s="41" t="inlineStr">
        <is>
          <t>Unclassified</t>
        </is>
      </c>
      <c r="S444" s="41" t="n"/>
    </row>
    <row r="445" ht="20" customHeight="1">
      <c r="A445" s="34" t="inlineStr">
        <is>
          <t>00093117701</t>
        </is>
      </c>
      <c r="B445" s="35" t="inlineStr">
        <is>
          <t>NEOMYCIN SULFATE 500 MG ORAL TABLET</t>
        </is>
      </c>
      <c r="C445" s="34" t="n">
        <v>100</v>
      </c>
      <c r="D445" s="36" t="n">
        <v>0</v>
      </c>
      <c r="E445" s="36" t="n">
        <v>0</v>
      </c>
      <c r="F445" s="36" t="n">
        <v>0</v>
      </c>
      <c r="G445" s="36" t="n">
        <v>0</v>
      </c>
      <c r="H445" s="36" t="n">
        <v>0</v>
      </c>
      <c r="I445" s="36" t="n">
        <v>0</v>
      </c>
      <c r="J445" s="36" t="n">
        <v>-0.06</v>
      </c>
      <c r="K445" s="36" t="n">
        <v>0</v>
      </c>
      <c r="L445" s="36" t="n">
        <v>0</v>
      </c>
      <c r="M445" s="36" t="n">
        <v>0</v>
      </c>
      <c r="N445" s="37" t="n">
        <v>0.06</v>
      </c>
      <c r="O445" s="38" t="inlineStr">
        <is>
          <t> </t>
        </is>
      </c>
      <c r="P445" s="39" t="n">
        <v>0</v>
      </c>
      <c r="Q445" s="40" t="n">
        <v>0</v>
      </c>
      <c r="R445" s="41" t="inlineStr">
        <is>
          <t>Unclassified</t>
        </is>
      </c>
      <c r="S445" s="41" t="n"/>
    </row>
    <row r="446" ht="20" customHeight="1">
      <c r="A446" s="34" t="inlineStr">
        <is>
          <t>24208079535</t>
        </is>
      </c>
      <c r="B446" s="35" t="inlineStr">
        <is>
          <t>NEOMYCIN-POLYMYXIN-DEXAMETH 3.5-10000-0.1 OPHTHALMIC OINTMENT</t>
        </is>
      </c>
      <c r="C446" s="34" t="n">
        <v>3.5</v>
      </c>
      <c r="D446" s="36" t="n">
        <v>0</v>
      </c>
      <c r="E446" s="36" t="n">
        <v>0</v>
      </c>
      <c r="F446" s="36" t="n">
        <v>-1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6" t="n">
        <v>0</v>
      </c>
      <c r="M446" s="36" t="n">
        <v>0</v>
      </c>
      <c r="N446" s="37" t="n">
        <v>1</v>
      </c>
      <c r="O446" s="38" t="inlineStr">
        <is>
          <t> </t>
        </is>
      </c>
      <c r="P446" s="39" t="n">
        <v>0</v>
      </c>
      <c r="Q446" s="40" t="n">
        <v>0</v>
      </c>
      <c r="R446" s="41" t="inlineStr">
        <is>
          <t>Unclassified</t>
        </is>
      </c>
      <c r="S446" s="41" t="n"/>
    </row>
    <row r="447" ht="20" customHeight="1">
      <c r="A447" s="34" t="inlineStr">
        <is>
          <t>00186504031</t>
        </is>
      </c>
      <c r="B447" s="35" t="inlineStr">
        <is>
          <t>NEXIUM 40MG CAPSULE</t>
        </is>
      </c>
      <c r="C447" s="34" t="n">
        <v>30</v>
      </c>
      <c r="D447" s="36" t="n">
        <v>5</v>
      </c>
      <c r="E447" s="36" t="n">
        <v>5</v>
      </c>
      <c r="F447" s="36" t="n">
        <v>-3</v>
      </c>
      <c r="G447" s="36" t="n">
        <v>5</v>
      </c>
      <c r="H447" s="36" t="n">
        <v>5</v>
      </c>
      <c r="I447" s="36" t="n">
        <v>5</v>
      </c>
      <c r="J447" s="36" t="n">
        <v>5</v>
      </c>
      <c r="K447" s="36" t="n">
        <v>5</v>
      </c>
      <c r="L447" s="36" t="n">
        <v>5</v>
      </c>
      <c r="M447" s="36" t="n">
        <v>5</v>
      </c>
      <c r="N447" s="37" t="n">
        <v>3</v>
      </c>
      <c r="O447" s="38" t="inlineStr">
        <is>
          <t> </t>
        </is>
      </c>
      <c r="P447" s="39" t="n">
        <v>268</v>
      </c>
      <c r="Q447" s="40" t="n">
        <v>804</v>
      </c>
      <c r="R447" s="41" t="inlineStr">
        <is>
          <t>Branded Drug</t>
        </is>
      </c>
      <c r="S447" s="41" t="n"/>
    </row>
    <row r="448" ht="20" customHeight="1">
      <c r="A448" s="34" t="inlineStr">
        <is>
          <t>50742026003</t>
        </is>
      </c>
      <c r="B448" s="35" t="inlineStr">
        <is>
          <t>NIFEDIPINE 30MG TABLET ER</t>
        </is>
      </c>
      <c r="C448" s="34" t="n">
        <v>300</v>
      </c>
      <c r="D448" s="36" t="n">
        <v>0</v>
      </c>
      <c r="E448" s="36" t="n">
        <v>0</v>
      </c>
      <c r="F448" s="36" t="n">
        <v>-0.3</v>
      </c>
      <c r="G448" s="36" t="n">
        <v>-0.1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7" t="n">
        <v>0.3</v>
      </c>
      <c r="O448" s="38" t="inlineStr">
        <is>
          <t> </t>
        </is>
      </c>
      <c r="P448" s="39" t="n">
        <v>0</v>
      </c>
      <c r="Q448" s="40" t="n">
        <v>0</v>
      </c>
      <c r="R448" s="41" t="inlineStr">
        <is>
          <t>Unclassified</t>
        </is>
      </c>
      <c r="S448" s="41" t="n"/>
    </row>
    <row r="449" ht="20" customHeight="1">
      <c r="A449" s="34" t="inlineStr">
        <is>
          <t>50742026103</t>
        </is>
      </c>
      <c r="B449" s="35" t="inlineStr">
        <is>
          <t>NIFEDIPINE 60MG TABLET ER</t>
        </is>
      </c>
      <c r="C449" s="34" t="n">
        <v>300</v>
      </c>
      <c r="D449" s="36" t="n">
        <v>0</v>
      </c>
      <c r="E449" s="36" t="n">
        <v>0</v>
      </c>
      <c r="F449" s="36" t="n">
        <v>-0.6</v>
      </c>
      <c r="G449" s="36" t="n">
        <v>-0.3</v>
      </c>
      <c r="H449" s="36" t="n">
        <v>0</v>
      </c>
      <c r="I449" s="36" t="n">
        <v>-0.1</v>
      </c>
      <c r="J449" s="36" t="n">
        <v>0</v>
      </c>
      <c r="K449" s="36" t="n">
        <v>0</v>
      </c>
      <c r="L449" s="36" t="n">
        <v>0</v>
      </c>
      <c r="M449" s="36" t="n">
        <v>0</v>
      </c>
      <c r="N449" s="37" t="n">
        <v>0.6</v>
      </c>
      <c r="O449" s="38" t="inlineStr">
        <is>
          <t> </t>
        </is>
      </c>
      <c r="P449" s="39" t="n">
        <v>0</v>
      </c>
      <c r="Q449" s="40" t="n">
        <v>0</v>
      </c>
      <c r="R449" s="41" t="inlineStr">
        <is>
          <t>Unclassified</t>
        </is>
      </c>
      <c r="S449" s="41" t="n"/>
    </row>
    <row r="450" ht="20" customHeight="1">
      <c r="A450" s="34" t="inlineStr">
        <is>
          <t>59651029701</t>
        </is>
      </c>
      <c r="B450" s="35" t="inlineStr">
        <is>
          <t>NIFEDIPINE 90MG TABLET ER</t>
        </is>
      </c>
      <c r="C450" s="34" t="n">
        <v>100</v>
      </c>
      <c r="D450" s="36" t="n">
        <v>0</v>
      </c>
      <c r="E450" s="36" t="n">
        <v>0</v>
      </c>
      <c r="F450" s="36" t="n">
        <v>0</v>
      </c>
      <c r="G450" s="36" t="n">
        <v>-0.3</v>
      </c>
      <c r="H450" s="36" t="n">
        <v>0</v>
      </c>
      <c r="I450" s="36" t="n">
        <v>0</v>
      </c>
      <c r="J450" s="36" t="n">
        <v>-0.9</v>
      </c>
      <c r="K450" s="36" t="n">
        <v>0</v>
      </c>
      <c r="L450" s="36" t="n">
        <v>0</v>
      </c>
      <c r="M450" s="36" t="n">
        <v>0</v>
      </c>
      <c r="N450" s="37" t="n">
        <v>0.9</v>
      </c>
      <c r="O450" s="38" t="inlineStr">
        <is>
          <t> </t>
        </is>
      </c>
      <c r="P450" s="39" t="n">
        <v>0</v>
      </c>
      <c r="Q450" s="40" t="n">
        <v>0</v>
      </c>
      <c r="R450" s="41" t="inlineStr">
        <is>
          <t>Unclassified</t>
        </is>
      </c>
      <c r="S450" s="41" t="n"/>
    </row>
    <row r="451" ht="20" customHeight="1">
      <c r="A451" s="34" t="inlineStr">
        <is>
          <t>59762330403</t>
        </is>
      </c>
      <c r="B451" s="35" t="inlineStr">
        <is>
          <t>NITROGLYCERIN 0.4 MG SUBLINGUAL TAB 25X4</t>
        </is>
      </c>
      <c r="C451" s="34" t="n">
        <v>100</v>
      </c>
      <c r="D451" s="36" t="n">
        <v>0</v>
      </c>
      <c r="E451" s="36" t="n">
        <v>0</v>
      </c>
      <c r="F451" s="36" t="n">
        <v>-1.25</v>
      </c>
      <c r="G451" s="36" t="n">
        <v>0</v>
      </c>
      <c r="H451" s="36" t="n">
        <v>0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7" t="n">
        <v>1.25</v>
      </c>
      <c r="O451" s="38" t="inlineStr">
        <is>
          <t> </t>
        </is>
      </c>
      <c r="P451" s="39" t="n">
        <v>0</v>
      </c>
      <c r="Q451" s="40" t="n">
        <v>0</v>
      </c>
      <c r="R451" s="41" t="inlineStr">
        <is>
          <t>Unclassified</t>
        </is>
      </c>
      <c r="S451" s="41" t="n"/>
    </row>
    <row r="452" ht="20" customHeight="1">
      <c r="A452" s="34" t="inlineStr">
        <is>
          <t>51672400101</t>
        </is>
      </c>
      <c r="B452" s="35" t="inlineStr">
        <is>
          <t>NORTRIPTYLINE 10MG CAPSULE</t>
        </is>
      </c>
      <c r="C452" s="34" t="n">
        <v>100</v>
      </c>
      <c r="D452" s="36" t="n">
        <v>0</v>
      </c>
      <c r="E452" s="36" t="n">
        <v>0</v>
      </c>
      <c r="F452" s="36" t="n">
        <v>-0.3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7" t="n">
        <v>0.3</v>
      </c>
      <c r="O452" s="38" t="inlineStr">
        <is>
          <t> </t>
        </is>
      </c>
      <c r="P452" s="39" t="n">
        <v>0</v>
      </c>
      <c r="Q452" s="40" t="n">
        <v>0</v>
      </c>
      <c r="R452" s="41" t="inlineStr">
        <is>
          <t>Unclassified</t>
        </is>
      </c>
      <c r="S452" s="41" t="n"/>
    </row>
    <row r="453" ht="20" customHeight="1">
      <c r="A453" s="34" t="inlineStr">
        <is>
          <t>51672400301</t>
        </is>
      </c>
      <c r="B453" s="35" t="inlineStr">
        <is>
          <t>NORTRIPTYLINE 50MG CAPSULE</t>
        </is>
      </c>
      <c r="C453" s="34" t="n">
        <v>100</v>
      </c>
      <c r="D453" s="36" t="n">
        <v>0</v>
      </c>
      <c r="E453" s="36" t="n">
        <v>0</v>
      </c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-0.3</v>
      </c>
      <c r="K453" s="36" t="n">
        <v>0</v>
      </c>
      <c r="L453" s="36" t="n">
        <v>0</v>
      </c>
      <c r="M453" s="36" t="n">
        <v>0</v>
      </c>
      <c r="N453" s="37" t="n">
        <v>0.3</v>
      </c>
      <c r="O453" s="38" t="inlineStr">
        <is>
          <t> </t>
        </is>
      </c>
      <c r="P453" s="39" t="n">
        <v>0</v>
      </c>
      <c r="Q453" s="40" t="n">
        <v>0</v>
      </c>
      <c r="R453" s="41" t="inlineStr">
        <is>
          <t>Unclassified</t>
        </is>
      </c>
      <c r="S453" s="41" t="n"/>
    </row>
    <row r="454" ht="20" customHeight="1">
      <c r="A454" s="34" t="inlineStr">
        <is>
          <t>00169633910</t>
        </is>
      </c>
      <c r="B454" s="35" t="inlineStr">
        <is>
          <t>NOVOLOG FLEXPEN 100UNIT/ML INJECTION</t>
        </is>
      </c>
      <c r="C454" s="34" t="n">
        <v>15</v>
      </c>
      <c r="D454" s="36" t="n">
        <v>0</v>
      </c>
      <c r="E454" s="36" t="n">
        <v>0</v>
      </c>
      <c r="F454" s="36" t="n">
        <v>-4.2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6" t="n">
        <v>0</v>
      </c>
      <c r="M454" s="36" t="n">
        <v>0</v>
      </c>
      <c r="N454" s="37" t="n">
        <v>4.2</v>
      </c>
      <c r="O454" s="38" t="inlineStr">
        <is>
          <t> </t>
        </is>
      </c>
      <c r="P454" s="39" t="n">
        <v>0</v>
      </c>
      <c r="Q454" s="40" t="n">
        <v>0</v>
      </c>
      <c r="R454" s="41" t="inlineStr">
        <is>
          <t>Unclassified</t>
        </is>
      </c>
      <c r="S454" s="41" t="n"/>
    </row>
    <row r="455" ht="20" customHeight="1">
      <c r="A455" s="34" t="inlineStr">
        <is>
          <t>72618300002</t>
        </is>
      </c>
      <c r="B455" s="35" t="inlineStr">
        <is>
          <t>NURTEC 75MG TABLET DISINTEGRATING</t>
        </is>
      </c>
      <c r="C455" s="34" t="n">
        <v>8</v>
      </c>
      <c r="D455" s="36" t="n">
        <v>2</v>
      </c>
      <c r="E455" s="36" t="n">
        <v>2</v>
      </c>
      <c r="F455" s="36" t="n">
        <v>-2</v>
      </c>
      <c r="G455" s="36" t="n">
        <v>2</v>
      </c>
      <c r="H455" s="36" t="n">
        <v>2</v>
      </c>
      <c r="I455" s="36" t="n">
        <v>2</v>
      </c>
      <c r="J455" s="36" t="n">
        <v>2</v>
      </c>
      <c r="K455" s="36" t="n">
        <v>2</v>
      </c>
      <c r="L455" s="36" t="n">
        <v>2</v>
      </c>
      <c r="M455" s="36" t="n">
        <v>2</v>
      </c>
      <c r="N455" s="37" t="n">
        <v>2</v>
      </c>
      <c r="O455" s="38" t="inlineStr">
        <is>
          <t> </t>
        </is>
      </c>
      <c r="P455" s="39" t="n">
        <v>1046</v>
      </c>
      <c r="Q455" s="40" t="n">
        <v>2092</v>
      </c>
      <c r="R455" s="41" t="inlineStr">
        <is>
          <t>Branded Drug</t>
        </is>
      </c>
      <c r="S455" s="41" t="n"/>
    </row>
    <row r="456" ht="20" customHeight="1">
      <c r="A456" s="34" t="inlineStr">
        <is>
          <t>69315030660</t>
        </is>
      </c>
      <c r="B456" s="35" t="inlineStr">
        <is>
          <t>NYSTATIN 100000 UNIT/GM EXTERNAL POWDER</t>
        </is>
      </c>
      <c r="C456" s="34" t="n">
        <v>60</v>
      </c>
      <c r="D456" s="36" t="n">
        <v>0</v>
      </c>
      <c r="E456" s="36" t="n">
        <v>0</v>
      </c>
      <c r="F456" s="36" t="n">
        <v>-1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6" t="n">
        <v>0</v>
      </c>
      <c r="M456" s="36" t="n">
        <v>0</v>
      </c>
      <c r="N456" s="37" t="n">
        <v>1</v>
      </c>
      <c r="O456" s="38" t="inlineStr">
        <is>
          <t> </t>
        </is>
      </c>
      <c r="P456" s="39" t="n">
        <v>0</v>
      </c>
      <c r="Q456" s="40" t="n">
        <v>0</v>
      </c>
      <c r="R456" s="41" t="inlineStr">
        <is>
          <t>Unclassified</t>
        </is>
      </c>
      <c r="S456" s="41" t="n"/>
    </row>
    <row r="457" ht="20" customHeight="1">
      <c r="A457" s="34" t="inlineStr">
        <is>
          <t>45802005911</t>
        </is>
      </c>
      <c r="B457" s="35" t="inlineStr">
        <is>
          <t>NYSTATIN 100000UNIT/GM CREAM</t>
        </is>
      </c>
      <c r="C457" s="34" t="n">
        <v>30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7" t="n">
        <v>1</v>
      </c>
      <c r="O457" s="38" t="inlineStr">
        <is>
          <t> </t>
        </is>
      </c>
      <c r="P457" s="39" t="n">
        <v>0</v>
      </c>
      <c r="Q457" s="40" t="n">
        <v>0</v>
      </c>
      <c r="R457" s="41" t="inlineStr">
        <is>
          <t>Unclassified</t>
        </is>
      </c>
      <c r="S457" s="41" t="n"/>
    </row>
    <row r="458" ht="20" customHeight="1">
      <c r="A458" s="34" t="inlineStr">
        <is>
          <t>00713068631</t>
        </is>
      </c>
      <c r="B458" s="35" t="inlineStr">
        <is>
          <t>NYSTATIN 100000UNIT/GM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0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7" t="n">
        <v>1</v>
      </c>
      <c r="O458" s="38" t="inlineStr">
        <is>
          <t> </t>
        </is>
      </c>
      <c r="P458" s="39" t="n">
        <v>0</v>
      </c>
      <c r="Q458" s="40" t="n">
        <v>0</v>
      </c>
      <c r="R458" s="41" t="inlineStr">
        <is>
          <t>Unclassified</t>
        </is>
      </c>
      <c r="S458" s="41" t="n"/>
    </row>
    <row r="459" ht="20" customHeight="1">
      <c r="A459" s="34" t="inlineStr">
        <is>
          <t>00832046530</t>
        </is>
      </c>
      <c r="B459" s="35" t="inlineStr">
        <is>
          <t>NYSTATIN 100000UNIT/GM POWDER</t>
        </is>
      </c>
      <c r="C459" s="34" t="n">
        <v>30</v>
      </c>
      <c r="D459" s="36" t="n">
        <v>0</v>
      </c>
      <c r="E459" s="36" t="n">
        <v>0</v>
      </c>
      <c r="F459" s="36" t="n">
        <v>-4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7" t="n">
        <v>4</v>
      </c>
      <c r="O459" s="38" t="inlineStr">
        <is>
          <t> </t>
        </is>
      </c>
      <c r="P459" s="39" t="n">
        <v>0</v>
      </c>
      <c r="Q459" s="40" t="n">
        <v>0</v>
      </c>
      <c r="R459" s="41" t="inlineStr">
        <is>
          <t>Unclassified</t>
        </is>
      </c>
      <c r="S459" s="41" t="n"/>
    </row>
    <row r="460" ht="20" customHeight="1">
      <c r="A460" s="34" t="inlineStr">
        <is>
          <t>45802024494</t>
        </is>
      </c>
      <c r="B460" s="35" t="inlineStr">
        <is>
          <t>NYSTATIN-TRIAMCINOLONE 100000-0.1 U/GM OINTMENT</t>
        </is>
      </c>
      <c r="C460" s="34" t="n">
        <v>30</v>
      </c>
      <c r="D460" s="36" t="n">
        <v>0</v>
      </c>
      <c r="E460" s="36" t="n">
        <v>0</v>
      </c>
      <c r="F460" s="36" t="n">
        <v>0</v>
      </c>
      <c r="G460" s="36" t="n">
        <v>-1</v>
      </c>
      <c r="H460" s="36" t="n">
        <v>0</v>
      </c>
      <c r="I460" s="36" t="n">
        <v>0</v>
      </c>
      <c r="J460" s="36" t="n">
        <v>-1</v>
      </c>
      <c r="K460" s="36" t="n">
        <v>0</v>
      </c>
      <c r="L460" s="36" t="n">
        <v>0</v>
      </c>
      <c r="M460" s="36" t="n">
        <v>0</v>
      </c>
      <c r="N460" s="37" t="n">
        <v>1</v>
      </c>
      <c r="O460" s="38" t="inlineStr">
        <is>
          <t> </t>
        </is>
      </c>
      <c r="P460" s="39" t="n">
        <v>0</v>
      </c>
      <c r="Q460" s="40" t="n">
        <v>0</v>
      </c>
      <c r="R460" s="41" t="inlineStr">
        <is>
          <t>Unclassified</t>
        </is>
      </c>
      <c r="S460" s="41" t="n"/>
    </row>
    <row r="461" ht="20" customHeight="1">
      <c r="A461" s="34" t="inlineStr">
        <is>
          <t>64980051505</t>
        </is>
      </c>
      <c r="B461" s="35" t="inlineStr">
        <is>
          <t xml:space="preserve">OFLOXACIN 0.3% SOL (EYE) </t>
        </is>
      </c>
      <c r="C461" s="34" t="n">
        <v>5</v>
      </c>
      <c r="D461" s="36" t="n">
        <v>0</v>
      </c>
      <c r="E461" s="36" t="n">
        <v>0</v>
      </c>
      <c r="F461" s="36" t="n">
        <v>-2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7" t="n">
        <v>2</v>
      </c>
      <c r="O461" s="38" t="inlineStr">
        <is>
          <t> </t>
        </is>
      </c>
      <c r="P461" s="39" t="n">
        <v>0</v>
      </c>
      <c r="Q461" s="40" t="n">
        <v>0</v>
      </c>
      <c r="R461" s="41" t="inlineStr">
        <is>
          <t>Unclassified</t>
        </is>
      </c>
      <c r="S461" s="41" t="n"/>
    </row>
    <row r="462" ht="20" customHeight="1">
      <c r="A462" s="34" t="inlineStr">
        <is>
          <t>43598016630</t>
        </is>
      </c>
      <c r="B462" s="35" t="inlineStr">
        <is>
          <t>OLANZAPINE 10MG TABLET</t>
        </is>
      </c>
      <c r="C462" s="34" t="n">
        <v>30</v>
      </c>
      <c r="D462" s="36" t="n">
        <v>0</v>
      </c>
      <c r="E462" s="36" t="n">
        <v>0</v>
      </c>
      <c r="F462" s="36" t="n">
        <v>-1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6" t="n">
        <v>0</v>
      </c>
      <c r="M462" s="36" t="n">
        <v>0</v>
      </c>
      <c r="N462" s="37" t="n">
        <v>1</v>
      </c>
      <c r="O462" s="38" t="inlineStr">
        <is>
          <t> </t>
        </is>
      </c>
      <c r="P462" s="39" t="n">
        <v>0</v>
      </c>
      <c r="Q462" s="40" t="n">
        <v>0</v>
      </c>
      <c r="R462" s="41" t="inlineStr">
        <is>
          <t>Unclassified</t>
        </is>
      </c>
      <c r="S462" s="41" t="n"/>
    </row>
    <row r="463" ht="20" customHeight="1">
      <c r="A463" s="34" t="inlineStr">
        <is>
          <t>55111016730</t>
        </is>
      </c>
      <c r="B463" s="35" t="inlineStr">
        <is>
          <t>OLANZAPINE 15MG TABLET</t>
        </is>
      </c>
      <c r="C463" s="34" t="n">
        <v>30</v>
      </c>
      <c r="D463" s="36" t="n">
        <v>0</v>
      </c>
      <c r="E463" s="36" t="n">
        <v>0</v>
      </c>
      <c r="F463" s="36" t="n">
        <v>-2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7" t="n">
        <v>2</v>
      </c>
      <c r="O463" s="38" t="inlineStr">
        <is>
          <t> </t>
        </is>
      </c>
      <c r="P463" s="39" t="n">
        <v>0</v>
      </c>
      <c r="Q463" s="40" t="n">
        <v>0</v>
      </c>
      <c r="R463" s="41" t="inlineStr">
        <is>
          <t>Unclassified</t>
        </is>
      </c>
      <c r="S463" s="41" t="n"/>
    </row>
    <row r="464" ht="20" customHeight="1">
      <c r="A464" s="34" t="inlineStr">
        <is>
          <t>55111016830</t>
        </is>
      </c>
      <c r="B464" s="35" t="inlineStr">
        <is>
          <t>OLANZAPINE 20MG TABLET</t>
        </is>
      </c>
      <c r="C464" s="34" t="n">
        <v>30</v>
      </c>
      <c r="D464" s="36" t="n">
        <v>0</v>
      </c>
      <c r="E464" s="36" t="n">
        <v>0</v>
      </c>
      <c r="F464" s="36" t="n">
        <v>-1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6" t="n">
        <v>0</v>
      </c>
      <c r="M464" s="36" t="n">
        <v>0</v>
      </c>
      <c r="N464" s="37" t="n">
        <v>1</v>
      </c>
      <c r="O464" s="38" t="inlineStr">
        <is>
          <t> </t>
        </is>
      </c>
      <c r="P464" s="39" t="n">
        <v>0</v>
      </c>
      <c r="Q464" s="40" t="n">
        <v>0</v>
      </c>
      <c r="R464" s="41" t="inlineStr">
        <is>
          <t>Unclassified</t>
        </is>
      </c>
      <c r="S464" s="41" t="n"/>
    </row>
    <row r="465" ht="20" customHeight="1">
      <c r="A465" s="34" t="inlineStr">
        <is>
          <t>68462043790</t>
        </is>
      </c>
      <c r="B465" s="35" t="inlineStr">
        <is>
          <t>OLMESARTAN 20MG TABLET</t>
        </is>
      </c>
      <c r="C465" s="34" t="n">
        <v>90</v>
      </c>
      <c r="D465" s="36" t="n">
        <v>0</v>
      </c>
      <c r="E465" s="36" t="n">
        <v>0</v>
      </c>
      <c r="F465" s="36" t="n">
        <v>-1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7" t="n">
        <v>1</v>
      </c>
      <c r="O465" s="38" t="inlineStr">
        <is>
          <t> </t>
        </is>
      </c>
      <c r="P465" s="39" t="n">
        <v>0</v>
      </c>
      <c r="Q465" s="40" t="n">
        <v>0</v>
      </c>
      <c r="R465" s="41" t="inlineStr">
        <is>
          <t>Unclassified</t>
        </is>
      </c>
      <c r="S465" s="41" t="n"/>
    </row>
    <row r="466" ht="20" customHeight="1">
      <c r="A466" s="34" t="inlineStr">
        <is>
          <t>68462043630</t>
        </is>
      </c>
      <c r="B466" s="35" t="inlineStr">
        <is>
          <t>OLMESARTAN 5MG TABLET</t>
        </is>
      </c>
      <c r="C466" s="34" t="n">
        <v>30</v>
      </c>
      <c r="D466" s="36" t="n">
        <v>0</v>
      </c>
      <c r="E466" s="36" t="n">
        <v>0</v>
      </c>
      <c r="F466" s="36" t="n">
        <v>-3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6" t="n">
        <v>0</v>
      </c>
      <c r="M466" s="36" t="n">
        <v>0</v>
      </c>
      <c r="N466" s="37" t="n">
        <v>3</v>
      </c>
      <c r="O466" s="38" t="inlineStr">
        <is>
          <t> </t>
        </is>
      </c>
      <c r="P466" s="39" t="n">
        <v>0</v>
      </c>
      <c r="Q466" s="40" t="n">
        <v>0</v>
      </c>
      <c r="R466" s="41" t="inlineStr">
        <is>
          <t>Unclassified</t>
        </is>
      </c>
      <c r="S466" s="41" t="n"/>
    </row>
    <row r="467" ht="20" customHeight="1">
      <c r="A467" s="34" t="inlineStr">
        <is>
          <t>49884078909</t>
        </is>
      </c>
      <c r="B467" s="35" t="inlineStr">
        <is>
          <t>OLMESARTAN-AMLODIPINE-HCTZ 40-10-12.5 MG ORAL TABLET</t>
        </is>
      </c>
      <c r="C467" s="34" t="n">
        <v>90</v>
      </c>
      <c r="D467" s="36" t="n">
        <v>0</v>
      </c>
      <c r="E467" s="36" t="n">
        <v>0</v>
      </c>
      <c r="F467" s="36" t="n">
        <v>0</v>
      </c>
      <c r="G467" s="36" t="n">
        <v>-0.33</v>
      </c>
      <c r="H467" s="36" t="n">
        <v>0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7" t="n">
        <v>0.33</v>
      </c>
      <c r="O467" s="38" t="inlineStr">
        <is>
          <t> </t>
        </is>
      </c>
      <c r="P467" s="39" t="n">
        <v>0</v>
      </c>
      <c r="Q467" s="40" t="n">
        <v>0</v>
      </c>
      <c r="R467" s="41" t="inlineStr">
        <is>
          <t>Unclassified</t>
        </is>
      </c>
      <c r="S467" s="41" t="n"/>
    </row>
    <row r="468" ht="20" customHeight="1">
      <c r="A468" s="34" t="inlineStr">
        <is>
          <t>49884079009</t>
        </is>
      </c>
      <c r="B468" s="35" t="inlineStr">
        <is>
          <t>OLMESARTAN-AMLODIPINE-HCTZ 40-10-25MG TABLET</t>
        </is>
      </c>
      <c r="C468" s="34" t="n">
        <v>90</v>
      </c>
      <c r="D468" s="36" t="n">
        <v>0</v>
      </c>
      <c r="E468" s="36" t="n">
        <v>0</v>
      </c>
      <c r="F468" s="36" t="n">
        <v>0</v>
      </c>
      <c r="G468" s="36" t="n">
        <v>-1</v>
      </c>
      <c r="H468" s="36" t="n">
        <v>0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7" t="n">
        <v>1</v>
      </c>
      <c r="O468" s="38" t="inlineStr">
        <is>
          <t> </t>
        </is>
      </c>
      <c r="P468" s="39" t="n">
        <v>0</v>
      </c>
      <c r="Q468" s="40" t="n">
        <v>0</v>
      </c>
      <c r="R468" s="41" t="inlineStr">
        <is>
          <t>Unclassified</t>
        </is>
      </c>
      <c r="S468" s="41" t="n"/>
    </row>
    <row r="469" ht="20" customHeight="1">
      <c r="A469" s="34" t="inlineStr">
        <is>
          <t>49884078711</t>
        </is>
      </c>
      <c r="B469" s="35" t="inlineStr">
        <is>
          <t>OLMESARTAN-AMLODIPINE-HCTZ 40-5-12.5 MG ORAL TABLET</t>
        </is>
      </c>
      <c r="C469" s="34" t="n">
        <v>30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-3</v>
      </c>
      <c r="L469" s="36" t="n">
        <v>0</v>
      </c>
      <c r="M469" s="36" t="n">
        <v>0</v>
      </c>
      <c r="N469" s="37" t="n">
        <v>3</v>
      </c>
      <c r="O469" s="38" t="inlineStr">
        <is>
          <t> </t>
        </is>
      </c>
      <c r="P469" s="39" t="n">
        <v>0</v>
      </c>
      <c r="Q469" s="40" t="n">
        <v>0</v>
      </c>
      <c r="R469" s="41" t="inlineStr">
        <is>
          <t>Unclassified</t>
        </is>
      </c>
      <c r="S469" s="41" t="n"/>
    </row>
    <row r="470" ht="20" customHeight="1">
      <c r="A470" s="34" t="inlineStr">
        <is>
          <t>65862078190</t>
        </is>
      </c>
      <c r="B470" s="35" t="inlineStr">
        <is>
          <t>OLMESARTAN-HCTZ 40-25 MG TABLET</t>
        </is>
      </c>
      <c r="C470" s="34" t="n">
        <v>90</v>
      </c>
      <c r="D470" s="36" t="n">
        <v>0</v>
      </c>
      <c r="E470" s="36" t="n">
        <v>0</v>
      </c>
      <c r="F470" s="36" t="n">
        <v>-1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7" t="n">
        <v>1</v>
      </c>
      <c r="O470" s="38" t="inlineStr">
        <is>
          <t> </t>
        </is>
      </c>
      <c r="P470" s="39" t="n">
        <v>0</v>
      </c>
      <c r="Q470" s="40" t="n">
        <v>0</v>
      </c>
      <c r="R470" s="41" t="inlineStr">
        <is>
          <t>Unclassified</t>
        </is>
      </c>
      <c r="S470" s="41" t="n"/>
    </row>
    <row r="471" ht="20" customHeight="1">
      <c r="A471" s="34" t="inlineStr">
        <is>
          <t>70512052005</t>
        </is>
      </c>
      <c r="B471" s="35" t="inlineStr">
        <is>
          <t>OLOPATADINE HCL 0.1 % OPHTHALMIC SOLUTION</t>
        </is>
      </c>
      <c r="C471" s="34" t="n">
        <v>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0</v>
      </c>
      <c r="I471" s="36" t="n">
        <v>0</v>
      </c>
      <c r="J471" s="36" t="n">
        <v>-6</v>
      </c>
      <c r="K471" s="36" t="n">
        <v>0</v>
      </c>
      <c r="L471" s="36" t="n">
        <v>0</v>
      </c>
      <c r="M471" s="36" t="n">
        <v>0</v>
      </c>
      <c r="N471" s="37" t="n">
        <v>6</v>
      </c>
      <c r="O471" s="38" t="inlineStr">
        <is>
          <t> </t>
        </is>
      </c>
      <c r="P471" s="39" t="n">
        <v>0</v>
      </c>
      <c r="Q471" s="40" t="n">
        <v>0</v>
      </c>
      <c r="R471" s="41" t="inlineStr">
        <is>
          <t>Unclassified</t>
        </is>
      </c>
      <c r="S471" s="41" t="n"/>
    </row>
    <row r="472" ht="20" customHeight="1">
      <c r="A472" s="34" t="inlineStr">
        <is>
          <t>00536144540</t>
        </is>
      </c>
      <c r="B472" s="35" t="inlineStr">
        <is>
          <t>OLOPATADINE HCL 0.1 % OPHTHALMIC SOLUTION</t>
        </is>
      </c>
      <c r="C472" s="34" t="n">
        <v>5</v>
      </c>
      <c r="D472" s="36" t="n">
        <v>0</v>
      </c>
      <c r="E472" s="36" t="n">
        <v>0</v>
      </c>
      <c r="F472" s="36" t="n">
        <v>0</v>
      </c>
      <c r="G472" s="36" t="n">
        <v>0</v>
      </c>
      <c r="H472" s="36" t="n">
        <v>0</v>
      </c>
      <c r="I472" s="36" t="n">
        <v>0</v>
      </c>
      <c r="J472" s="36" t="n">
        <v>-1</v>
      </c>
      <c r="K472" s="36" t="n">
        <v>0</v>
      </c>
      <c r="L472" s="36" t="n">
        <v>0</v>
      </c>
      <c r="M472" s="36" t="n">
        <v>0</v>
      </c>
      <c r="N472" s="37" t="n">
        <v>1</v>
      </c>
      <c r="O472" s="38" t="inlineStr">
        <is>
          <t> </t>
        </is>
      </c>
      <c r="P472" s="39" t="n">
        <v>0</v>
      </c>
      <c r="Q472" s="40" t="n">
        <v>0</v>
      </c>
      <c r="R472" s="41" t="inlineStr">
        <is>
          <t>Unclassified</t>
        </is>
      </c>
      <c r="S472" s="41" t="n"/>
    </row>
    <row r="473" ht="20" customHeight="1">
      <c r="A473" s="34" t="inlineStr">
        <is>
          <t>00536130723</t>
        </is>
      </c>
      <c r="B473" s="35" t="inlineStr">
        <is>
          <t>OLOPATADINE HCL 0.2 % OPHTHALMIC SOLUTION</t>
        </is>
      </c>
      <c r="C473" s="34" t="n">
        <v>2.5</v>
      </c>
      <c r="D473" s="36" t="n">
        <v>0</v>
      </c>
      <c r="E473" s="36" t="n">
        <v>0</v>
      </c>
      <c r="F473" s="36" t="n">
        <v>0</v>
      </c>
      <c r="G473" s="36" t="n">
        <v>-1</v>
      </c>
      <c r="H473" s="36" t="n">
        <v>0</v>
      </c>
      <c r="I473" s="36" t="n">
        <v>0</v>
      </c>
      <c r="J473" s="36" t="n">
        <v>-2</v>
      </c>
      <c r="K473" s="36" t="n">
        <v>0</v>
      </c>
      <c r="L473" s="36" t="n">
        <v>0</v>
      </c>
      <c r="M473" s="36" t="n">
        <v>0</v>
      </c>
      <c r="N473" s="37" t="n">
        <v>2</v>
      </c>
      <c r="O473" s="38" t="inlineStr">
        <is>
          <t> </t>
        </is>
      </c>
      <c r="P473" s="39" t="n">
        <v>0</v>
      </c>
      <c r="Q473" s="40" t="n">
        <v>0</v>
      </c>
      <c r="R473" s="41" t="inlineStr">
        <is>
          <t>Unclassified</t>
        </is>
      </c>
      <c r="S473" s="41" t="n"/>
    </row>
    <row r="474" ht="20" customHeight="1">
      <c r="A474" s="34" t="inlineStr">
        <is>
          <t>65162003416</t>
        </is>
      </c>
      <c r="B474" s="35" t="inlineStr">
        <is>
          <t>OMEGA-3-ACID ETHYL ESTERS 1 GM ORAL CAPSULE</t>
        </is>
      </c>
      <c r="C474" s="34" t="n">
        <v>120</v>
      </c>
      <c r="D474" s="36" t="n">
        <v>0</v>
      </c>
      <c r="E474" s="36" t="n">
        <v>0</v>
      </c>
      <c r="F474" s="36" t="n">
        <v>-6.25</v>
      </c>
      <c r="G474" s="36" t="n">
        <v>-1.5</v>
      </c>
      <c r="H474" s="36" t="n">
        <v>0</v>
      </c>
      <c r="I474" s="36" t="n">
        <v>0</v>
      </c>
      <c r="J474" s="36" t="n">
        <v>-1</v>
      </c>
      <c r="K474" s="36" t="n">
        <v>-0.5</v>
      </c>
      <c r="L474" s="36" t="n">
        <v>0</v>
      </c>
      <c r="M474" s="36" t="n">
        <v>0</v>
      </c>
      <c r="N474" s="37" t="n">
        <v>6.25</v>
      </c>
      <c r="O474" s="38" t="inlineStr">
        <is>
          <t> </t>
        </is>
      </c>
      <c r="P474" s="39" t="n">
        <v>0</v>
      </c>
      <c r="Q474" s="40" t="n">
        <v>0</v>
      </c>
      <c r="R474" s="41" t="inlineStr">
        <is>
          <t>Unclassified</t>
        </is>
      </c>
      <c r="S474" s="41" t="n"/>
    </row>
    <row r="475" ht="20" customHeight="1">
      <c r="A475" s="34" t="inlineStr">
        <is>
          <t>00781286810</t>
        </is>
      </c>
      <c r="B475" s="35" t="inlineStr">
        <is>
          <t>OMEPRAZOLE 20MG CAPSULE DR</t>
        </is>
      </c>
      <c r="C475" s="34" t="n">
        <v>1000</v>
      </c>
      <c r="D475" s="36" t="n">
        <v>0</v>
      </c>
      <c r="E475" s="36" t="n">
        <v>0</v>
      </c>
      <c r="F475" s="36" t="n">
        <v>-1.14</v>
      </c>
      <c r="G475" s="36" t="n">
        <v>-0.12</v>
      </c>
      <c r="H475" s="36" t="n">
        <v>0</v>
      </c>
      <c r="I475" s="36" t="n">
        <v>0</v>
      </c>
      <c r="J475" s="36" t="n">
        <v>-0.06</v>
      </c>
      <c r="K475" s="36" t="n">
        <v>0</v>
      </c>
      <c r="L475" s="36" t="n">
        <v>0</v>
      </c>
      <c r="M475" s="36" t="n">
        <v>0</v>
      </c>
      <c r="N475" s="37" t="n">
        <v>1.14</v>
      </c>
      <c r="O475" s="38" t="inlineStr">
        <is>
          <t> </t>
        </is>
      </c>
      <c r="P475" s="39" t="n">
        <v>0</v>
      </c>
      <c r="Q475" s="40" t="n">
        <v>0</v>
      </c>
      <c r="R475" s="41" t="inlineStr">
        <is>
          <t>Unclassified</t>
        </is>
      </c>
      <c r="S475" s="41" t="n"/>
    </row>
    <row r="476" ht="20" customHeight="1">
      <c r="A476" s="34" t="inlineStr">
        <is>
          <t>68462039710</t>
        </is>
      </c>
      <c r="B476" s="35" t="inlineStr">
        <is>
          <t>OMEPRAZOLE 40MG CAPSULE DR</t>
        </is>
      </c>
      <c r="C476" s="34" t="n">
        <v>1000</v>
      </c>
      <c r="D476" s="36" t="n">
        <v>1</v>
      </c>
      <c r="E476" s="36" t="n">
        <v>1</v>
      </c>
      <c r="F476" s="36" t="n">
        <v>-0.9</v>
      </c>
      <c r="G476" s="36" t="n">
        <v>0.82</v>
      </c>
      <c r="H476" s="36" t="n">
        <v>1</v>
      </c>
      <c r="I476" s="36" t="n">
        <v>0.61</v>
      </c>
      <c r="J476" s="36" t="n">
        <v>0.58</v>
      </c>
      <c r="K476" s="36" t="n">
        <v>0.9399999999999999</v>
      </c>
      <c r="L476" s="36" t="n">
        <v>1</v>
      </c>
      <c r="M476" s="36" t="n">
        <v>1</v>
      </c>
      <c r="N476" s="37" t="n">
        <v>0.9</v>
      </c>
      <c r="O476" s="38" t="inlineStr">
        <is>
          <t> </t>
        </is>
      </c>
      <c r="P476" s="39" t="n">
        <v>57</v>
      </c>
      <c r="Q476" s="40" t="n">
        <v>51.53</v>
      </c>
      <c r="R476" s="41" t="inlineStr">
        <is>
          <t>Generic Drug</t>
        </is>
      </c>
      <c r="S476" s="41" t="n"/>
    </row>
    <row r="477" ht="20" customHeight="1">
      <c r="A477" s="34" t="inlineStr">
        <is>
          <t>65862018730</t>
        </is>
      </c>
      <c r="B477" s="35" t="inlineStr">
        <is>
          <t xml:space="preserve">ONDANSETRON 4MG TAB </t>
        </is>
      </c>
      <c r="C477" s="34" t="n">
        <v>30</v>
      </c>
      <c r="D477" s="36" t="n">
        <v>0</v>
      </c>
      <c r="E477" s="36" t="n">
        <v>0</v>
      </c>
      <c r="F477" s="36" t="n">
        <v>-0.83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7" t="n">
        <v>0.83</v>
      </c>
      <c r="O477" s="38" t="inlineStr">
        <is>
          <t> </t>
        </is>
      </c>
      <c r="P477" s="39" t="n">
        <v>0</v>
      </c>
      <c r="Q477" s="40" t="n">
        <v>0</v>
      </c>
      <c r="R477" s="41" t="inlineStr">
        <is>
          <t>Unclassified</t>
        </is>
      </c>
      <c r="S477" s="41" t="n"/>
    </row>
    <row r="478" ht="20" customHeight="1">
      <c r="A478" s="34" t="inlineStr">
        <is>
          <t>65862018830</t>
        </is>
      </c>
      <c r="B478" s="35" t="inlineStr">
        <is>
          <t xml:space="preserve">ONDANSETRON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6" t="n">
        <v>0</v>
      </c>
      <c r="M478" s="36" t="n">
        <v>0</v>
      </c>
      <c r="N478" s="37" t="n">
        <v>1</v>
      </c>
      <c r="O478" s="38" t="inlineStr">
        <is>
          <t> </t>
        </is>
      </c>
      <c r="P478" s="39" t="n">
        <v>0</v>
      </c>
      <c r="Q478" s="40" t="n">
        <v>0</v>
      </c>
      <c r="R478" s="41" t="inlineStr">
        <is>
          <t>Unclassified</t>
        </is>
      </c>
      <c r="S478" s="41" t="n"/>
    </row>
    <row r="479" ht="20" customHeight="1">
      <c r="A479" s="34" t="inlineStr">
        <is>
          <t>68462015713</t>
        </is>
      </c>
      <c r="B479" s="35" t="inlineStr">
        <is>
          <t xml:space="preserve">ONDANSETRON ODT  4MG TAB </t>
        </is>
      </c>
      <c r="C479" s="34" t="n">
        <v>30</v>
      </c>
      <c r="D479" s="36" t="n">
        <v>0</v>
      </c>
      <c r="E479" s="36" t="n">
        <v>0</v>
      </c>
      <c r="F479" s="36" t="n">
        <v>-0.67</v>
      </c>
      <c r="G479" s="36" t="n">
        <v>0</v>
      </c>
      <c r="H479" s="36" t="n">
        <v>0</v>
      </c>
      <c r="I479" s="36" t="n">
        <v>0</v>
      </c>
      <c r="J479" s="36" t="n">
        <v>-1.33</v>
      </c>
      <c r="K479" s="36" t="n">
        <v>0</v>
      </c>
      <c r="L479" s="36" t="n">
        <v>0</v>
      </c>
      <c r="M479" s="36" t="n">
        <v>0</v>
      </c>
      <c r="N479" s="37" t="n">
        <v>1.33</v>
      </c>
      <c r="O479" s="38" t="inlineStr">
        <is>
          <t> </t>
        </is>
      </c>
      <c r="P479" s="39" t="n">
        <v>0</v>
      </c>
      <c r="Q479" s="40" t="n">
        <v>0</v>
      </c>
      <c r="R479" s="41" t="inlineStr">
        <is>
          <t>Unclassified</t>
        </is>
      </c>
      <c r="S479" s="41" t="n"/>
    </row>
    <row r="480" ht="20" customHeight="1">
      <c r="A480" s="34" t="inlineStr">
        <is>
          <t>62756035664</t>
        </is>
      </c>
      <c r="B480" s="35" t="inlineStr">
        <is>
          <t xml:space="preserve">ONDANSETRON ODT 8MG TAB </t>
        </is>
      </c>
      <c r="C480" s="34" t="n">
        <v>30</v>
      </c>
      <c r="D480" s="36" t="n">
        <v>0</v>
      </c>
      <c r="E480" s="36" t="n">
        <v>0</v>
      </c>
      <c r="F480" s="36" t="n">
        <v>0</v>
      </c>
      <c r="G480" s="36" t="n">
        <v>-1</v>
      </c>
      <c r="H480" s="36" t="n">
        <v>0</v>
      </c>
      <c r="I480" s="36" t="n">
        <v>0</v>
      </c>
      <c r="J480" s="36" t="n">
        <v>0</v>
      </c>
      <c r="K480" s="36" t="n">
        <v>0</v>
      </c>
      <c r="L480" s="36" t="n">
        <v>0</v>
      </c>
      <c r="M480" s="36" t="n">
        <v>0</v>
      </c>
      <c r="N480" s="37" t="n">
        <v>1</v>
      </c>
      <c r="O480" s="38" t="inlineStr">
        <is>
          <t> </t>
        </is>
      </c>
      <c r="P480" s="39" t="n">
        <v>0</v>
      </c>
      <c r="Q480" s="40" t="n">
        <v>0</v>
      </c>
      <c r="R480" s="41" t="inlineStr">
        <is>
          <t>Unclassified</t>
        </is>
      </c>
      <c r="S480" s="41" t="n"/>
    </row>
    <row r="481" ht="20" customHeight="1">
      <c r="A481" s="34" t="inlineStr">
        <is>
          <t>50881000705</t>
        </is>
      </c>
      <c r="B481" s="35" t="inlineStr">
        <is>
          <t>OPZELURA 1.5 % EXTERNAL CREAM</t>
        </is>
      </c>
      <c r="C481" s="34" t="n">
        <v>60</v>
      </c>
      <c r="D481" s="36" t="n">
        <v>0</v>
      </c>
      <c r="E481" s="36" t="n">
        <v>0</v>
      </c>
      <c r="F481" s="36" t="n">
        <v>-1</v>
      </c>
      <c r="G481" s="36" t="n">
        <v>0</v>
      </c>
      <c r="H481" s="36" t="n">
        <v>0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7" t="n">
        <v>1</v>
      </c>
      <c r="O481" s="38" t="inlineStr">
        <is>
          <t> </t>
        </is>
      </c>
      <c r="P481" s="39" t="n">
        <v>0</v>
      </c>
      <c r="Q481" s="40" t="n">
        <v>0</v>
      </c>
      <c r="R481" s="41" t="inlineStr">
        <is>
          <t>Unclassified</t>
        </is>
      </c>
      <c r="S481" s="41" t="n"/>
    </row>
    <row r="482" ht="20" customHeight="1">
      <c r="A482" s="34" t="inlineStr">
        <is>
          <t>27241015608</t>
        </is>
      </c>
      <c r="B482" s="35" t="inlineStr">
        <is>
          <t>OXYBUTYNIN 10MG TABLET ER</t>
        </is>
      </c>
      <c r="C482" s="34" t="n">
        <v>500</v>
      </c>
      <c r="D482" s="36" t="n">
        <v>0</v>
      </c>
      <c r="E482" s="36" t="n">
        <v>0</v>
      </c>
      <c r="F482" s="36" t="n">
        <v>0</v>
      </c>
      <c r="G482" s="36" t="n">
        <v>0</v>
      </c>
      <c r="H482" s="36" t="n">
        <v>0</v>
      </c>
      <c r="I482" s="36" t="n">
        <v>0</v>
      </c>
      <c r="J482" s="36" t="n">
        <v>-0.18</v>
      </c>
      <c r="K482" s="36" t="n">
        <v>0</v>
      </c>
      <c r="L482" s="36" t="n">
        <v>0</v>
      </c>
      <c r="M482" s="36" t="n">
        <v>0</v>
      </c>
      <c r="N482" s="37" t="n">
        <v>0.18</v>
      </c>
      <c r="O482" s="38" t="inlineStr">
        <is>
          <t> </t>
        </is>
      </c>
      <c r="P482" s="39" t="n">
        <v>0</v>
      </c>
      <c r="Q482" s="40" t="n">
        <v>0</v>
      </c>
      <c r="R482" s="41" t="inlineStr">
        <is>
          <t>Unclassified</t>
        </is>
      </c>
      <c r="S482" s="41" t="n"/>
    </row>
    <row r="483" ht="20" customHeight="1">
      <c r="A483" s="34" t="inlineStr">
        <is>
          <t>70954000530</t>
        </is>
      </c>
      <c r="B483" s="35" t="inlineStr">
        <is>
          <t>OXYBUTYNIN CHLORIDE 5MG TABLET</t>
        </is>
      </c>
      <c r="C483" s="34" t="n">
        <v>1000</v>
      </c>
      <c r="D483" s="36" t="n">
        <v>0</v>
      </c>
      <c r="E483" s="36" t="n">
        <v>0</v>
      </c>
      <c r="F483" s="36" t="n">
        <v>0</v>
      </c>
      <c r="G483" s="36" t="n">
        <v>0</v>
      </c>
      <c r="H483" s="36" t="n">
        <v>0</v>
      </c>
      <c r="I483" s="36" t="n">
        <v>0</v>
      </c>
      <c r="J483" s="36" t="n">
        <v>-0.03</v>
      </c>
      <c r="K483" s="36" t="n">
        <v>0</v>
      </c>
      <c r="L483" s="36" t="n">
        <v>0</v>
      </c>
      <c r="M483" s="36" t="n">
        <v>0</v>
      </c>
      <c r="N483" s="37" t="n">
        <v>0.03</v>
      </c>
      <c r="O483" s="38" t="inlineStr">
        <is>
          <t> </t>
        </is>
      </c>
      <c r="P483" s="39" t="n">
        <v>0</v>
      </c>
      <c r="Q483" s="40" t="n">
        <v>0</v>
      </c>
      <c r="R483" s="41" t="inlineStr">
        <is>
          <t>Unclassified</t>
        </is>
      </c>
      <c r="S483" s="41" t="n"/>
    </row>
    <row r="484" ht="20" customHeight="1">
      <c r="A484" s="34" t="inlineStr">
        <is>
          <t>47781026405</t>
        </is>
      </c>
      <c r="B484" s="35" t="inlineStr">
        <is>
          <t xml:space="preserve">OXYCODONE 15 MG TABLET </t>
        </is>
      </c>
      <c r="C484" s="34" t="n">
        <v>500</v>
      </c>
      <c r="D484" s="36" t="n">
        <v>0</v>
      </c>
      <c r="E484" s="36" t="n">
        <v>0</v>
      </c>
      <c r="F484" s="36" t="n">
        <v>-0.18</v>
      </c>
      <c r="G484" s="36" t="n">
        <v>0</v>
      </c>
      <c r="H484" s="36" t="n">
        <v>0</v>
      </c>
      <c r="I484" s="36" t="n">
        <v>0</v>
      </c>
      <c r="J484" s="36" t="n">
        <v>-0.18</v>
      </c>
      <c r="K484" s="36" t="n">
        <v>0</v>
      </c>
      <c r="L484" s="36" t="n">
        <v>0</v>
      </c>
      <c r="M484" s="36" t="n">
        <v>0</v>
      </c>
      <c r="N484" s="37" t="n">
        <v>0.18</v>
      </c>
      <c r="O484" s="38" t="inlineStr">
        <is>
          <t> </t>
        </is>
      </c>
      <c r="P484" s="39" t="n">
        <v>0</v>
      </c>
      <c r="Q484" s="40" t="n">
        <v>0</v>
      </c>
      <c r="R484" s="41" t="inlineStr">
        <is>
          <t>Unclassified</t>
        </is>
      </c>
      <c r="S484" s="41" t="n"/>
    </row>
    <row r="485" ht="20" customHeight="1">
      <c r="A485" s="34" t="inlineStr">
        <is>
          <t>10702000950</t>
        </is>
      </c>
      <c r="B485" s="35" t="inlineStr">
        <is>
          <t>OXYCODONE 30MG TABLET</t>
        </is>
      </c>
      <c r="C485" s="34" t="n">
        <v>500</v>
      </c>
      <c r="D485" s="36" t="n">
        <v>0</v>
      </c>
      <c r="E485" s="36" t="n">
        <v>0</v>
      </c>
      <c r="F485" s="36" t="n">
        <v>0</v>
      </c>
      <c r="G485" s="36" t="n">
        <v>-0.24</v>
      </c>
      <c r="H485" s="36" t="n">
        <v>0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7" t="n">
        <v>0.24</v>
      </c>
      <c r="O485" s="38" t="inlineStr">
        <is>
          <t> </t>
        </is>
      </c>
      <c r="P485" s="39" t="n">
        <v>0</v>
      </c>
      <c r="Q485" s="40" t="n">
        <v>0</v>
      </c>
      <c r="R485" s="41" t="inlineStr">
        <is>
          <t>Unclassified</t>
        </is>
      </c>
      <c r="S485" s="41" t="n"/>
    </row>
    <row r="486" ht="20" customHeight="1">
      <c r="A486" s="34" t="inlineStr">
        <is>
          <t>47781026305</t>
        </is>
      </c>
      <c r="B486" s="35" t="inlineStr">
        <is>
          <t>OXYCODONE HCL 5 MG TABLET</t>
        </is>
      </c>
      <c r="C486" s="34" t="n">
        <v>500</v>
      </c>
      <c r="D486" s="36" t="n">
        <v>0</v>
      </c>
      <c r="E486" s="36" t="n">
        <v>0</v>
      </c>
      <c r="F486" s="36" t="n">
        <v>-0.01</v>
      </c>
      <c r="G486" s="36" t="n">
        <v>-0.02</v>
      </c>
      <c r="H486" s="36" t="n">
        <v>0</v>
      </c>
      <c r="I486" s="36" t="n">
        <v>-0.01</v>
      </c>
      <c r="J486" s="36" t="n">
        <v>-0.02</v>
      </c>
      <c r="K486" s="36" t="n">
        <v>0</v>
      </c>
      <c r="L486" s="36" t="n">
        <v>0</v>
      </c>
      <c r="M486" s="36" t="n">
        <v>0</v>
      </c>
      <c r="N486" s="37" t="n">
        <v>0.02</v>
      </c>
      <c r="O486" s="38" t="inlineStr">
        <is>
          <t> </t>
        </is>
      </c>
      <c r="P486" s="39" t="n">
        <v>0</v>
      </c>
      <c r="Q486" s="40" t="n">
        <v>0</v>
      </c>
      <c r="R486" s="41" t="inlineStr">
        <is>
          <t>Unclassified</t>
        </is>
      </c>
      <c r="S486" s="41" t="n"/>
    </row>
    <row r="487" ht="20" customHeight="1">
      <c r="A487" s="34" t="inlineStr">
        <is>
          <t>47781019601</t>
        </is>
      </c>
      <c r="B487" s="35" t="inlineStr">
        <is>
          <t>OXYCODONE-ACETAMINOPHEN 5-325 MG ORAL TABLET</t>
        </is>
      </c>
      <c r="C487" s="34" t="n">
        <v>100</v>
      </c>
      <c r="D487" s="36" t="n">
        <v>0</v>
      </c>
      <c r="E487" s="36" t="n">
        <v>0</v>
      </c>
      <c r="F487" s="36" t="n">
        <v>-0.9</v>
      </c>
      <c r="G487" s="36" t="n">
        <v>0</v>
      </c>
      <c r="H487" s="36" t="n">
        <v>0</v>
      </c>
      <c r="I487" s="36" t="n">
        <v>-1.2</v>
      </c>
      <c r="J487" s="36" t="n">
        <v>0</v>
      </c>
      <c r="K487" s="36" t="n">
        <v>-0.15</v>
      </c>
      <c r="L487" s="36" t="n">
        <v>0</v>
      </c>
      <c r="M487" s="36" t="n">
        <v>0</v>
      </c>
      <c r="N487" s="37" t="n">
        <v>1.2</v>
      </c>
      <c r="O487" s="38" t="inlineStr">
        <is>
          <t> </t>
        </is>
      </c>
      <c r="P487" s="39" t="n">
        <v>0</v>
      </c>
      <c r="Q487" s="40" t="n">
        <v>0</v>
      </c>
      <c r="R487" s="41" t="inlineStr">
        <is>
          <t>Unclassified</t>
        </is>
      </c>
      <c r="S487" s="41" t="n"/>
    </row>
    <row r="488" ht="20" customHeight="1">
      <c r="A488" s="34" t="inlineStr">
        <is>
          <t>00904546072</t>
        </is>
      </c>
      <c r="B488" s="35" t="inlineStr">
        <is>
          <t>OYSTER SHELL CALCIUM W/D 500-5 MG-MCG ORAL TABLET</t>
        </is>
      </c>
      <c r="C488" s="34" t="n">
        <v>300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-0.33</v>
      </c>
      <c r="K488" s="36" t="n">
        <v>0</v>
      </c>
      <c r="L488" s="36" t="n">
        <v>0</v>
      </c>
      <c r="M488" s="36" t="n">
        <v>0</v>
      </c>
      <c r="N488" s="37" t="n">
        <v>0.33</v>
      </c>
      <c r="O488" s="38" t="inlineStr">
        <is>
          <t> </t>
        </is>
      </c>
      <c r="P488" s="39" t="n">
        <v>0</v>
      </c>
      <c r="Q488" s="40" t="n">
        <v>0</v>
      </c>
      <c r="R488" s="41" t="inlineStr">
        <is>
          <t>Unclassified</t>
        </is>
      </c>
      <c r="S488" s="41" t="n"/>
    </row>
    <row r="489" ht="20" customHeight="1">
      <c r="A489" s="34" t="inlineStr">
        <is>
          <t>00904546080</t>
        </is>
      </c>
      <c r="B489" s="35" t="inlineStr">
        <is>
          <t>OYSTER SHELL CALCIUM/D TABLET</t>
        </is>
      </c>
      <c r="C489" s="34" t="n">
        <v>1000</v>
      </c>
      <c r="D489" s="36" t="n">
        <v>0</v>
      </c>
      <c r="E489" s="36" t="n">
        <v>0</v>
      </c>
      <c r="F489" s="36" t="n">
        <v>0</v>
      </c>
      <c r="G489" s="36" t="n">
        <v>0</v>
      </c>
      <c r="H489" s="36" t="n">
        <v>0</v>
      </c>
      <c r="I489" s="36" t="n">
        <v>0</v>
      </c>
      <c r="J489" s="36" t="n">
        <v>-0.45</v>
      </c>
      <c r="K489" s="36" t="n">
        <v>0</v>
      </c>
      <c r="L489" s="36" t="n">
        <v>0</v>
      </c>
      <c r="M489" s="36" t="n">
        <v>0</v>
      </c>
      <c r="N489" s="37" t="n">
        <v>0.45</v>
      </c>
      <c r="O489" s="38" t="inlineStr">
        <is>
          <t> </t>
        </is>
      </c>
      <c r="P489" s="39" t="n">
        <v>0</v>
      </c>
      <c r="Q489" s="40" t="n">
        <v>0</v>
      </c>
      <c r="R489" s="41" t="inlineStr">
        <is>
          <t>Unclassified</t>
        </is>
      </c>
      <c r="S489" s="41" t="n"/>
    </row>
    <row r="490" ht="20" customHeight="1">
      <c r="A490" s="34" t="inlineStr">
        <is>
          <t>13668009690</t>
        </is>
      </c>
      <c r="B490" s="35" t="inlineStr">
        <is>
          <t xml:space="preserve">PANTOPRAZOLE 20MG TAB </t>
        </is>
      </c>
      <c r="C490" s="34" t="n">
        <v>90</v>
      </c>
      <c r="D490" s="36" t="n">
        <v>0</v>
      </c>
      <c r="E490" s="36" t="n">
        <v>0</v>
      </c>
      <c r="F490" s="36" t="n">
        <v>-0.67</v>
      </c>
      <c r="G490" s="36" t="n">
        <v>-0.33</v>
      </c>
      <c r="H490" s="36" t="n">
        <v>0</v>
      </c>
      <c r="I490" s="36" t="n">
        <v>0</v>
      </c>
      <c r="J490" s="36" t="n">
        <v>0</v>
      </c>
      <c r="K490" s="36" t="n">
        <v>0</v>
      </c>
      <c r="L490" s="36" t="n">
        <v>0</v>
      </c>
      <c r="M490" s="36" t="n">
        <v>0</v>
      </c>
      <c r="N490" s="37" t="n">
        <v>0.67</v>
      </c>
      <c r="O490" s="38" t="inlineStr">
        <is>
          <t> </t>
        </is>
      </c>
      <c r="P490" s="39" t="n">
        <v>0</v>
      </c>
      <c r="Q490" s="40" t="n">
        <v>0</v>
      </c>
      <c r="R490" s="41" t="inlineStr">
        <is>
          <t>Unclassified</t>
        </is>
      </c>
      <c r="S490" s="41" t="n"/>
    </row>
    <row r="491" ht="20" customHeight="1">
      <c r="A491" s="34" t="inlineStr">
        <is>
          <t>13107015430</t>
        </is>
      </c>
      <c r="B491" s="35" t="inlineStr">
        <is>
          <t>PAROXETINE 10MG TABLET</t>
        </is>
      </c>
      <c r="C491" s="34" t="n">
        <v>30</v>
      </c>
      <c r="D491" s="36" t="n">
        <v>0</v>
      </c>
      <c r="E491" s="36" t="n">
        <v>0</v>
      </c>
      <c r="F491" s="36" t="n">
        <v>-2</v>
      </c>
      <c r="G491" s="36" t="n">
        <v>-1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7" t="n">
        <v>2</v>
      </c>
      <c r="O491" s="38" t="inlineStr">
        <is>
          <t> </t>
        </is>
      </c>
      <c r="P491" s="39" t="n">
        <v>0</v>
      </c>
      <c r="Q491" s="40" t="n">
        <v>0</v>
      </c>
      <c r="R491" s="41" t="inlineStr">
        <is>
          <t>Unclassified</t>
        </is>
      </c>
      <c r="S491" s="41" t="n"/>
    </row>
    <row r="492" ht="20" customHeight="1">
      <c r="A492" s="34" t="inlineStr">
        <is>
          <t>13107015530</t>
        </is>
      </c>
      <c r="B492" s="35" t="inlineStr">
        <is>
          <t xml:space="preserve">PAROXETINE 20MG TABLET </t>
        </is>
      </c>
      <c r="C492" s="34" t="n">
        <v>30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-1</v>
      </c>
      <c r="K492" s="36" t="n">
        <v>0</v>
      </c>
      <c r="L492" s="36" t="n">
        <v>0</v>
      </c>
      <c r="M492" s="36" t="n">
        <v>0</v>
      </c>
      <c r="N492" s="37" t="n">
        <v>1</v>
      </c>
      <c r="O492" s="38" t="inlineStr">
        <is>
          <t> </t>
        </is>
      </c>
      <c r="P492" s="39" t="n">
        <v>0</v>
      </c>
      <c r="Q492" s="40" t="n">
        <v>0</v>
      </c>
      <c r="R492" s="41" t="inlineStr">
        <is>
          <t>Unclassified</t>
        </is>
      </c>
      <c r="S492" s="41" t="n"/>
    </row>
    <row r="493" ht="20" customHeight="1">
      <c r="A493" s="34" t="inlineStr">
        <is>
          <t>13107015630</t>
        </is>
      </c>
      <c r="B493" s="35" t="inlineStr">
        <is>
          <t>PAROXETINE 30MG TABLET</t>
        </is>
      </c>
      <c r="C493" s="34" t="n">
        <v>30</v>
      </c>
      <c r="D493" s="36" t="n">
        <v>0</v>
      </c>
      <c r="E493" s="36" t="n">
        <v>0</v>
      </c>
      <c r="F493" s="36" t="n">
        <v>-1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7" t="n">
        <v>1</v>
      </c>
      <c r="O493" s="38" t="inlineStr">
        <is>
          <t> </t>
        </is>
      </c>
      <c r="P493" s="39" t="n">
        <v>0</v>
      </c>
      <c r="Q493" s="40" t="n">
        <v>0</v>
      </c>
      <c r="R493" s="41" t="inlineStr">
        <is>
          <t>Unclassified</t>
        </is>
      </c>
      <c r="S493" s="41" t="n"/>
    </row>
    <row r="494" ht="20" customHeight="1">
      <c r="A494" s="34" t="inlineStr">
        <is>
          <t>60505010104</t>
        </is>
      </c>
      <c r="B494" s="35" t="inlineStr">
        <is>
          <t>PAROXETINE 40MG TABLET</t>
        </is>
      </c>
      <c r="C494" s="34" t="n">
        <v>1000</v>
      </c>
      <c r="D494" s="36" t="n">
        <v>0</v>
      </c>
      <c r="E494" s="36" t="n">
        <v>0</v>
      </c>
      <c r="F494" s="36" t="n">
        <v>-0.09</v>
      </c>
      <c r="G494" s="36" t="n">
        <v>0</v>
      </c>
      <c r="H494" s="36" t="n">
        <v>0</v>
      </c>
      <c r="I494" s="36" t="n">
        <v>0</v>
      </c>
      <c r="J494" s="36" t="n">
        <v>0</v>
      </c>
      <c r="K494" s="36" t="n">
        <v>0</v>
      </c>
      <c r="L494" s="36" t="n">
        <v>0</v>
      </c>
      <c r="M494" s="36" t="n">
        <v>0</v>
      </c>
      <c r="N494" s="37" t="n">
        <v>0.09</v>
      </c>
      <c r="O494" s="38" t="inlineStr">
        <is>
          <t> </t>
        </is>
      </c>
      <c r="P494" s="39" t="n">
        <v>0</v>
      </c>
      <c r="Q494" s="40" t="n">
        <v>0</v>
      </c>
      <c r="R494" s="41" t="inlineStr">
        <is>
          <t>Unclassified</t>
        </is>
      </c>
      <c r="S494" s="41" t="n"/>
    </row>
    <row r="495" ht="20" customHeight="1">
      <c r="A495" s="34" t="inlineStr">
        <is>
          <t>73317666604</t>
        </is>
      </c>
      <c r="B495" s="35" t="inlineStr">
        <is>
          <t>PEN NEEDLE 31G X 4 MM QUICK TOUCH INSULIN</t>
        </is>
      </c>
      <c r="C495" s="34" t="n">
        <v>100</v>
      </c>
      <c r="D495" s="36" t="n">
        <v>0</v>
      </c>
      <c r="E495" s="36" t="n">
        <v>0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7" t="n">
        <v>1</v>
      </c>
      <c r="O495" s="38" t="inlineStr">
        <is>
          <t> </t>
        </is>
      </c>
      <c r="P495" s="39" t="n">
        <v>0</v>
      </c>
      <c r="Q495" s="40" t="n">
        <v>0</v>
      </c>
      <c r="R495" s="41" t="inlineStr">
        <is>
          <t>Unclassified</t>
        </is>
      </c>
      <c r="S495" s="41" t="n"/>
    </row>
    <row r="496" ht="20" customHeight="1">
      <c r="A496" s="34" t="inlineStr">
        <is>
          <t>56151211401</t>
        </is>
      </c>
      <c r="B496" s="35" t="inlineStr">
        <is>
          <t>PEN NEEDLES 32G X 4 MM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0</v>
      </c>
      <c r="I496" s="36" t="n">
        <v>0</v>
      </c>
      <c r="J496" s="36" t="n">
        <v>-6</v>
      </c>
      <c r="K496" s="36" t="n">
        <v>0</v>
      </c>
      <c r="L496" s="36" t="n">
        <v>0</v>
      </c>
      <c r="M496" s="36" t="n">
        <v>0</v>
      </c>
      <c r="N496" s="37" t="n">
        <v>6</v>
      </c>
      <c r="O496" s="38" t="inlineStr">
        <is>
          <t> </t>
        </is>
      </c>
      <c r="P496" s="39" t="n">
        <v>0</v>
      </c>
      <c r="Q496" s="40" t="n">
        <v>0</v>
      </c>
      <c r="R496" s="41" t="inlineStr">
        <is>
          <t>Unclassified</t>
        </is>
      </c>
      <c r="S496" s="41" t="n"/>
    </row>
    <row r="497" ht="20" customHeight="1">
      <c r="A497" s="34" t="inlineStr">
        <is>
          <t>08290320122</t>
        </is>
      </c>
      <c r="B497" s="35" t="inlineStr">
        <is>
          <t>PEN NEEDLES ALL</t>
        </is>
      </c>
      <c r="C497" s="34" t="n">
        <v>100</v>
      </c>
      <c r="D497" s="36" t="n">
        <v>0</v>
      </c>
      <c r="E497" s="36" t="n">
        <v>0</v>
      </c>
      <c r="F497" s="36" t="n">
        <v>-28</v>
      </c>
      <c r="G497" s="36" t="n">
        <v>-1</v>
      </c>
      <c r="H497" s="36" t="n">
        <v>0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7" t="n">
        <v>28</v>
      </c>
      <c r="O497" s="38" t="inlineStr">
        <is>
          <t> </t>
        </is>
      </c>
      <c r="P497" s="39" t="n">
        <v>0</v>
      </c>
      <c r="Q497" s="40" t="n">
        <v>0</v>
      </c>
      <c r="R497" s="41" t="inlineStr">
        <is>
          <t>Unclassified</t>
        </is>
      </c>
      <c r="S497" s="41" t="n"/>
    </row>
    <row r="498" ht="20" customHeight="1">
      <c r="A498" s="34" t="inlineStr">
        <is>
          <t>65862017501</t>
        </is>
      </c>
      <c r="B498" s="35" t="inlineStr">
        <is>
          <t>PENICILLIN V POTASSIUM 250MG TABLET</t>
        </is>
      </c>
      <c r="C498" s="34" t="n">
        <v>100</v>
      </c>
      <c r="D498" s="36" t="n">
        <v>0</v>
      </c>
      <c r="E498" s="36" t="n">
        <v>0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-0.6</v>
      </c>
      <c r="K498" s="36" t="n">
        <v>0</v>
      </c>
      <c r="L498" s="36" t="n">
        <v>0</v>
      </c>
      <c r="M498" s="36" t="n">
        <v>0</v>
      </c>
      <c r="N498" s="37" t="n">
        <v>0.6</v>
      </c>
      <c r="O498" s="38" t="inlineStr">
        <is>
          <t> </t>
        </is>
      </c>
      <c r="P498" s="39" t="n">
        <v>0</v>
      </c>
      <c r="Q498" s="40" t="n">
        <v>0</v>
      </c>
      <c r="R498" s="41" t="inlineStr">
        <is>
          <t>Unclassified</t>
        </is>
      </c>
      <c r="S498" s="41" t="n"/>
    </row>
    <row r="499" ht="20" customHeight="1">
      <c r="A499" s="34" t="inlineStr">
        <is>
          <t>54092018981</t>
        </is>
      </c>
      <c r="B499" s="35" t="inlineStr">
        <is>
          <t>PENTASA 250 MG ORAL CAPSULE EXTENDED RELEASE</t>
        </is>
      </c>
      <c r="C499" s="34" t="n">
        <v>240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0</v>
      </c>
      <c r="I499" s="36" t="n">
        <v>0</v>
      </c>
      <c r="J499" s="36" t="n">
        <v>-0.12</v>
      </c>
      <c r="K499" s="36" t="n">
        <v>0</v>
      </c>
      <c r="L499" s="36" t="n">
        <v>0</v>
      </c>
      <c r="M499" s="36" t="n">
        <v>0</v>
      </c>
      <c r="N499" s="37" t="n">
        <v>0.12</v>
      </c>
      <c r="O499" s="38" t="inlineStr">
        <is>
          <t> </t>
        </is>
      </c>
      <c r="P499" s="39" t="n">
        <v>0</v>
      </c>
      <c r="Q499" s="40" t="n">
        <v>0</v>
      </c>
      <c r="R499" s="41" t="inlineStr">
        <is>
          <t>Unclassified</t>
        </is>
      </c>
      <c r="S499" s="41" t="n"/>
    </row>
    <row r="500" ht="20" customHeight="1">
      <c r="A500" s="34" t="inlineStr">
        <is>
          <t>21922002107</t>
        </is>
      </c>
      <c r="B500" s="35" t="inlineStr">
        <is>
          <t>PERMETHRIN 5 % EXTERNAL CREAM</t>
        </is>
      </c>
      <c r="C500" s="34" t="n">
        <v>60</v>
      </c>
      <c r="D500" s="36" t="n">
        <v>0</v>
      </c>
      <c r="E500" s="36" t="n">
        <v>0</v>
      </c>
      <c r="F500" s="36" t="n">
        <v>-1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7" t="n">
        <v>1</v>
      </c>
      <c r="O500" s="38" t="inlineStr">
        <is>
          <t> </t>
        </is>
      </c>
      <c r="P500" s="39" t="n">
        <v>0</v>
      </c>
      <c r="Q500" s="40" t="n">
        <v>0</v>
      </c>
      <c r="R500" s="41" t="inlineStr">
        <is>
          <t>Unclassified</t>
        </is>
      </c>
      <c r="S500" s="41" t="n"/>
    </row>
    <row r="501" ht="20" customHeight="1">
      <c r="A501" s="34" t="inlineStr">
        <is>
          <t>69367061101</t>
        </is>
      </c>
      <c r="B501" s="35" t="inlineStr">
        <is>
          <t>PHENAZOPYRIDINE HCL 100MG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-0.15</v>
      </c>
      <c r="K501" s="36" t="n">
        <v>0</v>
      </c>
      <c r="L501" s="36" t="n">
        <v>0</v>
      </c>
      <c r="M501" s="36" t="n">
        <v>0</v>
      </c>
      <c r="N501" s="37" t="n">
        <v>0.15</v>
      </c>
      <c r="O501" s="38" t="inlineStr">
        <is>
          <t> </t>
        </is>
      </c>
      <c r="P501" s="39" t="n">
        <v>0</v>
      </c>
      <c r="Q501" s="40" t="n">
        <v>0</v>
      </c>
      <c r="R501" s="41" t="inlineStr">
        <is>
          <t>Unclassified</t>
        </is>
      </c>
      <c r="S501" s="41" t="n"/>
    </row>
    <row r="502" ht="20" customHeight="1">
      <c r="A502" s="34" t="inlineStr">
        <is>
          <t>00603516632</t>
        </is>
      </c>
      <c r="B502" s="35" t="inlineStr">
        <is>
          <t>PHENOBARBITAL 32.4 MG TABLET</t>
        </is>
      </c>
      <c r="C502" s="34" t="n">
        <v>1000</v>
      </c>
      <c r="D502" s="36" t="n">
        <v>0</v>
      </c>
      <c r="E502" s="36" t="n">
        <v>0</v>
      </c>
      <c r="F502" s="36" t="n">
        <v>-0.06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6" t="n">
        <v>0</v>
      </c>
      <c r="M502" s="36" t="n">
        <v>0</v>
      </c>
      <c r="N502" s="37" t="n">
        <v>0.06</v>
      </c>
      <c r="O502" s="38" t="inlineStr">
        <is>
          <t> </t>
        </is>
      </c>
      <c r="P502" s="39" t="n">
        <v>0</v>
      </c>
      <c r="Q502" s="40" t="n">
        <v>0</v>
      </c>
      <c r="R502" s="41" t="inlineStr">
        <is>
          <t>Unclassified</t>
        </is>
      </c>
      <c r="S502" s="41" t="n"/>
    </row>
    <row r="503" ht="20" customHeight="1">
      <c r="A503" s="34" t="inlineStr">
        <is>
          <t>10702002501</t>
        </is>
      </c>
      <c r="B503" s="35" t="inlineStr">
        <is>
          <t>PHENTERMINE 37.5MG TABLET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0</v>
      </c>
      <c r="I503" s="36" t="n">
        <v>-0.3</v>
      </c>
      <c r="J503" s="36" t="n">
        <v>0</v>
      </c>
      <c r="K503" s="36" t="n">
        <v>0</v>
      </c>
      <c r="L503" s="36" t="n">
        <v>0</v>
      </c>
      <c r="M503" s="36" t="n">
        <v>0</v>
      </c>
      <c r="N503" s="37" t="n">
        <v>0.3</v>
      </c>
      <c r="O503" s="38" t="inlineStr">
        <is>
          <t> </t>
        </is>
      </c>
      <c r="P503" s="39" t="n">
        <v>0</v>
      </c>
      <c r="Q503" s="40" t="n">
        <v>0</v>
      </c>
      <c r="R503" s="41" t="inlineStr">
        <is>
          <t>Unclassified</t>
        </is>
      </c>
      <c r="S503" s="41" t="n"/>
    </row>
    <row r="504" ht="20" customHeight="1">
      <c r="A504" s="34" t="inlineStr">
        <is>
          <t>57237021905</t>
        </is>
      </c>
      <c r="B504" s="35" t="inlineStr">
        <is>
          <t>PIOGLITAZONE 15MG TABLET</t>
        </is>
      </c>
      <c r="C504" s="34" t="n">
        <v>500</v>
      </c>
      <c r="D504" s="36" t="n">
        <v>0</v>
      </c>
      <c r="E504" s="36" t="n">
        <v>0</v>
      </c>
      <c r="F504" s="36" t="n">
        <v>-0.48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0</v>
      </c>
      <c r="L504" s="36" t="n">
        <v>0</v>
      </c>
      <c r="M504" s="36" t="n">
        <v>0</v>
      </c>
      <c r="N504" s="37" t="n">
        <v>0.48</v>
      </c>
      <c r="O504" s="38" t="inlineStr">
        <is>
          <t> </t>
        </is>
      </c>
      <c r="P504" s="39" t="n">
        <v>0</v>
      </c>
      <c r="Q504" s="40" t="n">
        <v>0</v>
      </c>
      <c r="R504" s="41" t="inlineStr">
        <is>
          <t>Unclassified</t>
        </is>
      </c>
      <c r="S504" s="41" t="n"/>
    </row>
    <row r="505" ht="20" customHeight="1">
      <c r="A505" s="34" t="inlineStr">
        <is>
          <t>57237022105</t>
        </is>
      </c>
      <c r="B505" s="35" t="inlineStr">
        <is>
          <t>PIOGLITAZONE 45MG TABLET</t>
        </is>
      </c>
      <c r="C505" s="34" t="n">
        <v>500</v>
      </c>
      <c r="D505" s="36" t="n">
        <v>0</v>
      </c>
      <c r="E505" s="36" t="n">
        <v>0</v>
      </c>
      <c r="F505" s="36" t="n">
        <v>-0.18</v>
      </c>
      <c r="G505" s="36" t="n">
        <v>0</v>
      </c>
      <c r="H505" s="36" t="n">
        <v>0</v>
      </c>
      <c r="I505" s="36" t="n">
        <v>-0.18</v>
      </c>
      <c r="J505" s="36" t="n">
        <v>0</v>
      </c>
      <c r="K505" s="36" t="n">
        <v>0</v>
      </c>
      <c r="L505" s="36" t="n">
        <v>0</v>
      </c>
      <c r="M505" s="36" t="n">
        <v>0</v>
      </c>
      <c r="N505" s="37" t="n">
        <v>0.18</v>
      </c>
      <c r="O505" s="38" t="inlineStr">
        <is>
          <t> </t>
        </is>
      </c>
      <c r="P505" s="39" t="n">
        <v>0</v>
      </c>
      <c r="Q505" s="40" t="n">
        <v>0</v>
      </c>
      <c r="R505" s="41" t="inlineStr">
        <is>
          <t>Unclassified</t>
        </is>
      </c>
      <c r="S505" s="41" t="n"/>
    </row>
    <row r="506" ht="20" customHeight="1">
      <c r="A506" s="34" t="inlineStr">
        <is>
          <t>00087040203</t>
        </is>
      </c>
      <c r="B506" s="35" t="inlineStr">
        <is>
          <t>POLY-VI-SOL ORAL SOLUTION</t>
        </is>
      </c>
      <c r="C506" s="34" t="n">
        <v>50</v>
      </c>
      <c r="D506" s="36" t="n">
        <v>0</v>
      </c>
      <c r="E506" s="36" t="n">
        <v>0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-5</v>
      </c>
      <c r="K506" s="36" t="n">
        <v>0</v>
      </c>
      <c r="L506" s="36" t="n">
        <v>0</v>
      </c>
      <c r="M506" s="36" t="n">
        <v>0</v>
      </c>
      <c r="N506" s="37" t="n">
        <v>5</v>
      </c>
      <c r="O506" s="38" t="inlineStr">
        <is>
          <t> </t>
        </is>
      </c>
      <c r="P506" s="39" t="n">
        <v>0</v>
      </c>
      <c r="Q506" s="40" t="n">
        <v>0</v>
      </c>
      <c r="R506" s="41" t="inlineStr">
        <is>
          <t>Unclassified</t>
        </is>
      </c>
      <c r="S506" s="41" t="n"/>
    </row>
    <row r="507" ht="20" customHeight="1">
      <c r="A507" s="34" t="inlineStr">
        <is>
          <t>00536105227</t>
        </is>
      </c>
      <c r="B507" s="35" t="inlineStr">
        <is>
          <t>POLYETHYLENE GLYCOL 3350 17GM/SCOOP POWDER</t>
        </is>
      </c>
      <c r="C507" s="34" t="n">
        <v>510</v>
      </c>
      <c r="D507" s="36" t="n">
        <v>20</v>
      </c>
      <c r="E507" s="36" t="n">
        <v>20</v>
      </c>
      <c r="F507" s="36" t="n">
        <v>18</v>
      </c>
      <c r="G507" s="36" t="n">
        <v>20</v>
      </c>
      <c r="H507" s="36" t="n">
        <v>20</v>
      </c>
      <c r="I507" s="36" t="n">
        <v>20</v>
      </c>
      <c r="J507" s="36" t="n">
        <v>-8</v>
      </c>
      <c r="K507" s="36" t="n">
        <v>20</v>
      </c>
      <c r="L507" s="36" t="n">
        <v>20</v>
      </c>
      <c r="M507" s="36" t="n">
        <v>20</v>
      </c>
      <c r="N507" s="37" t="n">
        <v>8</v>
      </c>
      <c r="O507" s="38" t="inlineStr">
        <is>
          <t> </t>
        </is>
      </c>
      <c r="P507" s="39" t="n">
        <v>10</v>
      </c>
      <c r="Q507" s="40" t="n">
        <v>80</v>
      </c>
      <c r="R507" s="41" t="inlineStr">
        <is>
          <t>OTC Drug</t>
        </is>
      </c>
      <c r="S507" s="41" t="n"/>
    </row>
    <row r="508" ht="20" customHeight="1">
      <c r="A508" s="34" t="inlineStr">
        <is>
          <t>00832532411</t>
        </is>
      </c>
      <c r="B508" s="35" t="inlineStr">
        <is>
          <t>POTASSIUM CHLORIDE 10MEQ TABLET ER</t>
        </is>
      </c>
      <c r="C508" s="34" t="n">
        <v>100</v>
      </c>
      <c r="D508" s="36" t="n">
        <v>0</v>
      </c>
      <c r="E508" s="36" t="n">
        <v>0</v>
      </c>
      <c r="F508" s="36" t="n">
        <v>-0.3</v>
      </c>
      <c r="G508" s="36" t="n">
        <v>0</v>
      </c>
      <c r="H508" s="36" t="n">
        <v>0</v>
      </c>
      <c r="I508" s="36" t="n">
        <v>0</v>
      </c>
      <c r="J508" s="36" t="n">
        <v>0</v>
      </c>
      <c r="K508" s="36" t="n">
        <v>0</v>
      </c>
      <c r="L508" s="36" t="n">
        <v>0</v>
      </c>
      <c r="M508" s="36" t="n">
        <v>0</v>
      </c>
      <c r="N508" s="37" t="n">
        <v>0.3</v>
      </c>
      <c r="O508" s="38" t="inlineStr">
        <is>
          <t> </t>
        </is>
      </c>
      <c r="P508" s="39" t="n">
        <v>0</v>
      </c>
      <c r="Q508" s="40" t="n">
        <v>0</v>
      </c>
      <c r="R508" s="41" t="inlineStr">
        <is>
          <t>Unclassified</t>
        </is>
      </c>
      <c r="S508" s="41" t="n"/>
    </row>
    <row r="509" ht="20" customHeight="1">
      <c r="A509" s="34" t="inlineStr">
        <is>
          <t>71930005012</t>
        </is>
      </c>
      <c r="B509" s="35" t="inlineStr">
        <is>
          <t>POTASSIUM CITRATE 15MEQ TABLET EXTENDED RELEASE</t>
        </is>
      </c>
      <c r="C509" s="34" t="n">
        <v>100</v>
      </c>
      <c r="D509" s="36" t="n">
        <v>0</v>
      </c>
      <c r="E509" s="36" t="n">
        <v>0</v>
      </c>
      <c r="F509" s="36" t="n">
        <v>-1.2</v>
      </c>
      <c r="G509" s="36" t="n">
        <v>0</v>
      </c>
      <c r="H509" s="36" t="n">
        <v>0</v>
      </c>
      <c r="I509" s="36" t="n">
        <v>0</v>
      </c>
      <c r="J509" s="36" t="n">
        <v>-0.6</v>
      </c>
      <c r="K509" s="36" t="n">
        <v>0</v>
      </c>
      <c r="L509" s="36" t="n">
        <v>0</v>
      </c>
      <c r="M509" s="36" t="n">
        <v>0</v>
      </c>
      <c r="N509" s="37" t="n">
        <v>1.2</v>
      </c>
      <c r="O509" s="38" t="inlineStr">
        <is>
          <t> </t>
        </is>
      </c>
      <c r="P509" s="39" t="n">
        <v>0</v>
      </c>
      <c r="Q509" s="40" t="n">
        <v>0</v>
      </c>
      <c r="R509" s="41" t="inlineStr">
        <is>
          <t>Unclassified</t>
        </is>
      </c>
      <c r="S509" s="41" t="n"/>
    </row>
    <row r="510" ht="20" customHeight="1">
      <c r="A510" s="34" t="inlineStr">
        <is>
          <t>00093720110</t>
        </is>
      </c>
      <c r="B510" s="35" t="inlineStr">
        <is>
          <t>PRAVASTATIN 20MG TABLET</t>
        </is>
      </c>
      <c r="C510" s="34" t="n">
        <v>1000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-0.09</v>
      </c>
      <c r="K510" s="36" t="n">
        <v>0</v>
      </c>
      <c r="L510" s="36" t="n">
        <v>0</v>
      </c>
      <c r="M510" s="36" t="n">
        <v>0</v>
      </c>
      <c r="N510" s="37" t="n">
        <v>0.09</v>
      </c>
      <c r="O510" s="38" t="inlineStr">
        <is>
          <t> </t>
        </is>
      </c>
      <c r="P510" s="39" t="n">
        <v>0</v>
      </c>
      <c r="Q510" s="40" t="n">
        <v>0</v>
      </c>
      <c r="R510" s="41" t="inlineStr">
        <is>
          <t>Unclassified</t>
        </is>
      </c>
      <c r="S510" s="41" t="n"/>
    </row>
    <row r="511" ht="20" customHeight="1">
      <c r="A511" s="34" t="inlineStr">
        <is>
          <t>00093720210</t>
        </is>
      </c>
      <c r="B511" s="35" t="inlineStr">
        <is>
          <t>PRAVASTATIN 40MG TABLET</t>
        </is>
      </c>
      <c r="C511" s="34" t="n">
        <v>1000</v>
      </c>
      <c r="D511" s="36" t="n">
        <v>0</v>
      </c>
      <c r="E511" s="36" t="n">
        <v>0</v>
      </c>
      <c r="F511" s="36" t="n">
        <v>-0.18</v>
      </c>
      <c r="G511" s="36" t="n">
        <v>0</v>
      </c>
      <c r="H511" s="36" t="n">
        <v>0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7" t="n">
        <v>0.18</v>
      </c>
      <c r="O511" s="38" t="inlineStr">
        <is>
          <t> </t>
        </is>
      </c>
      <c r="P511" s="39" t="n">
        <v>0</v>
      </c>
      <c r="Q511" s="40" t="n">
        <v>0</v>
      </c>
      <c r="R511" s="41" t="inlineStr">
        <is>
          <t>Unclassified</t>
        </is>
      </c>
      <c r="S511" s="41" t="n"/>
    </row>
    <row r="512" ht="20" customHeight="1">
      <c r="A512" s="34" t="inlineStr">
        <is>
          <t>70377004812</t>
        </is>
      </c>
      <c r="B512" s="35" t="inlineStr">
        <is>
          <t>PRAVASTATIN 80MG TABLET</t>
        </is>
      </c>
      <c r="C512" s="34" t="n">
        <v>90</v>
      </c>
      <c r="D512" s="36" t="n">
        <v>0</v>
      </c>
      <c r="E512" s="36" t="n">
        <v>0</v>
      </c>
      <c r="F512" s="36" t="n">
        <v>-0.33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-0.33</v>
      </c>
      <c r="L512" s="36" t="n">
        <v>0</v>
      </c>
      <c r="M512" s="36" t="n">
        <v>0</v>
      </c>
      <c r="N512" s="37" t="n">
        <v>0.33</v>
      </c>
      <c r="O512" s="38" t="inlineStr">
        <is>
          <t> </t>
        </is>
      </c>
      <c r="P512" s="39" t="n">
        <v>0</v>
      </c>
      <c r="Q512" s="40" t="n">
        <v>0</v>
      </c>
      <c r="R512" s="41" t="inlineStr">
        <is>
          <t>Unclassified</t>
        </is>
      </c>
      <c r="S512" s="41" t="n"/>
    </row>
    <row r="513" ht="20" customHeight="1">
      <c r="A513" s="34" t="inlineStr">
        <is>
          <t>70377006611</t>
        </is>
      </c>
      <c r="B513" s="35" t="inlineStr">
        <is>
          <t>PRAZOSIN HCL 1 MG ORAL CAPSULE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-0.9</v>
      </c>
      <c r="K513" s="36" t="n">
        <v>0</v>
      </c>
      <c r="L513" s="36" t="n">
        <v>0</v>
      </c>
      <c r="M513" s="36" t="n">
        <v>0</v>
      </c>
      <c r="N513" s="37" t="n">
        <v>0.9</v>
      </c>
      <c r="O513" s="38" t="inlineStr">
        <is>
          <t> </t>
        </is>
      </c>
      <c r="P513" s="39" t="n">
        <v>0</v>
      </c>
      <c r="Q513" s="40" t="n">
        <v>0</v>
      </c>
      <c r="R513" s="41" t="inlineStr">
        <is>
          <t>Unclassified</t>
        </is>
      </c>
      <c r="S513" s="41" t="n"/>
    </row>
    <row r="514" ht="20" customHeight="1">
      <c r="A514" s="34" t="inlineStr">
        <is>
          <t>70377006711</t>
        </is>
      </c>
      <c r="B514" s="35" t="inlineStr">
        <is>
          <t>PRAZOSIN HCL 2 MG ORAL CAPSULE</t>
        </is>
      </c>
      <c r="C514" s="34" t="n">
        <v>100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-0.9</v>
      </c>
      <c r="K514" s="36" t="n">
        <v>0</v>
      </c>
      <c r="L514" s="36" t="n">
        <v>0</v>
      </c>
      <c r="M514" s="36" t="n">
        <v>0</v>
      </c>
      <c r="N514" s="37" t="n">
        <v>0.9</v>
      </c>
      <c r="O514" s="38" t="inlineStr">
        <is>
          <t> </t>
        </is>
      </c>
      <c r="P514" s="39" t="n">
        <v>0</v>
      </c>
      <c r="Q514" s="40" t="n">
        <v>0</v>
      </c>
      <c r="R514" s="41" t="inlineStr">
        <is>
          <t>Unclassified</t>
        </is>
      </c>
      <c r="S514" s="41" t="n"/>
    </row>
    <row r="515" ht="20" customHeight="1">
      <c r="A515" s="34" t="inlineStr">
        <is>
          <t>70756044011</t>
        </is>
      </c>
      <c r="B515" s="35" t="inlineStr">
        <is>
          <t>PRAZOSIN HCL 5 MG ORAL CAPSULE</t>
        </is>
      </c>
      <c r="C515" s="34" t="n">
        <v>100</v>
      </c>
      <c r="D515" s="36" t="n">
        <v>0</v>
      </c>
      <c r="E515" s="36" t="n">
        <v>0</v>
      </c>
      <c r="F515" s="36" t="n">
        <v>0</v>
      </c>
      <c r="G515" s="36" t="n">
        <v>-0.3</v>
      </c>
      <c r="H515" s="36" t="n">
        <v>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7" t="n">
        <v>0.3</v>
      </c>
      <c r="O515" s="38" t="inlineStr">
        <is>
          <t> </t>
        </is>
      </c>
      <c r="P515" s="39" t="n">
        <v>0</v>
      </c>
      <c r="Q515" s="40" t="n">
        <v>0</v>
      </c>
      <c r="R515" s="41" t="inlineStr">
        <is>
          <t>Unclassified</t>
        </is>
      </c>
      <c r="S515" s="41" t="n"/>
    </row>
    <row r="516" ht="20" customHeight="1">
      <c r="A516" s="34" t="inlineStr">
        <is>
          <t>61314063705</t>
        </is>
      </c>
      <c r="B516" s="35" t="inlineStr">
        <is>
          <t>PREDNISOLONE ACETATE 1% SUSPENSION</t>
        </is>
      </c>
      <c r="C516" s="34" t="n">
        <v>5</v>
      </c>
      <c r="D516" s="36" t="n">
        <v>0</v>
      </c>
      <c r="E516" s="36" t="n">
        <v>0</v>
      </c>
      <c r="F516" s="36" t="n">
        <v>-4</v>
      </c>
      <c r="G516" s="36" t="n">
        <v>-2</v>
      </c>
      <c r="H516" s="36" t="n">
        <v>0</v>
      </c>
      <c r="I516" s="36" t="n">
        <v>-1</v>
      </c>
      <c r="J516" s="36" t="n">
        <v>-3</v>
      </c>
      <c r="K516" s="36" t="n">
        <v>0</v>
      </c>
      <c r="L516" s="36" t="n">
        <v>0</v>
      </c>
      <c r="M516" s="36" t="n">
        <v>0</v>
      </c>
      <c r="N516" s="37" t="n">
        <v>4</v>
      </c>
      <c r="O516" s="38" t="inlineStr">
        <is>
          <t> </t>
        </is>
      </c>
      <c r="P516" s="39" t="n">
        <v>0</v>
      </c>
      <c r="Q516" s="40" t="n">
        <v>0</v>
      </c>
      <c r="R516" s="41" t="inlineStr">
        <is>
          <t>Unclassified</t>
        </is>
      </c>
      <c r="S516" s="41" t="n"/>
    </row>
    <row r="517" ht="20" customHeight="1">
      <c r="A517" s="34" t="inlineStr">
        <is>
          <t>61314063715</t>
        </is>
      </c>
      <c r="B517" s="35" t="inlineStr">
        <is>
          <t>PREDNISOLONE ACETATE 1% SUSPENSION</t>
        </is>
      </c>
      <c r="C517" s="34" t="n">
        <v>15</v>
      </c>
      <c r="D517" s="36" t="n">
        <v>0</v>
      </c>
      <c r="E517" s="36" t="n">
        <v>0</v>
      </c>
      <c r="F517" s="36" t="n">
        <v>-2</v>
      </c>
      <c r="G517" s="36" t="n">
        <v>0</v>
      </c>
      <c r="H517" s="36" t="n">
        <v>0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7" t="n">
        <v>2</v>
      </c>
      <c r="O517" s="38" t="inlineStr">
        <is>
          <t> </t>
        </is>
      </c>
      <c r="P517" s="39" t="n">
        <v>0</v>
      </c>
      <c r="Q517" s="40" t="n">
        <v>0</v>
      </c>
      <c r="R517" s="41" t="inlineStr">
        <is>
          <t>Unclassified</t>
        </is>
      </c>
      <c r="S517" s="41" t="n"/>
    </row>
    <row r="518" ht="20" customHeight="1">
      <c r="A518" s="34" t="inlineStr">
        <is>
          <t>59746017306</t>
        </is>
      </c>
      <c r="B518" s="35" t="inlineStr">
        <is>
          <t>PREDNISONE 10MG TABLET</t>
        </is>
      </c>
      <c r="C518" s="34" t="n">
        <v>100</v>
      </c>
      <c r="D518" s="36" t="n">
        <v>0</v>
      </c>
      <c r="E518" s="36" t="n">
        <v>0</v>
      </c>
      <c r="F518" s="36" t="n">
        <v>-0.1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-0.31</v>
      </c>
      <c r="L518" s="36" t="n">
        <v>0</v>
      </c>
      <c r="M518" s="36" t="n">
        <v>0</v>
      </c>
      <c r="N518" s="37" t="n">
        <v>0.31</v>
      </c>
      <c r="O518" s="38" t="inlineStr">
        <is>
          <t> </t>
        </is>
      </c>
      <c r="P518" s="39" t="n">
        <v>0</v>
      </c>
      <c r="Q518" s="40" t="n">
        <v>0</v>
      </c>
      <c r="R518" s="41" t="inlineStr">
        <is>
          <t>Unclassified</t>
        </is>
      </c>
      <c r="S518" s="41" t="n"/>
    </row>
    <row r="519" ht="20" customHeight="1">
      <c r="A519" s="34" t="inlineStr">
        <is>
          <t>64380078508</t>
        </is>
      </c>
      <c r="B519" s="35" t="inlineStr">
        <is>
          <t>PREDNISONE 20MG TABLET</t>
        </is>
      </c>
      <c r="C519" s="34" t="n">
        <v>1000</v>
      </c>
      <c r="D519" s="36" t="n">
        <v>0</v>
      </c>
      <c r="E519" s="36" t="n">
        <v>0</v>
      </c>
      <c r="F519" s="36" t="n">
        <v>-0.03</v>
      </c>
      <c r="G519" s="36" t="n">
        <v>-0.01</v>
      </c>
      <c r="H519" s="36" t="n">
        <v>0</v>
      </c>
      <c r="I519" s="36" t="n">
        <v>0</v>
      </c>
      <c r="J519" s="36" t="n">
        <v>-0.02</v>
      </c>
      <c r="K519" s="36" t="n">
        <v>0</v>
      </c>
      <c r="L519" s="36" t="n">
        <v>0</v>
      </c>
      <c r="M519" s="36" t="n">
        <v>0</v>
      </c>
      <c r="N519" s="37" t="n">
        <v>0.03</v>
      </c>
      <c r="O519" s="38" t="inlineStr">
        <is>
          <t> </t>
        </is>
      </c>
      <c r="P519" s="39" t="n">
        <v>0</v>
      </c>
      <c r="Q519" s="40" t="n">
        <v>0</v>
      </c>
      <c r="R519" s="41" t="inlineStr">
        <is>
          <t>Unclassified</t>
        </is>
      </c>
      <c r="S519" s="41" t="n"/>
    </row>
    <row r="520" ht="20" customHeight="1">
      <c r="A520" s="34" t="inlineStr">
        <is>
          <t>64380094906</t>
        </is>
      </c>
      <c r="B520" s="35" t="inlineStr">
        <is>
          <t>PREDNISONE 50MG TABLET</t>
        </is>
      </c>
      <c r="C520" s="34" t="n">
        <v>100</v>
      </c>
      <c r="D520" s="36" t="n">
        <v>0</v>
      </c>
      <c r="E520" s="36" t="n">
        <v>0</v>
      </c>
      <c r="F520" s="36" t="n">
        <v>-0.05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7" t="n">
        <v>0.05</v>
      </c>
      <c r="O520" s="38" t="inlineStr">
        <is>
          <t> </t>
        </is>
      </c>
      <c r="P520" s="39" t="n">
        <v>0</v>
      </c>
      <c r="Q520" s="40" t="n">
        <v>0</v>
      </c>
      <c r="R520" s="41" t="inlineStr">
        <is>
          <t>Unclassified</t>
        </is>
      </c>
      <c r="S520" s="41" t="n"/>
    </row>
    <row r="521" ht="20" customHeight="1">
      <c r="A521" s="34" t="inlineStr">
        <is>
          <t>64380078306</t>
        </is>
      </c>
      <c r="B521" s="35" t="inlineStr">
        <is>
          <t>PREDNISONE 5MG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0</v>
      </c>
      <c r="I521" s="36" t="n">
        <v>0</v>
      </c>
      <c r="J521" s="36" t="n">
        <v>-0.3</v>
      </c>
      <c r="K521" s="36" t="n">
        <v>0</v>
      </c>
      <c r="L521" s="36" t="n">
        <v>0</v>
      </c>
      <c r="M521" s="36" t="n">
        <v>0</v>
      </c>
      <c r="N521" s="37" t="n">
        <v>0.3</v>
      </c>
      <c r="O521" s="38" t="inlineStr">
        <is>
          <t> </t>
        </is>
      </c>
      <c r="P521" s="39" t="n">
        <v>0</v>
      </c>
      <c r="Q521" s="40" t="n">
        <v>0</v>
      </c>
      <c r="R521" s="41" t="inlineStr">
        <is>
          <t>Unclassified</t>
        </is>
      </c>
      <c r="S521" s="41" t="n"/>
    </row>
    <row r="522" ht="20" customHeight="1">
      <c r="A522" s="34" t="inlineStr">
        <is>
          <t>82619012601</t>
        </is>
      </c>
      <c r="B522" s="35" t="inlineStr">
        <is>
          <t>PREGABALIN 150 MG ORAL CAPSULE</t>
        </is>
      </c>
      <c r="C522" s="34" t="n">
        <v>90</v>
      </c>
      <c r="D522" s="36" t="n">
        <v>0</v>
      </c>
      <c r="E522" s="36" t="n">
        <v>0</v>
      </c>
      <c r="F522" s="36" t="n">
        <v>-0.67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6" t="n">
        <v>0</v>
      </c>
      <c r="M522" s="36" t="n">
        <v>0</v>
      </c>
      <c r="N522" s="37" t="n">
        <v>0.67</v>
      </c>
      <c r="O522" s="38" t="inlineStr">
        <is>
          <t> </t>
        </is>
      </c>
      <c r="P522" s="39" t="n">
        <v>0</v>
      </c>
      <c r="Q522" s="40" t="n">
        <v>0</v>
      </c>
      <c r="R522" s="41" t="inlineStr">
        <is>
          <t>Unclassified</t>
        </is>
      </c>
      <c r="S522" s="41" t="n"/>
    </row>
    <row r="523" ht="20" customHeight="1">
      <c r="A523" s="34" t="inlineStr">
        <is>
          <t>00536408501</t>
        </is>
      </c>
      <c r="B523" s="35" t="inlineStr">
        <is>
          <t>PRENATAL VITAMINS 28-0.8 MG TABLET</t>
        </is>
      </c>
      <c r="C523" s="34" t="n">
        <v>100</v>
      </c>
      <c r="D523" s="36" t="n">
        <v>0</v>
      </c>
      <c r="E523" s="36" t="n">
        <v>0</v>
      </c>
      <c r="F523" s="36" t="n">
        <v>0</v>
      </c>
      <c r="G523" s="36" t="n">
        <v>0</v>
      </c>
      <c r="H523" s="36" t="n">
        <v>0</v>
      </c>
      <c r="I523" s="36" t="n">
        <v>0</v>
      </c>
      <c r="J523" s="36" t="n">
        <v>-1.5</v>
      </c>
      <c r="K523" s="36" t="n">
        <v>0</v>
      </c>
      <c r="L523" s="36" t="n">
        <v>0</v>
      </c>
      <c r="M523" s="36" t="n">
        <v>0</v>
      </c>
      <c r="N523" s="37" t="n">
        <v>1.5</v>
      </c>
      <c r="O523" s="38" t="inlineStr">
        <is>
          <t> </t>
        </is>
      </c>
      <c r="P523" s="39" t="n">
        <v>0</v>
      </c>
      <c r="Q523" s="40" t="n">
        <v>0</v>
      </c>
      <c r="R523" s="41" t="inlineStr">
        <is>
          <t>Unclassified</t>
        </is>
      </c>
      <c r="S523" s="41" t="n"/>
    </row>
    <row r="524" ht="20" customHeight="1">
      <c r="A524" s="34" t="inlineStr">
        <is>
          <t>00005200002</t>
        </is>
      </c>
      <c r="B524" s="35" t="inlineStr">
        <is>
          <t>PREVNAR 20 0.5 ML INTRAMUSCULAR SUSPENSION PREFILLED SYRINGE</t>
        </is>
      </c>
      <c r="C524" s="34" t="n">
        <v>0.5</v>
      </c>
      <c r="D524" s="36" t="n">
        <v>0</v>
      </c>
      <c r="E524" s="36" t="n">
        <v>0</v>
      </c>
      <c r="F524" s="36" t="n">
        <v>-1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0</v>
      </c>
      <c r="L524" s="36" t="n">
        <v>0</v>
      </c>
      <c r="M524" s="36" t="n">
        <v>0</v>
      </c>
      <c r="N524" s="37" t="n">
        <v>1</v>
      </c>
      <c r="O524" s="38" t="inlineStr">
        <is>
          <t> </t>
        </is>
      </c>
      <c r="P524" s="39" t="n">
        <v>0</v>
      </c>
      <c r="Q524" s="40" t="n">
        <v>0</v>
      </c>
      <c r="R524" s="41" t="inlineStr">
        <is>
          <t>Unclassified</t>
        </is>
      </c>
      <c r="S524" s="41" t="n"/>
    </row>
    <row r="525" ht="20" customHeight="1">
      <c r="A525" s="34" t="inlineStr">
        <is>
          <t>00005200010</t>
        </is>
      </c>
      <c r="B525" s="35" t="inlineStr">
        <is>
          <t>PREVNAR 20 0.5 ML PREFILLED SYRINGE</t>
        </is>
      </c>
      <c r="C525" s="34" t="n">
        <v>5</v>
      </c>
      <c r="D525" s="36" t="n">
        <v>0</v>
      </c>
      <c r="E525" s="36" t="n">
        <v>0</v>
      </c>
      <c r="F525" s="36" t="n">
        <v>-0.1</v>
      </c>
      <c r="G525" s="36" t="n">
        <v>-0.1</v>
      </c>
      <c r="H525" s="36" t="n">
        <v>0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7" t="n">
        <v>0.1</v>
      </c>
      <c r="O525" s="38" t="inlineStr">
        <is>
          <t> </t>
        </is>
      </c>
      <c r="P525" s="39" t="n">
        <v>0</v>
      </c>
      <c r="Q525" s="40" t="n">
        <v>0</v>
      </c>
      <c r="R525" s="41" t="inlineStr">
        <is>
          <t>Unclassified</t>
        </is>
      </c>
      <c r="S525" s="41" t="n"/>
    </row>
    <row r="526" ht="20" customHeight="1">
      <c r="A526" s="34" t="inlineStr">
        <is>
          <t>64980032430</t>
        </is>
      </c>
      <c r="B526" s="35" t="inlineStr">
        <is>
          <t>PROCTOZONE-HC 2.5% CREAM</t>
        </is>
      </c>
      <c r="C526" s="34" t="n">
        <v>30</v>
      </c>
      <c r="D526" s="36" t="n">
        <v>0</v>
      </c>
      <c r="E526" s="36" t="n">
        <v>0</v>
      </c>
      <c r="F526" s="36" t="n">
        <v>0</v>
      </c>
      <c r="G526" s="36" t="n">
        <v>0</v>
      </c>
      <c r="H526" s="36" t="n">
        <v>0</v>
      </c>
      <c r="I526" s="36" t="n">
        <v>0</v>
      </c>
      <c r="J526" s="36" t="n">
        <v>-2</v>
      </c>
      <c r="K526" s="36" t="n">
        <v>0</v>
      </c>
      <c r="L526" s="36" t="n">
        <v>0</v>
      </c>
      <c r="M526" s="36" t="n">
        <v>0</v>
      </c>
      <c r="N526" s="37" t="n">
        <v>2</v>
      </c>
      <c r="O526" s="38" t="inlineStr">
        <is>
          <t> </t>
        </is>
      </c>
      <c r="P526" s="39" t="n">
        <v>0</v>
      </c>
      <c r="Q526" s="40" t="n">
        <v>0</v>
      </c>
      <c r="R526" s="41" t="inlineStr">
        <is>
          <t>Unclassified</t>
        </is>
      </c>
      <c r="S526" s="41" t="n"/>
    </row>
    <row r="527" ht="20" customHeight="1">
      <c r="A527" s="34" t="inlineStr">
        <is>
          <t>59651015201</t>
        </is>
      </c>
      <c r="B527" s="35" t="inlineStr">
        <is>
          <t>PROGESTERONE 100 MG CAPSULE</t>
        </is>
      </c>
      <c r="C527" s="34" t="n">
        <v>100</v>
      </c>
      <c r="D527" s="36" t="n">
        <v>0</v>
      </c>
      <c r="E527" s="36" t="n">
        <v>0</v>
      </c>
      <c r="F527" s="36" t="n">
        <v>-0.3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7" t="n">
        <v>0.3</v>
      </c>
      <c r="O527" s="38" t="inlineStr">
        <is>
          <t> </t>
        </is>
      </c>
      <c r="P527" s="39" t="n">
        <v>0</v>
      </c>
      <c r="Q527" s="40" t="n">
        <v>0</v>
      </c>
      <c r="R527" s="41" t="inlineStr">
        <is>
          <t>Unclassified</t>
        </is>
      </c>
      <c r="S527" s="41" t="n"/>
    </row>
    <row r="528" ht="20" customHeight="1">
      <c r="A528" s="34" t="inlineStr">
        <is>
          <t>59651015301</t>
        </is>
      </c>
      <c r="B528" s="35" t="inlineStr">
        <is>
          <t>PROGESTERONE 200 MG ORAL CAPSULE</t>
        </is>
      </c>
      <c r="C528" s="34" t="n">
        <v>100</v>
      </c>
      <c r="D528" s="36" t="n">
        <v>0</v>
      </c>
      <c r="E528" s="36" t="n">
        <v>0</v>
      </c>
      <c r="F528" s="36" t="n">
        <v>0</v>
      </c>
      <c r="G528" s="36" t="n">
        <v>-0.12</v>
      </c>
      <c r="H528" s="36" t="n">
        <v>0</v>
      </c>
      <c r="I528" s="36" t="n">
        <v>0</v>
      </c>
      <c r="J528" s="36" t="n">
        <v>0</v>
      </c>
      <c r="K528" s="36" t="n">
        <v>0</v>
      </c>
      <c r="L528" s="36" t="n">
        <v>0</v>
      </c>
      <c r="M528" s="36" t="n">
        <v>0</v>
      </c>
      <c r="N528" s="37" t="n">
        <v>0.12</v>
      </c>
      <c r="O528" s="38" t="inlineStr">
        <is>
          <t> </t>
        </is>
      </c>
      <c r="P528" s="39" t="n">
        <v>0</v>
      </c>
      <c r="Q528" s="40" t="n">
        <v>0</v>
      </c>
      <c r="R528" s="41" t="inlineStr">
        <is>
          <t>Unclassified</t>
        </is>
      </c>
      <c r="S528" s="41" t="n"/>
    </row>
    <row r="529" ht="20" customHeight="1">
      <c r="A529" s="34" t="inlineStr">
        <is>
          <t>70752013812</t>
        </is>
      </c>
      <c r="B529" s="35" t="inlineStr">
        <is>
          <t>PROMETHAZINE HCL 6.25 MG/5ML ORAL SOLUTION</t>
        </is>
      </c>
      <c r="C529" s="34" t="n">
        <v>473</v>
      </c>
      <c r="D529" s="36" t="n">
        <v>0</v>
      </c>
      <c r="E529" s="36" t="n">
        <v>0</v>
      </c>
      <c r="F529" s="36" t="n">
        <v>-1.18</v>
      </c>
      <c r="G529" s="36" t="n">
        <v>-0.38</v>
      </c>
      <c r="H529" s="36" t="n">
        <v>0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7" t="n">
        <v>1.18</v>
      </c>
      <c r="O529" s="38" t="inlineStr">
        <is>
          <t> </t>
        </is>
      </c>
      <c r="P529" s="39" t="n">
        <v>0</v>
      </c>
      <c r="Q529" s="40" t="n">
        <v>0</v>
      </c>
      <c r="R529" s="41" t="inlineStr">
        <is>
          <t>Unclassified</t>
        </is>
      </c>
      <c r="S529" s="41" t="n"/>
    </row>
    <row r="530" ht="20" customHeight="1">
      <c r="A530" s="34" t="inlineStr">
        <is>
          <t>70436015542</t>
        </is>
      </c>
      <c r="B530" s="35" t="inlineStr">
        <is>
          <t>PROMETHAZINE-DM 6.25-15 MG/5ML ORAL SYRUP</t>
        </is>
      </c>
      <c r="C530" s="34" t="n">
        <v>473</v>
      </c>
      <c r="D530" s="36" t="n">
        <v>0</v>
      </c>
      <c r="E530" s="36" t="n">
        <v>0</v>
      </c>
      <c r="F530" s="36" t="n">
        <v>-0.21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0</v>
      </c>
      <c r="L530" s="36" t="n">
        <v>0</v>
      </c>
      <c r="M530" s="36" t="n">
        <v>0</v>
      </c>
      <c r="N530" s="37" t="n">
        <v>0.21</v>
      </c>
      <c r="O530" s="38" t="inlineStr">
        <is>
          <t> </t>
        </is>
      </c>
      <c r="P530" s="39" t="n">
        <v>0</v>
      </c>
      <c r="Q530" s="40" t="n">
        <v>0</v>
      </c>
      <c r="R530" s="41" t="inlineStr">
        <is>
          <t>Unclassified</t>
        </is>
      </c>
      <c r="S530" s="41" t="n"/>
    </row>
    <row r="531" ht="20" customHeight="1">
      <c r="A531" s="34" t="inlineStr">
        <is>
          <t>69238207701</t>
        </is>
      </c>
      <c r="B531" s="35" t="inlineStr">
        <is>
          <t xml:space="preserve">PROPRANOLOL 10MG TABLET </t>
        </is>
      </c>
      <c r="C531" s="34" t="n">
        <v>100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-2.4</v>
      </c>
      <c r="K531" s="36" t="n">
        <v>0</v>
      </c>
      <c r="L531" s="36" t="n">
        <v>0</v>
      </c>
      <c r="M531" s="36" t="n">
        <v>0</v>
      </c>
      <c r="N531" s="37" t="n">
        <v>2.4</v>
      </c>
      <c r="O531" s="38" t="inlineStr">
        <is>
          <t> </t>
        </is>
      </c>
      <c r="P531" s="39" t="n">
        <v>0</v>
      </c>
      <c r="Q531" s="40" t="n">
        <v>0</v>
      </c>
      <c r="R531" s="41" t="inlineStr">
        <is>
          <t>Unclassified</t>
        </is>
      </c>
      <c r="S531" s="41" t="n"/>
    </row>
    <row r="532" ht="20" customHeight="1">
      <c r="A532" s="34" t="inlineStr">
        <is>
          <t>69238207807</t>
        </is>
      </c>
      <c r="B532" s="35" t="inlineStr">
        <is>
          <t>PROPRANOLOL HCL 20 MG ORAL TABLET</t>
        </is>
      </c>
      <c r="C532" s="34" t="n">
        <v>1000</v>
      </c>
      <c r="D532" s="36" t="n">
        <v>0</v>
      </c>
      <c r="E532" s="36" t="n">
        <v>0</v>
      </c>
      <c r="F532" s="36" t="n">
        <v>-0.45</v>
      </c>
      <c r="G532" s="36" t="n">
        <v>0</v>
      </c>
      <c r="H532" s="36" t="n">
        <v>0</v>
      </c>
      <c r="I532" s="36" t="n">
        <v>0</v>
      </c>
      <c r="J532" s="36" t="n">
        <v>-0.06</v>
      </c>
      <c r="K532" s="36" t="n">
        <v>-0.03</v>
      </c>
      <c r="L532" s="36" t="n">
        <v>0</v>
      </c>
      <c r="M532" s="36" t="n">
        <v>0</v>
      </c>
      <c r="N532" s="37" t="n">
        <v>0.45</v>
      </c>
      <c r="O532" s="38" t="inlineStr">
        <is>
          <t> </t>
        </is>
      </c>
      <c r="P532" s="39" t="n">
        <v>0</v>
      </c>
      <c r="Q532" s="40" t="n">
        <v>0</v>
      </c>
      <c r="R532" s="41" t="inlineStr">
        <is>
          <t>Unclassified</t>
        </is>
      </c>
      <c r="S532" s="41" t="n"/>
    </row>
    <row r="533" ht="20" customHeight="1">
      <c r="A533" s="34" t="inlineStr">
        <is>
          <t>42192060716</t>
        </is>
      </c>
      <c r="B533" s="35" t="inlineStr">
        <is>
          <t>PSEUDOEPH-BROMPHEN-DM 30-2-10 MG/5ML ORAL SYRUP</t>
        </is>
      </c>
      <c r="C533" s="34" t="n">
        <v>473</v>
      </c>
      <c r="D533" s="36" t="n">
        <v>0</v>
      </c>
      <c r="E533" s="36" t="n">
        <v>0</v>
      </c>
      <c r="F533" s="36" t="n">
        <v>-0.42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7" t="n">
        <v>0.42</v>
      </c>
      <c r="O533" s="38" t="inlineStr">
        <is>
          <t> </t>
        </is>
      </c>
      <c r="P533" s="39" t="n">
        <v>0</v>
      </c>
      <c r="Q533" s="40" t="n">
        <v>0</v>
      </c>
      <c r="R533" s="41" t="inlineStr">
        <is>
          <t>Unclassified</t>
        </is>
      </c>
      <c r="S533" s="41" t="n"/>
    </row>
    <row r="534" ht="20" customHeight="1">
      <c r="A534" s="34" t="inlineStr">
        <is>
          <t>68180061307</t>
        </is>
      </c>
      <c r="B534" s="35" t="inlineStr">
        <is>
          <t>QUETIAPINE 150MG TABLET ER</t>
        </is>
      </c>
      <c r="C534" s="34" t="n">
        <v>60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-0.47</v>
      </c>
      <c r="K534" s="36" t="n">
        <v>0</v>
      </c>
      <c r="L534" s="36" t="n">
        <v>0</v>
      </c>
      <c r="M534" s="36" t="n">
        <v>0</v>
      </c>
      <c r="N534" s="37" t="n">
        <v>0.47</v>
      </c>
      <c r="O534" s="38" t="inlineStr">
        <is>
          <t> </t>
        </is>
      </c>
      <c r="P534" s="39" t="n">
        <v>0</v>
      </c>
      <c r="Q534" s="40" t="n">
        <v>0</v>
      </c>
      <c r="R534" s="41" t="inlineStr">
        <is>
          <t>Unclassified</t>
        </is>
      </c>
      <c r="S534" s="41" t="n"/>
    </row>
    <row r="535" ht="20" customHeight="1">
      <c r="A535" s="34" t="inlineStr">
        <is>
          <t>67877024201</t>
        </is>
      </c>
      <c r="B535" s="35" t="inlineStr">
        <is>
          <t>QUETIAPINE 25MG TABLET</t>
        </is>
      </c>
      <c r="C535" s="34" t="n">
        <v>100</v>
      </c>
      <c r="D535" s="36" t="n">
        <v>0</v>
      </c>
      <c r="E535" s="36" t="n">
        <v>0</v>
      </c>
      <c r="F535" s="36" t="n">
        <v>-0.51</v>
      </c>
      <c r="G535" s="36" t="n">
        <v>0</v>
      </c>
      <c r="H535" s="36" t="n">
        <v>0</v>
      </c>
      <c r="I535" s="36" t="n">
        <v>0</v>
      </c>
      <c r="J535" s="36" t="n">
        <v>-0.9</v>
      </c>
      <c r="K535" s="36" t="n">
        <v>-0.9</v>
      </c>
      <c r="L535" s="36" t="n">
        <v>0</v>
      </c>
      <c r="M535" s="36" t="n">
        <v>0</v>
      </c>
      <c r="N535" s="37" t="n">
        <v>0.9</v>
      </c>
      <c r="O535" s="38" t="inlineStr">
        <is>
          <t> </t>
        </is>
      </c>
      <c r="P535" s="39" t="n">
        <v>0</v>
      </c>
      <c r="Q535" s="40" t="n">
        <v>0</v>
      </c>
      <c r="R535" s="41" t="inlineStr">
        <is>
          <t>Unclassified</t>
        </is>
      </c>
      <c r="S535" s="41" t="n"/>
    </row>
    <row r="536" ht="20" customHeight="1">
      <c r="A536" s="34" t="inlineStr">
        <is>
          <t>67877024910</t>
        </is>
      </c>
      <c r="B536" s="35" t="inlineStr">
        <is>
          <t>QUETIAPINE 50MG TABLET</t>
        </is>
      </c>
      <c r="C536" s="34" t="n">
        <v>1000</v>
      </c>
      <c r="D536" s="36" t="n">
        <v>0</v>
      </c>
      <c r="E536" s="36" t="n">
        <v>0</v>
      </c>
      <c r="F536" s="36" t="n">
        <v>-0.09</v>
      </c>
      <c r="G536" s="36" t="n">
        <v>0</v>
      </c>
      <c r="H536" s="36" t="n">
        <v>0</v>
      </c>
      <c r="I536" s="36" t="n">
        <v>0</v>
      </c>
      <c r="J536" s="36" t="n">
        <v>-0.21</v>
      </c>
      <c r="K536" s="36" t="n">
        <v>0</v>
      </c>
      <c r="L536" s="36" t="n">
        <v>0</v>
      </c>
      <c r="M536" s="36" t="n">
        <v>0</v>
      </c>
      <c r="N536" s="37" t="n">
        <v>0.21</v>
      </c>
      <c r="O536" s="38" t="inlineStr">
        <is>
          <t> </t>
        </is>
      </c>
      <c r="P536" s="39" t="n">
        <v>0</v>
      </c>
      <c r="Q536" s="40" t="n">
        <v>0</v>
      </c>
      <c r="R536" s="41" t="inlineStr">
        <is>
          <t>Unclassified</t>
        </is>
      </c>
      <c r="S536" s="41" t="n"/>
    </row>
    <row r="537" ht="20" customHeight="1">
      <c r="A537" s="34" t="inlineStr">
        <is>
          <t>67877025001</t>
        </is>
      </c>
      <c r="B537" s="35" t="inlineStr">
        <is>
          <t>QUETIAPINE FUMARATE 100MG TABLET</t>
        </is>
      </c>
      <c r="C537" s="34" t="n">
        <v>100</v>
      </c>
      <c r="D537" s="36" t="n">
        <v>0</v>
      </c>
      <c r="E537" s="36" t="n">
        <v>0</v>
      </c>
      <c r="F537" s="36" t="n">
        <v>-1.8</v>
      </c>
      <c r="G537" s="36" t="n">
        <v>0</v>
      </c>
      <c r="H537" s="36" t="n">
        <v>0</v>
      </c>
      <c r="I537" s="36" t="n">
        <v>0</v>
      </c>
      <c r="J537" s="36" t="n">
        <v>-1.05</v>
      </c>
      <c r="K537" s="36" t="n">
        <v>0</v>
      </c>
      <c r="L537" s="36" t="n">
        <v>0</v>
      </c>
      <c r="M537" s="36" t="n">
        <v>0</v>
      </c>
      <c r="N537" s="37" t="n">
        <v>1.8</v>
      </c>
      <c r="O537" s="38" t="inlineStr">
        <is>
          <t> </t>
        </is>
      </c>
      <c r="P537" s="39" t="n">
        <v>0</v>
      </c>
      <c r="Q537" s="40" t="n">
        <v>0</v>
      </c>
      <c r="R537" s="41" t="inlineStr">
        <is>
          <t>Unclassified</t>
        </is>
      </c>
      <c r="S537" s="41" t="n"/>
    </row>
    <row r="538" ht="20" customHeight="1">
      <c r="A538" s="34" t="inlineStr">
        <is>
          <t>67877024601</t>
        </is>
      </c>
      <c r="B538" s="35" t="inlineStr">
        <is>
          <t>QUETIAPINE FUMARATE 200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-0.3</v>
      </c>
      <c r="K538" s="36" t="n">
        <v>0</v>
      </c>
      <c r="L538" s="36" t="n">
        <v>0</v>
      </c>
      <c r="M538" s="36" t="n">
        <v>0</v>
      </c>
      <c r="N538" s="37" t="n">
        <v>0.3</v>
      </c>
      <c r="O538" s="38" t="inlineStr">
        <is>
          <t> </t>
        </is>
      </c>
      <c r="P538" s="39" t="n">
        <v>0</v>
      </c>
      <c r="Q538" s="40" t="n">
        <v>0</v>
      </c>
      <c r="R538" s="41" t="inlineStr">
        <is>
          <t>Unclassified</t>
        </is>
      </c>
      <c r="S538" s="41" t="n"/>
    </row>
    <row r="539" ht="20" customHeight="1">
      <c r="A539" s="34" t="inlineStr">
        <is>
          <t>67877024210</t>
        </is>
      </c>
      <c r="B539" s="35" t="inlineStr">
        <is>
          <t>QUETIAPINE FUMARATE 25 MG ORAL TABLET</t>
        </is>
      </c>
      <c r="C539" s="34" t="n">
        <v>1000</v>
      </c>
      <c r="D539" s="36" t="n">
        <v>0</v>
      </c>
      <c r="E539" s="36" t="n">
        <v>0</v>
      </c>
      <c r="F539" s="36" t="n">
        <v>-0.09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7" t="n">
        <v>0.09</v>
      </c>
      <c r="O539" s="38" t="inlineStr">
        <is>
          <t> </t>
        </is>
      </c>
      <c r="P539" s="39" t="n">
        <v>0</v>
      </c>
      <c r="Q539" s="40" t="n">
        <v>0</v>
      </c>
      <c r="R539" s="41" t="inlineStr">
        <is>
          <t>Unclassified</t>
        </is>
      </c>
      <c r="S539" s="41" t="n"/>
    </row>
    <row r="540" ht="20" customHeight="1">
      <c r="A540" s="34" t="inlineStr">
        <is>
          <t>67877024801</t>
        </is>
      </c>
      <c r="B540" s="35" t="inlineStr">
        <is>
          <t>QUETIAPINE FUMARATE 400 MG ORAL TABLET</t>
        </is>
      </c>
      <c r="C540" s="34" t="n">
        <v>100</v>
      </c>
      <c r="D540" s="36" t="n">
        <v>0</v>
      </c>
      <c r="E540" s="36" t="n">
        <v>0</v>
      </c>
      <c r="F540" s="36" t="n">
        <v>0</v>
      </c>
      <c r="G540" s="36" t="n">
        <v>0</v>
      </c>
      <c r="H540" s="36" t="n">
        <v>0</v>
      </c>
      <c r="I540" s="36" t="n">
        <v>0</v>
      </c>
      <c r="J540" s="36" t="n">
        <v>-0.3</v>
      </c>
      <c r="K540" s="36" t="n">
        <v>0</v>
      </c>
      <c r="L540" s="36" t="n">
        <v>0</v>
      </c>
      <c r="M540" s="36" t="n">
        <v>0</v>
      </c>
      <c r="N540" s="37" t="n">
        <v>0.3</v>
      </c>
      <c r="O540" s="38" t="inlineStr">
        <is>
          <t> </t>
        </is>
      </c>
      <c r="P540" s="39" t="n">
        <v>0</v>
      </c>
      <c r="Q540" s="40" t="n">
        <v>0</v>
      </c>
      <c r="R540" s="41" t="inlineStr">
        <is>
          <t>Unclassified</t>
        </is>
      </c>
      <c r="S540" s="41" t="n"/>
    </row>
    <row r="541" ht="20" customHeight="1">
      <c r="A541" s="34" t="inlineStr">
        <is>
          <t>00074709630</t>
        </is>
      </c>
      <c r="B541" s="35" t="inlineStr">
        <is>
          <t>QULIPTA 30 MG ORAL TABLET</t>
        </is>
      </c>
      <c r="C541" s="34" t="n">
        <v>30</v>
      </c>
      <c r="D541" s="36" t="n">
        <v>0</v>
      </c>
      <c r="E541" s="36" t="n">
        <v>0</v>
      </c>
      <c r="F541" s="36" t="n">
        <v>-1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7" t="n">
        <v>1</v>
      </c>
      <c r="O541" s="38" t="inlineStr">
        <is>
          <t> </t>
        </is>
      </c>
      <c r="P541" s="39" t="n">
        <v>0</v>
      </c>
      <c r="Q541" s="40" t="n">
        <v>0</v>
      </c>
      <c r="R541" s="41" t="inlineStr">
        <is>
          <t>Unclassified</t>
        </is>
      </c>
      <c r="S541" s="41" t="n"/>
    </row>
    <row r="542" ht="20" customHeight="1">
      <c r="A542" s="34" t="inlineStr">
        <is>
          <t>59310030240</t>
        </is>
      </c>
      <c r="B542" s="35" t="inlineStr">
        <is>
          <t>QVAR REDIHALER 40MCG/ACT AEROSOL</t>
        </is>
      </c>
      <c r="C542" s="34" t="n">
        <v>10.6</v>
      </c>
      <c r="D542" s="36" t="n">
        <v>0</v>
      </c>
      <c r="E542" s="36" t="n">
        <v>0</v>
      </c>
      <c r="F542" s="36" t="n">
        <v>0</v>
      </c>
      <c r="G542" s="36" t="n">
        <v>-1</v>
      </c>
      <c r="H542" s="36" t="n">
        <v>0</v>
      </c>
      <c r="I542" s="36" t="n">
        <v>0</v>
      </c>
      <c r="J542" s="36" t="n">
        <v>-1</v>
      </c>
      <c r="K542" s="36" t="n">
        <v>0</v>
      </c>
      <c r="L542" s="36" t="n">
        <v>0</v>
      </c>
      <c r="M542" s="36" t="n">
        <v>0</v>
      </c>
      <c r="N542" s="37" t="n">
        <v>1</v>
      </c>
      <c r="O542" s="38" t="inlineStr">
        <is>
          <t> </t>
        </is>
      </c>
      <c r="P542" s="39" t="n">
        <v>0</v>
      </c>
      <c r="Q542" s="40" t="n">
        <v>0</v>
      </c>
      <c r="R542" s="41" t="inlineStr">
        <is>
          <t>Unclassified</t>
        </is>
      </c>
      <c r="S542" s="41" t="n"/>
    </row>
    <row r="543" ht="20" customHeight="1">
      <c r="A543" s="34" t="inlineStr">
        <is>
          <t>68180059102</t>
        </is>
      </c>
      <c r="B543" s="35" t="inlineStr">
        <is>
          <t xml:space="preserve">RAMIPRIL 10MG CAP </t>
        </is>
      </c>
      <c r="C543" s="34" t="n">
        <v>500</v>
      </c>
      <c r="D543" s="36" t="n">
        <v>0</v>
      </c>
      <c r="E543" s="36" t="n">
        <v>0</v>
      </c>
      <c r="F543" s="36" t="n">
        <v>-0.18</v>
      </c>
      <c r="G543" s="36" t="n">
        <v>0</v>
      </c>
      <c r="H543" s="36" t="n">
        <v>0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7" t="n">
        <v>0.18</v>
      </c>
      <c r="O543" s="38" t="inlineStr">
        <is>
          <t> </t>
        </is>
      </c>
      <c r="P543" s="39" t="n">
        <v>0</v>
      </c>
      <c r="Q543" s="40" t="n">
        <v>0</v>
      </c>
      <c r="R543" s="41" t="inlineStr">
        <is>
          <t>Unclassified</t>
        </is>
      </c>
      <c r="S543" s="41" t="n"/>
    </row>
    <row r="544" ht="20" customHeight="1">
      <c r="A544" s="34" t="inlineStr">
        <is>
          <t>65862047501</t>
        </is>
      </c>
      <c r="B544" s="35" t="inlineStr">
        <is>
          <t>RAMIPRIL 2.5MG CAPSULE</t>
        </is>
      </c>
      <c r="C544" s="34" t="n">
        <v>100</v>
      </c>
      <c r="D544" s="36" t="n">
        <v>0</v>
      </c>
      <c r="E544" s="36" t="n">
        <v>0</v>
      </c>
      <c r="F544" s="36" t="n">
        <v>-0.9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0</v>
      </c>
      <c r="M544" s="36" t="n">
        <v>0</v>
      </c>
      <c r="N544" s="37" t="n">
        <v>0.9</v>
      </c>
      <c r="O544" s="38" t="inlineStr">
        <is>
          <t> </t>
        </is>
      </c>
      <c r="P544" s="39" t="n">
        <v>0</v>
      </c>
      <c r="Q544" s="40" t="n">
        <v>0</v>
      </c>
      <c r="R544" s="41" t="inlineStr">
        <is>
          <t>Unclassified</t>
        </is>
      </c>
      <c r="S544" s="41" t="n"/>
    </row>
    <row r="545" ht="20" customHeight="1">
      <c r="A545" s="34" t="inlineStr">
        <is>
          <t>00023455430</t>
        </is>
      </c>
      <c r="B545" s="35" t="inlineStr">
        <is>
          <t>REFRESH CELLUVISC 1 % OPHTHALMIC GEL</t>
        </is>
      </c>
      <c r="C545" s="34" t="n">
        <v>30</v>
      </c>
      <c r="D545" s="36" t="n">
        <v>0</v>
      </c>
      <c r="E545" s="36" t="n">
        <v>0</v>
      </c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-2</v>
      </c>
      <c r="K545" s="36" t="n">
        <v>0</v>
      </c>
      <c r="L545" s="36" t="n">
        <v>0</v>
      </c>
      <c r="M545" s="36" t="n">
        <v>0</v>
      </c>
      <c r="N545" s="37" t="n">
        <v>2</v>
      </c>
      <c r="O545" s="38" t="inlineStr">
        <is>
          <t> </t>
        </is>
      </c>
      <c r="P545" s="39" t="n">
        <v>0</v>
      </c>
      <c r="Q545" s="40" t="n">
        <v>0</v>
      </c>
      <c r="R545" s="41" t="inlineStr">
        <is>
          <t>Unclassified</t>
        </is>
      </c>
      <c r="S545" s="41" t="n"/>
    </row>
    <row r="546" ht="20" customHeight="1">
      <c r="A546" s="34" t="inlineStr">
        <is>
          <t>00023031204</t>
        </is>
      </c>
      <c r="B546" s="35" t="inlineStr">
        <is>
          <t>REFRESH LACRI-LUBE  OINTMENT</t>
        </is>
      </c>
      <c r="C546" s="34" t="n">
        <v>3.5</v>
      </c>
      <c r="D546" s="36" t="n">
        <v>0</v>
      </c>
      <c r="E546" s="36" t="n">
        <v>0</v>
      </c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-18</v>
      </c>
      <c r="K546" s="36" t="n">
        <v>0</v>
      </c>
      <c r="L546" s="36" t="n">
        <v>0</v>
      </c>
      <c r="M546" s="36" t="n">
        <v>0</v>
      </c>
      <c r="N546" s="37" t="n">
        <v>18</v>
      </c>
      <c r="O546" s="38" t="inlineStr">
        <is>
          <t> </t>
        </is>
      </c>
      <c r="P546" s="39" t="n">
        <v>0</v>
      </c>
      <c r="Q546" s="40" t="n">
        <v>0</v>
      </c>
      <c r="R546" s="41" t="inlineStr">
        <is>
          <t>Unclassified</t>
        </is>
      </c>
      <c r="S546" s="41" t="n"/>
    </row>
    <row r="547" ht="20" customHeight="1">
      <c r="A547" s="34" t="inlineStr">
        <is>
          <t>00023324015</t>
        </is>
      </c>
      <c r="B547" s="35" t="inlineStr">
        <is>
          <t>REFRESH OPTIVE 0.5-0.9% SOLUTION</t>
        </is>
      </c>
      <c r="C547" s="34" t="n">
        <v>15</v>
      </c>
      <c r="D547" s="36" t="n">
        <v>0</v>
      </c>
      <c r="E547" s="36" t="n">
        <v>0</v>
      </c>
      <c r="F547" s="36" t="n">
        <v>0</v>
      </c>
      <c r="G547" s="36" t="n">
        <v>-1</v>
      </c>
      <c r="H547" s="36" t="n">
        <v>0</v>
      </c>
      <c r="I547" s="36" t="n">
        <v>0</v>
      </c>
      <c r="J547" s="36" t="n">
        <v>-54</v>
      </c>
      <c r="K547" s="36" t="n">
        <v>0</v>
      </c>
      <c r="L547" s="36" t="n">
        <v>0</v>
      </c>
      <c r="M547" s="36" t="n">
        <v>0</v>
      </c>
      <c r="N547" s="37" t="n">
        <v>54</v>
      </c>
      <c r="O547" s="38" t="inlineStr">
        <is>
          <t> </t>
        </is>
      </c>
      <c r="P547" s="39" t="n">
        <v>0</v>
      </c>
      <c r="Q547" s="40" t="n">
        <v>0</v>
      </c>
      <c r="R547" s="41" t="inlineStr">
        <is>
          <t>Unclassified</t>
        </is>
      </c>
      <c r="S547" s="41" t="n"/>
    </row>
    <row r="548" ht="20" customHeight="1">
      <c r="A548" s="34" t="inlineStr">
        <is>
          <t>80681009600</t>
        </is>
      </c>
      <c r="B548" s="35" t="inlineStr">
        <is>
          <t>REGULOID 28.3 % ORAL POWDER</t>
        </is>
      </c>
      <c r="C548" s="34" t="n">
        <v>369</v>
      </c>
      <c r="D548" s="36" t="n">
        <v>6</v>
      </c>
      <c r="E548" s="36" t="n">
        <v>6</v>
      </c>
      <c r="F548" s="36" t="n">
        <v>6</v>
      </c>
      <c r="G548" s="36" t="n">
        <v>6</v>
      </c>
      <c r="H548" s="36" t="n">
        <v>6</v>
      </c>
      <c r="I548" s="36" t="n">
        <v>6</v>
      </c>
      <c r="J548" s="36" t="n">
        <v>-5</v>
      </c>
      <c r="K548" s="36" t="n">
        <v>6</v>
      </c>
      <c r="L548" s="36" t="n">
        <v>6</v>
      </c>
      <c r="M548" s="36" t="n">
        <v>6</v>
      </c>
      <c r="N548" s="37" t="n">
        <v>5</v>
      </c>
      <c r="O548" s="38" t="inlineStr">
        <is>
          <t> </t>
        </is>
      </c>
      <c r="P548" s="39" t="n">
        <v>8</v>
      </c>
      <c r="Q548" s="40" t="n">
        <v>40</v>
      </c>
      <c r="R548" s="41" t="inlineStr">
        <is>
          <t>OTC Drug</t>
        </is>
      </c>
      <c r="S548" s="41" t="n"/>
    </row>
    <row r="549" ht="20" customHeight="1">
      <c r="A549" s="34" t="inlineStr">
        <is>
          <t>60258016001</t>
        </is>
      </c>
      <c r="B549" s="35" t="inlineStr">
        <is>
          <t>RENA-VITE  TABLET</t>
        </is>
      </c>
      <c r="C549" s="34" t="n">
        <v>100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-5.98</v>
      </c>
      <c r="K549" s="36" t="n">
        <v>0</v>
      </c>
      <c r="L549" s="36" t="n">
        <v>0</v>
      </c>
      <c r="M549" s="36" t="n">
        <v>0</v>
      </c>
      <c r="N549" s="37" t="n">
        <v>5.98</v>
      </c>
      <c r="O549" s="38" t="inlineStr">
        <is>
          <t> </t>
        </is>
      </c>
      <c r="P549" s="39" t="n">
        <v>0</v>
      </c>
      <c r="Q549" s="40" t="n">
        <v>0</v>
      </c>
      <c r="R549" s="41" t="inlineStr">
        <is>
          <t>Unclassified</t>
        </is>
      </c>
      <c r="S549" s="41" t="n"/>
    </row>
    <row r="550" ht="20" customHeight="1">
      <c r="A550" s="34" t="inlineStr">
        <is>
          <t>57237015801</t>
        </is>
      </c>
      <c r="B550" s="35" t="inlineStr">
        <is>
          <t xml:space="preserve">REPAGLINIDE 1MG TAB </t>
        </is>
      </c>
      <c r="C550" s="34" t="n">
        <v>100</v>
      </c>
      <c r="D550" s="36" t="n">
        <v>0</v>
      </c>
      <c r="E550" s="36" t="n">
        <v>0</v>
      </c>
      <c r="F550" s="36" t="n">
        <v>0</v>
      </c>
      <c r="G550" s="36" t="n">
        <v>-1.8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7" t="n">
        <v>1.8</v>
      </c>
      <c r="O550" s="38" t="inlineStr">
        <is>
          <t> </t>
        </is>
      </c>
      <c r="P550" s="39" t="n">
        <v>0</v>
      </c>
      <c r="Q550" s="40" t="n">
        <v>0</v>
      </c>
      <c r="R550" s="41" t="inlineStr">
        <is>
          <t>Unclassified</t>
        </is>
      </c>
      <c r="S550" s="41" t="n"/>
    </row>
    <row r="551" ht="20" customHeight="1">
      <c r="A551" s="34" t="inlineStr">
        <is>
          <t>57237015901</t>
        </is>
      </c>
      <c r="B551" s="35" t="inlineStr">
        <is>
          <t>REPAGLINIDE 2MG TABLET</t>
        </is>
      </c>
      <c r="C551" s="34" t="n">
        <v>100</v>
      </c>
      <c r="D551" s="36" t="n">
        <v>0</v>
      </c>
      <c r="E551" s="36" t="n">
        <v>0</v>
      </c>
      <c r="F551" s="36" t="n">
        <v>-2.7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7" t="n">
        <v>2.7</v>
      </c>
      <c r="O551" s="38" t="inlineStr">
        <is>
          <t> </t>
        </is>
      </c>
      <c r="P551" s="39" t="n">
        <v>0</v>
      </c>
      <c r="Q551" s="40" t="n">
        <v>0</v>
      </c>
      <c r="R551" s="41" t="inlineStr">
        <is>
          <t>Unclassified</t>
        </is>
      </c>
      <c r="S551" s="41" t="n"/>
    </row>
    <row r="552" ht="20" customHeight="1">
      <c r="A552" s="34" t="inlineStr">
        <is>
          <t>72511039302</t>
        </is>
      </c>
      <c r="B552" s="35" t="inlineStr">
        <is>
          <t>REPATHA SURECLICK 140 MG/ML SUBCUTANEOUS SOLUTION AUTO-INJECTOR</t>
        </is>
      </c>
      <c r="C552" s="34" t="n">
        <v>2</v>
      </c>
      <c r="D552" s="36" t="n">
        <v>0</v>
      </c>
      <c r="E552" s="36" t="n">
        <v>0</v>
      </c>
      <c r="F552" s="36" t="n">
        <v>-2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-1</v>
      </c>
      <c r="L552" s="36" t="n">
        <v>0</v>
      </c>
      <c r="M552" s="36" t="n">
        <v>0</v>
      </c>
      <c r="N552" s="37" t="n">
        <v>2</v>
      </c>
      <c r="O552" s="38" t="inlineStr">
        <is>
          <t> </t>
        </is>
      </c>
      <c r="P552" s="39" t="n">
        <v>0</v>
      </c>
      <c r="Q552" s="40" t="n">
        <v>0</v>
      </c>
      <c r="R552" s="41" t="inlineStr">
        <is>
          <t>Unclassified</t>
        </is>
      </c>
      <c r="S552" s="41" t="n"/>
    </row>
    <row r="553" ht="20" customHeight="1">
      <c r="A553" s="34" t="inlineStr">
        <is>
          <t>00023530105</t>
        </is>
      </c>
      <c r="B553" s="35" t="inlineStr">
        <is>
          <t>RESTASIS MULTIDOSE 0.05 % OPHTHALMIC EMULSION</t>
        </is>
      </c>
      <c r="C553" s="34" t="n">
        <v>5.5</v>
      </c>
      <c r="D553" s="36" t="n">
        <v>0</v>
      </c>
      <c r="E553" s="36" t="n">
        <v>0</v>
      </c>
      <c r="F553" s="36" t="n">
        <v>-2</v>
      </c>
      <c r="G553" s="36" t="n">
        <v>0</v>
      </c>
      <c r="H553" s="36" t="n">
        <v>0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7" t="n">
        <v>2</v>
      </c>
      <c r="O553" s="38" t="inlineStr">
        <is>
          <t> </t>
        </is>
      </c>
      <c r="P553" s="39" t="n">
        <v>0</v>
      </c>
      <c r="Q553" s="40" t="n">
        <v>0</v>
      </c>
      <c r="R553" s="41" t="inlineStr">
        <is>
          <t>Unclassified</t>
        </is>
      </c>
      <c r="S553" s="41" t="n"/>
    </row>
    <row r="554" ht="20" customHeight="1">
      <c r="A554" s="34" t="inlineStr">
        <is>
          <t>70727049725</t>
        </is>
      </c>
      <c r="B554" s="35" t="inlineStr">
        <is>
          <t>RHOPRESSA 0.02 % OPHTHALMIC SOLUTION</t>
        </is>
      </c>
      <c r="C554" s="34" t="n">
        <v>2.5</v>
      </c>
      <c r="D554" s="36" t="n">
        <v>0</v>
      </c>
      <c r="E554" s="36" t="n">
        <v>0</v>
      </c>
      <c r="F554" s="36" t="n">
        <v>-3</v>
      </c>
      <c r="G554" s="36" t="n">
        <v>0</v>
      </c>
      <c r="H554" s="36" t="n">
        <v>0</v>
      </c>
      <c r="I554" s="36" t="n">
        <v>0</v>
      </c>
      <c r="J554" s="36" t="n">
        <v>0</v>
      </c>
      <c r="K554" s="36" t="n">
        <v>0</v>
      </c>
      <c r="L554" s="36" t="n">
        <v>0</v>
      </c>
      <c r="M554" s="36" t="n">
        <v>0</v>
      </c>
      <c r="N554" s="37" t="n">
        <v>3</v>
      </c>
      <c r="O554" s="38" t="inlineStr">
        <is>
          <t> </t>
        </is>
      </c>
      <c r="P554" s="39" t="n">
        <v>0</v>
      </c>
      <c r="Q554" s="40" t="n">
        <v>0</v>
      </c>
      <c r="R554" s="41" t="inlineStr">
        <is>
          <t>Unclassified</t>
        </is>
      </c>
      <c r="S554" s="41" t="n"/>
    </row>
    <row r="555" ht="20" customHeight="1">
      <c r="A555" s="34" t="inlineStr">
        <is>
          <t>68382011214</t>
        </is>
      </c>
      <c r="B555" s="35" t="inlineStr">
        <is>
          <t>RISPERIDONE 0.25MG TABLET</t>
        </is>
      </c>
      <c r="C555" s="34" t="n">
        <v>60</v>
      </c>
      <c r="D555" s="36" t="n">
        <v>0</v>
      </c>
      <c r="E555" s="36" t="n">
        <v>0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-0.5</v>
      </c>
      <c r="K555" s="36" t="n">
        <v>0</v>
      </c>
      <c r="L555" s="36" t="n">
        <v>0</v>
      </c>
      <c r="M555" s="36" t="n">
        <v>0</v>
      </c>
      <c r="N555" s="37" t="n">
        <v>0.5</v>
      </c>
      <c r="O555" s="38" t="inlineStr">
        <is>
          <t> </t>
        </is>
      </c>
      <c r="P555" s="39" t="n">
        <v>0</v>
      </c>
      <c r="Q555" s="40" t="n">
        <v>0</v>
      </c>
      <c r="R555" s="41" t="inlineStr">
        <is>
          <t>Unclassified</t>
        </is>
      </c>
      <c r="S555" s="41" t="n"/>
    </row>
    <row r="556" ht="20" customHeight="1">
      <c r="A556" s="34" t="inlineStr">
        <is>
          <t>68382011414</t>
        </is>
      </c>
      <c r="B556" s="35" t="inlineStr">
        <is>
          <t>RISPERIDONE 1MG TABLET</t>
        </is>
      </c>
      <c r="C556" s="34" t="n">
        <v>60</v>
      </c>
      <c r="D556" s="36" t="n">
        <v>0</v>
      </c>
      <c r="E556" s="36" t="n">
        <v>0</v>
      </c>
      <c r="F556" s="36" t="n">
        <v>0</v>
      </c>
      <c r="G556" s="36" t="n">
        <v>0</v>
      </c>
      <c r="H556" s="36" t="n">
        <v>0</v>
      </c>
      <c r="I556" s="36" t="n">
        <v>0</v>
      </c>
      <c r="J556" s="36" t="n">
        <v>-0.5</v>
      </c>
      <c r="K556" s="36" t="n">
        <v>0</v>
      </c>
      <c r="L556" s="36" t="n">
        <v>0</v>
      </c>
      <c r="M556" s="36" t="n">
        <v>0</v>
      </c>
      <c r="N556" s="37" t="n">
        <v>0.5</v>
      </c>
      <c r="O556" s="38" t="inlineStr">
        <is>
          <t> </t>
        </is>
      </c>
      <c r="P556" s="39" t="n">
        <v>0</v>
      </c>
      <c r="Q556" s="40" t="n">
        <v>0</v>
      </c>
      <c r="R556" s="41" t="inlineStr">
        <is>
          <t>Unclassified</t>
        </is>
      </c>
      <c r="S556" s="41" t="n"/>
    </row>
    <row r="557" ht="20" customHeight="1">
      <c r="A557" s="34" t="inlineStr">
        <is>
          <t>00378907293</t>
        </is>
      </c>
      <c r="B557" s="35" t="inlineStr">
        <is>
          <t>RIVASTIGMINE 13.3 MG/24HR TRANSDERMAL PATCH 24 HOUR</t>
        </is>
      </c>
      <c r="C557" s="34" t="n">
        <v>30</v>
      </c>
      <c r="D557" s="36" t="n">
        <v>0</v>
      </c>
      <c r="E557" s="36" t="n">
        <v>0</v>
      </c>
      <c r="F557" s="36" t="n">
        <v>0</v>
      </c>
      <c r="G557" s="36" t="n">
        <v>-1</v>
      </c>
      <c r="H557" s="36" t="n">
        <v>0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7" t="n">
        <v>1</v>
      </c>
      <c r="O557" s="38" t="inlineStr">
        <is>
          <t> </t>
        </is>
      </c>
      <c r="P557" s="39" t="n">
        <v>0</v>
      </c>
      <c r="Q557" s="40" t="n">
        <v>0</v>
      </c>
      <c r="R557" s="41" t="inlineStr">
        <is>
          <t>Unclassified</t>
        </is>
      </c>
      <c r="S557" s="41" t="n"/>
    </row>
    <row r="558" ht="20" customHeight="1">
      <c r="A558" s="34" t="inlineStr">
        <is>
          <t>33342009009</t>
        </is>
      </c>
      <c r="B558" s="35" t="inlineStr">
        <is>
          <t>RIVASTIGMINE TARTRATE 3 MG ORAL CAPSULE</t>
        </is>
      </c>
      <c r="C558" s="34" t="n">
        <v>60</v>
      </c>
      <c r="D558" s="36" t="n">
        <v>0</v>
      </c>
      <c r="E558" s="36" t="n">
        <v>0</v>
      </c>
      <c r="F558" s="36" t="n">
        <v>0</v>
      </c>
      <c r="G558" s="36" t="n">
        <v>-3</v>
      </c>
      <c r="H558" s="36" t="n">
        <v>0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7" t="n">
        <v>3</v>
      </c>
      <c r="O558" s="38" t="inlineStr">
        <is>
          <t> </t>
        </is>
      </c>
      <c r="P558" s="39" t="n">
        <v>0</v>
      </c>
      <c r="Q558" s="40" t="n">
        <v>0</v>
      </c>
      <c r="R558" s="41" t="inlineStr">
        <is>
          <t>Unclassified</t>
        </is>
      </c>
      <c r="S558" s="41" t="n"/>
    </row>
    <row r="559" ht="20" customHeight="1">
      <c r="A559" s="34" t="inlineStr">
        <is>
          <t>67877026218</t>
        </is>
      </c>
      <c r="B559" s="35" t="inlineStr">
        <is>
          <t>RIZATRIPTAN BENZOATE 10MG TABLET</t>
        </is>
      </c>
      <c r="C559" s="34" t="n">
        <v>18</v>
      </c>
      <c r="D559" s="36" t="n">
        <v>0</v>
      </c>
      <c r="E559" s="36" t="n">
        <v>0</v>
      </c>
      <c r="F559" s="36" t="n">
        <v>-0.67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7" t="n">
        <v>0.67</v>
      </c>
      <c r="O559" s="38" t="inlineStr">
        <is>
          <t> </t>
        </is>
      </c>
      <c r="P559" s="39" t="n">
        <v>0</v>
      </c>
      <c r="Q559" s="40" t="n">
        <v>0</v>
      </c>
      <c r="R559" s="41" t="inlineStr">
        <is>
          <t>Unclassified</t>
        </is>
      </c>
      <c r="S559" s="41" t="n"/>
    </row>
    <row r="560" ht="20" customHeight="1">
      <c r="A560" s="34" t="inlineStr">
        <is>
          <t>00904722320</t>
        </is>
      </c>
      <c r="B560" s="35" t="inlineStr">
        <is>
          <t>ROBAFEN DM 20-200 MG/20ML ORAL LIQUID</t>
        </is>
      </c>
      <c r="C560" s="34" t="n">
        <v>118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-10</v>
      </c>
      <c r="K560" s="36" t="n">
        <v>0</v>
      </c>
      <c r="L560" s="36" t="n">
        <v>0</v>
      </c>
      <c r="M560" s="36" t="n">
        <v>0</v>
      </c>
      <c r="N560" s="37" t="n">
        <v>10</v>
      </c>
      <c r="O560" s="38" t="inlineStr">
        <is>
          <t> </t>
        </is>
      </c>
      <c r="P560" s="39" t="n">
        <v>0</v>
      </c>
      <c r="Q560" s="40" t="n">
        <v>0</v>
      </c>
      <c r="R560" s="41" t="inlineStr">
        <is>
          <t>Unclassified</t>
        </is>
      </c>
      <c r="S560" s="41" t="n"/>
    </row>
    <row r="561" ht="20" customHeight="1">
      <c r="A561" s="34" t="inlineStr">
        <is>
          <t>72205020090</t>
        </is>
      </c>
      <c r="B561" s="35" t="inlineStr">
        <is>
          <t>ROFLUMILAST 500 MCG ORAL TABLET</t>
        </is>
      </c>
      <c r="C561" s="34" t="n">
        <v>90</v>
      </c>
      <c r="D561" s="36" t="n">
        <v>0</v>
      </c>
      <c r="E561" s="36" t="n">
        <v>0</v>
      </c>
      <c r="F561" s="36" t="n">
        <v>0</v>
      </c>
      <c r="G561" s="36" t="n">
        <v>0</v>
      </c>
      <c r="H561" s="36" t="n">
        <v>0</v>
      </c>
      <c r="I561" s="36" t="n">
        <v>0</v>
      </c>
      <c r="J561" s="36" t="n">
        <v>-1</v>
      </c>
      <c r="K561" s="36" t="n">
        <v>0</v>
      </c>
      <c r="L561" s="36" t="n">
        <v>0</v>
      </c>
      <c r="M561" s="36" t="n">
        <v>0</v>
      </c>
      <c r="N561" s="37" t="n">
        <v>1</v>
      </c>
      <c r="O561" s="38" t="inlineStr">
        <is>
          <t> </t>
        </is>
      </c>
      <c r="P561" s="39" t="n">
        <v>0</v>
      </c>
      <c r="Q561" s="40" t="n">
        <v>0</v>
      </c>
      <c r="R561" s="41" t="inlineStr">
        <is>
          <t>Unclassified</t>
        </is>
      </c>
      <c r="S561" s="41" t="n"/>
    </row>
    <row r="562" ht="20" customHeight="1">
      <c r="A562" s="34" t="inlineStr">
        <is>
          <t>69367036005</t>
        </is>
      </c>
      <c r="B562" s="35" t="inlineStr">
        <is>
          <t>ROSUVASTATIN 10 MG ORAL TABLET</t>
        </is>
      </c>
      <c r="C562" s="34" t="n">
        <v>500</v>
      </c>
      <c r="D562" s="36" t="n">
        <v>0</v>
      </c>
      <c r="E562" s="36" t="n">
        <v>0</v>
      </c>
      <c r="F562" s="36" t="n">
        <v>-0.42</v>
      </c>
      <c r="G562" s="36" t="n">
        <v>-0.06</v>
      </c>
      <c r="H562" s="36" t="n">
        <v>0</v>
      </c>
      <c r="I562" s="36" t="n">
        <v>-0.18</v>
      </c>
      <c r="J562" s="36" t="n">
        <v>-0.18</v>
      </c>
      <c r="K562" s="36" t="n">
        <v>-0.18</v>
      </c>
      <c r="L562" s="36" t="n">
        <v>0</v>
      </c>
      <c r="M562" s="36" t="n">
        <v>0</v>
      </c>
      <c r="N562" s="37" t="n">
        <v>0.42</v>
      </c>
      <c r="O562" s="38" t="inlineStr">
        <is>
          <t> </t>
        </is>
      </c>
      <c r="P562" s="39" t="n">
        <v>0</v>
      </c>
      <c r="Q562" s="40" t="n">
        <v>0</v>
      </c>
      <c r="R562" s="41" t="inlineStr">
        <is>
          <t>Unclassified</t>
        </is>
      </c>
      <c r="S562" s="41" t="n"/>
    </row>
    <row r="563" ht="20" customHeight="1">
      <c r="A563" s="34" t="inlineStr">
        <is>
          <t>70377000913</t>
        </is>
      </c>
      <c r="B563" s="35" t="inlineStr">
        <is>
          <t>ROSUVASTATIN 40MG TABLET</t>
        </is>
      </c>
      <c r="C563" s="34" t="n">
        <v>500</v>
      </c>
      <c r="D563" s="36" t="n">
        <v>0</v>
      </c>
      <c r="E563" s="36" t="n">
        <v>0</v>
      </c>
      <c r="F563" s="36" t="n">
        <v>-1.38</v>
      </c>
      <c r="G563" s="36" t="n">
        <v>-0.06</v>
      </c>
      <c r="H563" s="36" t="n">
        <v>0</v>
      </c>
      <c r="I563" s="36" t="n">
        <v>-0.54</v>
      </c>
      <c r="J563" s="36" t="n">
        <v>0</v>
      </c>
      <c r="K563" s="36" t="n">
        <v>-0.24</v>
      </c>
      <c r="L563" s="36" t="n">
        <v>-0.06</v>
      </c>
      <c r="M563" s="36" t="n">
        <v>0</v>
      </c>
      <c r="N563" s="37" t="n">
        <v>1.38</v>
      </c>
      <c r="O563" s="38" t="inlineStr">
        <is>
          <t> </t>
        </is>
      </c>
      <c r="P563" s="39" t="n">
        <v>0</v>
      </c>
      <c r="Q563" s="40" t="n">
        <v>0</v>
      </c>
      <c r="R563" s="41" t="inlineStr">
        <is>
          <t>Unclassified</t>
        </is>
      </c>
      <c r="S563" s="41" t="n"/>
    </row>
    <row r="564" ht="20" customHeight="1">
      <c r="A564" s="34" t="inlineStr">
        <is>
          <t>70377000613</t>
        </is>
      </c>
      <c r="B564" s="35" t="inlineStr">
        <is>
          <t>ROSUVASTATIN 5MG TABLET</t>
        </is>
      </c>
      <c r="C564" s="34" t="n">
        <v>500</v>
      </c>
      <c r="D564" s="36" t="n">
        <v>0</v>
      </c>
      <c r="E564" s="36" t="n">
        <v>0</v>
      </c>
      <c r="F564" s="36" t="n">
        <v>-0.48</v>
      </c>
      <c r="G564" s="36" t="n">
        <v>-0.18</v>
      </c>
      <c r="H564" s="36" t="n">
        <v>0</v>
      </c>
      <c r="I564" s="36" t="n">
        <v>0</v>
      </c>
      <c r="J564" s="36" t="n">
        <v>0</v>
      </c>
      <c r="K564" s="36" t="n">
        <v>-0.06</v>
      </c>
      <c r="L564" s="36" t="n">
        <v>0</v>
      </c>
      <c r="M564" s="36" t="n">
        <v>0</v>
      </c>
      <c r="N564" s="37" t="n">
        <v>0.48</v>
      </c>
      <c r="O564" s="38" t="inlineStr">
        <is>
          <t> </t>
        </is>
      </c>
      <c r="P564" s="39" t="n">
        <v>0</v>
      </c>
      <c r="Q564" s="40" t="n">
        <v>0</v>
      </c>
      <c r="R564" s="41" t="inlineStr">
        <is>
          <t>Unclassified</t>
        </is>
      </c>
      <c r="S564" s="41" t="n"/>
    </row>
    <row r="565" ht="20" customHeight="1">
      <c r="A565" s="34" t="inlineStr">
        <is>
          <t>00169430330</t>
        </is>
      </c>
      <c r="B565" s="35" t="inlineStr">
        <is>
          <t>RYBELSUS 3MG TABLET</t>
        </is>
      </c>
      <c r="C565" s="34" t="n">
        <v>30</v>
      </c>
      <c r="D565" s="36" t="n">
        <v>0</v>
      </c>
      <c r="E565" s="36" t="n">
        <v>0</v>
      </c>
      <c r="F565" s="36" t="n">
        <v>-5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7" t="n">
        <v>5</v>
      </c>
      <c r="O565" s="38" t="inlineStr">
        <is>
          <t> </t>
        </is>
      </c>
      <c r="P565" s="39" t="n">
        <v>0</v>
      </c>
      <c r="Q565" s="40" t="n">
        <v>0</v>
      </c>
      <c r="R565" s="41" t="inlineStr">
        <is>
          <t>Unclassified</t>
        </is>
      </c>
      <c r="S565" s="41" t="n"/>
    </row>
    <row r="566" ht="20" customHeight="1">
      <c r="A566" s="34" t="inlineStr">
        <is>
          <t>00169430730</t>
        </is>
      </c>
      <c r="B566" s="35" t="inlineStr">
        <is>
          <t>RYBELSUS 7MG TABLET</t>
        </is>
      </c>
      <c r="C566" s="34" t="n">
        <v>30</v>
      </c>
      <c r="D566" s="36" t="n">
        <v>0</v>
      </c>
      <c r="E566" s="36" t="n">
        <v>0</v>
      </c>
      <c r="F566" s="36" t="n">
        <v>-3</v>
      </c>
      <c r="G566" s="36" t="n">
        <v>-1</v>
      </c>
      <c r="H566" s="36" t="n">
        <v>0</v>
      </c>
      <c r="I566" s="36" t="n">
        <v>0</v>
      </c>
      <c r="J566" s="36" t="n">
        <v>0</v>
      </c>
      <c r="K566" s="36" t="n">
        <v>0</v>
      </c>
      <c r="L566" s="36" t="n">
        <v>0</v>
      </c>
      <c r="M566" s="36" t="n">
        <v>0</v>
      </c>
      <c r="N566" s="37" t="n">
        <v>3</v>
      </c>
      <c r="O566" s="38" t="inlineStr">
        <is>
          <t> </t>
        </is>
      </c>
      <c r="P566" s="39" t="n">
        <v>0</v>
      </c>
      <c r="Q566" s="40" t="n">
        <v>0</v>
      </c>
      <c r="R566" s="41" t="inlineStr">
        <is>
          <t>Unclassified</t>
        </is>
      </c>
      <c r="S566" s="41" t="n"/>
    </row>
    <row r="567" ht="20" customHeight="1">
      <c r="A567" s="34" t="inlineStr">
        <is>
          <t>72205028060</t>
        </is>
      </c>
      <c r="B567" s="35" t="inlineStr">
        <is>
          <t>SACUBITRIL-VALSARTAN 24-26 MG ORAL TABLET</t>
        </is>
      </c>
      <c r="C567" s="34" t="n">
        <v>60</v>
      </c>
      <c r="D567" s="36" t="n">
        <v>0</v>
      </c>
      <c r="E567" s="36" t="n">
        <v>0</v>
      </c>
      <c r="F567" s="36" t="n">
        <v>-9</v>
      </c>
      <c r="G567" s="36" t="n">
        <v>0</v>
      </c>
      <c r="H567" s="36" t="n">
        <v>0</v>
      </c>
      <c r="I567" s="36" t="n">
        <v>-3</v>
      </c>
      <c r="J567" s="36" t="n">
        <v>-3</v>
      </c>
      <c r="K567" s="36" t="n">
        <v>0</v>
      </c>
      <c r="L567" s="36" t="n">
        <v>0</v>
      </c>
      <c r="M567" s="36" t="n">
        <v>0</v>
      </c>
      <c r="N567" s="37" t="n">
        <v>9</v>
      </c>
      <c r="O567" s="38" t="inlineStr">
        <is>
          <t> </t>
        </is>
      </c>
      <c r="P567" s="39" t="n">
        <v>0</v>
      </c>
      <c r="Q567" s="40" t="n">
        <v>0</v>
      </c>
      <c r="R567" s="41" t="inlineStr">
        <is>
          <t>Unclassified</t>
        </is>
      </c>
      <c r="S567" s="41" t="n"/>
    </row>
    <row r="568" ht="20" customHeight="1">
      <c r="A568" s="34" t="inlineStr">
        <is>
          <t>43598064418</t>
        </is>
      </c>
      <c r="B568" s="35" t="inlineStr">
        <is>
          <t>SACUBITRIL-VALSARTAN 49-51 MG ORAL TABLET</t>
        </is>
      </c>
      <c r="C568" s="34" t="n">
        <v>180</v>
      </c>
      <c r="D568" s="36" t="n">
        <v>0</v>
      </c>
      <c r="E568" s="36" t="n">
        <v>0</v>
      </c>
      <c r="F568" s="36" t="n">
        <v>-2</v>
      </c>
      <c r="G568" s="36" t="n">
        <v>0</v>
      </c>
      <c r="H568" s="36" t="n">
        <v>0</v>
      </c>
      <c r="I568" s="36" t="n">
        <v>0</v>
      </c>
      <c r="J568" s="36" t="n">
        <v>0</v>
      </c>
      <c r="K568" s="36" t="n">
        <v>0</v>
      </c>
      <c r="L568" s="36" t="n">
        <v>0</v>
      </c>
      <c r="M568" s="36" t="n">
        <v>0</v>
      </c>
      <c r="N568" s="37" t="n">
        <v>2</v>
      </c>
      <c r="O568" s="38" t="inlineStr">
        <is>
          <t> </t>
        </is>
      </c>
      <c r="P568" s="39" t="n">
        <v>0</v>
      </c>
      <c r="Q568" s="40" t="n">
        <v>0</v>
      </c>
      <c r="R568" s="41" t="inlineStr">
        <is>
          <t>Unclassified</t>
        </is>
      </c>
      <c r="S568" s="41" t="n"/>
    </row>
    <row r="569" ht="20" customHeight="1">
      <c r="A569" s="34" t="inlineStr">
        <is>
          <t>72205028260</t>
        </is>
      </c>
      <c r="B569" s="35" t="inlineStr">
        <is>
          <t>SACUBITRIL-VALSARTAN 97-103 MG ORAL TABLET</t>
        </is>
      </c>
      <c r="C569" s="34" t="n">
        <v>60</v>
      </c>
      <c r="D569" s="36" t="n">
        <v>0</v>
      </c>
      <c r="E569" s="36" t="n">
        <v>0</v>
      </c>
      <c r="F569" s="36" t="n">
        <v>0</v>
      </c>
      <c r="G569" s="36" t="n">
        <v>0</v>
      </c>
      <c r="H569" s="36" t="n">
        <v>0</v>
      </c>
      <c r="I569" s="36" t="n">
        <v>-3</v>
      </c>
      <c r="J569" s="36" t="n">
        <v>-3</v>
      </c>
      <c r="K569" s="36" t="n">
        <v>0</v>
      </c>
      <c r="L569" s="36" t="n">
        <v>0</v>
      </c>
      <c r="M569" s="36" t="n">
        <v>0</v>
      </c>
      <c r="N569" s="37" t="n">
        <v>3</v>
      </c>
      <c r="O569" s="38" t="inlineStr">
        <is>
          <t> </t>
        </is>
      </c>
      <c r="P569" s="39" t="n">
        <v>0</v>
      </c>
      <c r="Q569" s="40" t="n">
        <v>0</v>
      </c>
      <c r="R569" s="41" t="inlineStr">
        <is>
          <t>Unclassified</t>
        </is>
      </c>
      <c r="S569" s="41" t="n"/>
    </row>
    <row r="570" ht="20" customHeight="1">
      <c r="A570" s="34" t="inlineStr">
        <is>
          <t>45802035758</t>
        </is>
      </c>
      <c r="B570" s="35" t="inlineStr">
        <is>
          <t>SALINE MIST SPRAY 0.65 % NASAL SOLUTION *NYM</t>
        </is>
      </c>
      <c r="C570" s="34" t="n">
        <v>45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-6</v>
      </c>
      <c r="K570" s="36" t="n">
        <v>0</v>
      </c>
      <c r="L570" s="36" t="n">
        <v>0</v>
      </c>
      <c r="M570" s="36" t="n">
        <v>0</v>
      </c>
      <c r="N570" s="37" t="n">
        <v>6</v>
      </c>
      <c r="O570" s="38" t="inlineStr">
        <is>
          <t> </t>
        </is>
      </c>
      <c r="P570" s="39" t="n">
        <v>0</v>
      </c>
      <c r="Q570" s="40" t="n">
        <v>0</v>
      </c>
      <c r="R570" s="41" t="inlineStr">
        <is>
          <t>Unclassified</t>
        </is>
      </c>
      <c r="S570" s="41" t="n"/>
    </row>
    <row r="571" ht="20" customHeight="1">
      <c r="A571" s="34" t="inlineStr">
        <is>
          <t>50484001090</t>
        </is>
      </c>
      <c r="B571" s="35" t="inlineStr">
        <is>
          <t>SANTYL 250 UNIT/GM EXTERNAL OINTMENT</t>
        </is>
      </c>
      <c r="C571" s="34" t="n">
        <v>90</v>
      </c>
      <c r="D571" s="36" t="n">
        <v>1</v>
      </c>
      <c r="E571" s="36" t="n">
        <v>1</v>
      </c>
      <c r="F571" s="36" t="n">
        <v>-1</v>
      </c>
      <c r="G571" s="36" t="n">
        <v>1</v>
      </c>
      <c r="H571" s="36" t="n">
        <v>1</v>
      </c>
      <c r="I571" s="36" t="n">
        <v>1</v>
      </c>
      <c r="J571" s="36" t="n">
        <v>1</v>
      </c>
      <c r="K571" s="36" t="n">
        <v>1</v>
      </c>
      <c r="L571" s="36" t="n">
        <v>1</v>
      </c>
      <c r="M571" s="36" t="n">
        <v>1</v>
      </c>
      <c r="N571" s="37" t="n">
        <v>1</v>
      </c>
      <c r="O571" s="38" t="inlineStr">
        <is>
          <t> </t>
        </is>
      </c>
      <c r="P571" s="39" t="n">
        <v>924</v>
      </c>
      <c r="Q571" s="40" t="n">
        <v>924</v>
      </c>
      <c r="R571" s="41" t="inlineStr">
        <is>
          <t>Branded Drug</t>
        </is>
      </c>
      <c r="S571" s="41" t="n"/>
    </row>
    <row r="572" ht="20" customHeight="1">
      <c r="A572" s="34" t="inlineStr">
        <is>
          <t>50742050510</t>
        </is>
      </c>
      <c r="B572" s="35" t="inlineStr">
        <is>
          <t>SCOPOLAMINE 1 MG/3DAYS TRANSDERMAL PATCH 72 HOUR</t>
        </is>
      </c>
      <c r="C572" s="34" t="n">
        <v>10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</v>
      </c>
      <c r="K572" s="36" t="n">
        <v>0</v>
      </c>
      <c r="L572" s="36" t="n">
        <v>0</v>
      </c>
      <c r="M572" s="36" t="n">
        <v>0</v>
      </c>
      <c r="N572" s="37" t="n">
        <v>1</v>
      </c>
      <c r="O572" s="38" t="inlineStr">
        <is>
          <t> </t>
        </is>
      </c>
      <c r="P572" s="39" t="n">
        <v>0</v>
      </c>
      <c r="Q572" s="40" t="n">
        <v>0</v>
      </c>
      <c r="R572" s="41" t="inlineStr">
        <is>
          <t>Unclassified</t>
        </is>
      </c>
      <c r="S572" s="41" t="n"/>
    </row>
    <row r="573" ht="20" customHeight="1">
      <c r="A573" s="34" t="inlineStr">
        <is>
          <t>00006537303</t>
        </is>
      </c>
      <c r="B573" s="35" t="inlineStr">
        <is>
          <t>SEGLUROMET 2.5-1000MG TABLET</t>
        </is>
      </c>
      <c r="C573" s="34" t="n">
        <v>60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0</v>
      </c>
      <c r="I573" s="36" t="n">
        <v>0</v>
      </c>
      <c r="J573" s="36" t="n">
        <v>-1</v>
      </c>
      <c r="K573" s="36" t="n">
        <v>0</v>
      </c>
      <c r="L573" s="36" t="n">
        <v>0</v>
      </c>
      <c r="M573" s="36" t="n">
        <v>0</v>
      </c>
      <c r="N573" s="37" t="n">
        <v>1</v>
      </c>
      <c r="O573" s="38" t="inlineStr">
        <is>
          <t> </t>
        </is>
      </c>
      <c r="P573" s="39" t="n">
        <v>0</v>
      </c>
      <c r="Q573" s="40" t="n">
        <v>0</v>
      </c>
      <c r="R573" s="41" t="inlineStr">
        <is>
          <t>Unclassified</t>
        </is>
      </c>
      <c r="S573" s="41" t="n"/>
    </row>
    <row r="574" ht="20" customHeight="1">
      <c r="A574" s="34" t="inlineStr">
        <is>
          <t>83257001233</t>
        </is>
      </c>
      <c r="B574" s="35" t="inlineStr">
        <is>
          <t>SEMGLEE (YFGN) 100 UNIT/ML PEN-INJECTOR</t>
        </is>
      </c>
      <c r="C574" s="34" t="n">
        <v>15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0</v>
      </c>
      <c r="L574" s="36" t="n">
        <v>-1.8</v>
      </c>
      <c r="M574" s="36" t="n">
        <v>0</v>
      </c>
      <c r="N574" s="37" t="n">
        <v>1.8</v>
      </c>
      <c r="O574" s="38" t="inlineStr">
        <is>
          <t> </t>
        </is>
      </c>
      <c r="P574" s="39" t="n">
        <v>0</v>
      </c>
      <c r="Q574" s="40" t="n">
        <v>0</v>
      </c>
      <c r="R574" s="41" t="inlineStr">
        <is>
          <t>Unclassified</t>
        </is>
      </c>
      <c r="S574" s="41" t="n"/>
    </row>
    <row r="575" ht="20" customHeight="1">
      <c r="A575" s="34" t="inlineStr">
        <is>
          <t>00904725280</t>
        </is>
      </c>
      <c r="B575" s="35" t="inlineStr">
        <is>
          <t>SENNA 8.6 MG TABLET *NYM</t>
        </is>
      </c>
      <c r="C575" s="34" t="n">
        <v>1000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0</v>
      </c>
      <c r="I575" s="36" t="n">
        <v>0</v>
      </c>
      <c r="J575" s="36" t="n">
        <v>-1.15</v>
      </c>
      <c r="K575" s="36" t="n">
        <v>0</v>
      </c>
      <c r="L575" s="36" t="n">
        <v>0</v>
      </c>
      <c r="M575" s="36" t="n">
        <v>0</v>
      </c>
      <c r="N575" s="37" t="n">
        <v>1.15</v>
      </c>
      <c r="O575" s="38" t="inlineStr">
        <is>
          <t> </t>
        </is>
      </c>
      <c r="P575" s="39" t="n">
        <v>0</v>
      </c>
      <c r="Q575" s="40" t="n">
        <v>0</v>
      </c>
      <c r="R575" s="41" t="inlineStr">
        <is>
          <t>Unclassified</t>
        </is>
      </c>
      <c r="S575" s="41" t="n"/>
    </row>
    <row r="576" ht="20" customHeight="1">
      <c r="A576" s="34" t="inlineStr">
        <is>
          <t>65862001305</t>
        </is>
      </c>
      <c r="B576" s="35" t="inlineStr">
        <is>
          <t>SERTRALINE 100MG TABLET</t>
        </is>
      </c>
      <c r="C576" s="34" t="n">
        <v>500</v>
      </c>
      <c r="D576" s="36" t="n">
        <v>0</v>
      </c>
      <c r="E576" s="36" t="n">
        <v>0</v>
      </c>
      <c r="F576" s="36" t="n">
        <v>-0.3</v>
      </c>
      <c r="G576" s="36" t="n">
        <v>0</v>
      </c>
      <c r="H576" s="36" t="n">
        <v>0</v>
      </c>
      <c r="I576" s="36" t="n">
        <v>0</v>
      </c>
      <c r="J576" s="36" t="n">
        <v>-0.36</v>
      </c>
      <c r="K576" s="36" t="n">
        <v>0</v>
      </c>
      <c r="L576" s="36" t="n">
        <v>0</v>
      </c>
      <c r="M576" s="36" t="n">
        <v>0</v>
      </c>
      <c r="N576" s="37" t="n">
        <v>0.36</v>
      </c>
      <c r="O576" s="38" t="inlineStr">
        <is>
          <t> </t>
        </is>
      </c>
      <c r="P576" s="39" t="n">
        <v>0</v>
      </c>
      <c r="Q576" s="40" t="n">
        <v>0</v>
      </c>
      <c r="R576" s="41" t="inlineStr">
        <is>
          <t>Unclassified</t>
        </is>
      </c>
      <c r="S576" s="41" t="n"/>
    </row>
    <row r="577" ht="20" customHeight="1">
      <c r="A577" s="34" t="inlineStr">
        <is>
          <t>65862001105</t>
        </is>
      </c>
      <c r="B577" s="35" t="inlineStr">
        <is>
          <t>SERTRALINE 25MG TABLET</t>
        </is>
      </c>
      <c r="C577" s="34" t="n">
        <v>500</v>
      </c>
      <c r="D577" s="36" t="n">
        <v>0</v>
      </c>
      <c r="E577" s="36" t="n">
        <v>-0.06</v>
      </c>
      <c r="F577" s="36" t="n">
        <v>-0.42</v>
      </c>
      <c r="G577" s="36" t="n">
        <v>0</v>
      </c>
      <c r="H577" s="36" t="n">
        <v>0</v>
      </c>
      <c r="I577" s="36" t="n">
        <v>0</v>
      </c>
      <c r="J577" s="36" t="n">
        <v>-0.18</v>
      </c>
      <c r="K577" s="36" t="n">
        <v>0</v>
      </c>
      <c r="L577" s="36" t="n">
        <v>0</v>
      </c>
      <c r="M577" s="36" t="n">
        <v>0</v>
      </c>
      <c r="N577" s="37" t="n">
        <v>0.42</v>
      </c>
      <c r="O577" s="38" t="inlineStr">
        <is>
          <t> </t>
        </is>
      </c>
      <c r="P577" s="39" t="n">
        <v>0</v>
      </c>
      <c r="Q577" s="40" t="n">
        <v>0</v>
      </c>
      <c r="R577" s="41" t="inlineStr">
        <is>
          <t>Unclassified</t>
        </is>
      </c>
      <c r="S577" s="41" t="n"/>
    </row>
    <row r="578" ht="20" customHeight="1">
      <c r="A578" s="34" t="inlineStr">
        <is>
          <t>58160082311</t>
        </is>
      </c>
      <c r="B578" s="35" t="inlineStr">
        <is>
          <t>SHINGRIX 50 MCG/0.5ML IM SUSP RECON</t>
        </is>
      </c>
      <c r="C578" s="34" t="n">
        <v>10</v>
      </c>
      <c r="D578" s="36" t="n">
        <v>0</v>
      </c>
      <c r="E578" s="36" t="n">
        <v>0</v>
      </c>
      <c r="F578" s="36" t="n">
        <v>0</v>
      </c>
      <c r="G578" s="36" t="n">
        <v>-0.1</v>
      </c>
      <c r="H578" s="36" t="n">
        <v>0</v>
      </c>
      <c r="I578" s="36" t="n">
        <v>-0.1</v>
      </c>
      <c r="J578" s="36" t="n">
        <v>-0.1</v>
      </c>
      <c r="K578" s="36" t="n">
        <v>0</v>
      </c>
      <c r="L578" s="36" t="n">
        <v>0</v>
      </c>
      <c r="M578" s="36" t="n">
        <v>0</v>
      </c>
      <c r="N578" s="37" t="n">
        <v>0.1</v>
      </c>
      <c r="O578" s="38" t="inlineStr">
        <is>
          <t> </t>
        </is>
      </c>
      <c r="P578" s="39" t="n">
        <v>0</v>
      </c>
      <c r="Q578" s="40" t="n">
        <v>0</v>
      </c>
      <c r="R578" s="41" t="inlineStr">
        <is>
          <t>Unclassified</t>
        </is>
      </c>
      <c r="S578" s="41" t="n"/>
    </row>
    <row r="579" ht="20" customHeight="1">
      <c r="A579" s="34" t="inlineStr">
        <is>
          <t>67877012405</t>
        </is>
      </c>
      <c r="B579" s="35" t="inlineStr">
        <is>
          <t>SILVER SULFADIAZINE 1 % EXTERNAL CREAM</t>
        </is>
      </c>
      <c r="C579" s="34" t="n">
        <v>50</v>
      </c>
      <c r="D579" s="36" t="n">
        <v>0</v>
      </c>
      <c r="E579" s="36" t="n">
        <v>0</v>
      </c>
      <c r="F579" s="36" t="n">
        <v>-1</v>
      </c>
      <c r="G579" s="36" t="n">
        <v>0</v>
      </c>
      <c r="H579" s="36" t="n">
        <v>0</v>
      </c>
      <c r="I579" s="36" t="n">
        <v>-1</v>
      </c>
      <c r="J579" s="36" t="n">
        <v>-1</v>
      </c>
      <c r="K579" s="36" t="n">
        <v>0</v>
      </c>
      <c r="L579" s="36" t="n">
        <v>0</v>
      </c>
      <c r="M579" s="36" t="n">
        <v>0</v>
      </c>
      <c r="N579" s="37" t="n">
        <v>1</v>
      </c>
      <c r="O579" s="38" t="inlineStr">
        <is>
          <t> </t>
        </is>
      </c>
      <c r="P579" s="39" t="n">
        <v>0</v>
      </c>
      <c r="Q579" s="40" t="n">
        <v>0</v>
      </c>
      <c r="R579" s="41" t="inlineStr">
        <is>
          <t>Unclassified</t>
        </is>
      </c>
      <c r="S579" s="41" t="n"/>
    </row>
    <row r="580" ht="20" customHeight="1">
      <c r="A580" s="34" t="inlineStr">
        <is>
          <t>00065414727</t>
        </is>
      </c>
      <c r="B580" s="35" t="inlineStr">
        <is>
          <t>SIMBRINZA 1-0.2 % OPHTHALMIC SUSPENSION</t>
        </is>
      </c>
      <c r="C580" s="34" t="n">
        <v>8</v>
      </c>
      <c r="D580" s="36" t="n">
        <v>0</v>
      </c>
      <c r="E580" s="36" t="n">
        <v>0</v>
      </c>
      <c r="F580" s="36" t="n">
        <v>0</v>
      </c>
      <c r="G580" s="36" t="n">
        <v>0</v>
      </c>
      <c r="H580" s="36" t="n">
        <v>0</v>
      </c>
      <c r="I580" s="36" t="n">
        <v>0</v>
      </c>
      <c r="J580" s="36" t="n">
        <v>0</v>
      </c>
      <c r="K580" s="36" t="n">
        <v>-1</v>
      </c>
      <c r="L580" s="36" t="n">
        <v>0</v>
      </c>
      <c r="M580" s="36" t="n">
        <v>0</v>
      </c>
      <c r="N580" s="37" t="n">
        <v>1</v>
      </c>
      <c r="O580" s="38" t="inlineStr">
        <is>
          <t> </t>
        </is>
      </c>
      <c r="P580" s="39" t="n">
        <v>0</v>
      </c>
      <c r="Q580" s="40" t="n">
        <v>0</v>
      </c>
      <c r="R580" s="41" t="inlineStr">
        <is>
          <t>Unclassified</t>
        </is>
      </c>
      <c r="S580" s="41" t="n"/>
    </row>
    <row r="581" ht="20" customHeight="1">
      <c r="A581" s="34" t="inlineStr">
        <is>
          <t>70377000215</t>
        </is>
      </c>
      <c r="B581" s="35" t="inlineStr">
        <is>
          <t>SIMVASTATIN 10MG TABLET</t>
        </is>
      </c>
      <c r="C581" s="34" t="n">
        <v>1000</v>
      </c>
      <c r="D581" s="36" t="n">
        <v>0</v>
      </c>
      <c r="E581" s="36" t="n">
        <v>0</v>
      </c>
      <c r="F581" s="36" t="n">
        <v>-0.03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7" t="n">
        <v>0.03</v>
      </c>
      <c r="O581" s="38" t="inlineStr">
        <is>
          <t> </t>
        </is>
      </c>
      <c r="P581" s="39" t="n">
        <v>0</v>
      </c>
      <c r="Q581" s="40" t="n">
        <v>0</v>
      </c>
      <c r="R581" s="41" t="inlineStr">
        <is>
          <t>Unclassified</t>
        </is>
      </c>
      <c r="S581" s="41" t="n"/>
    </row>
    <row r="582" ht="20" customHeight="1">
      <c r="A582" s="34" t="inlineStr">
        <is>
          <t>16729000517</t>
        </is>
      </c>
      <c r="B582" s="35" t="inlineStr">
        <is>
          <t>SIMVASTATIN 20MG TABLET</t>
        </is>
      </c>
      <c r="C582" s="34" t="n">
        <v>1000</v>
      </c>
      <c r="D582" s="36" t="n">
        <v>0</v>
      </c>
      <c r="E582" s="36" t="n">
        <v>0</v>
      </c>
      <c r="F582" s="36" t="n">
        <v>-0.51</v>
      </c>
      <c r="G582" s="36" t="n">
        <v>-0.12</v>
      </c>
      <c r="H582" s="36" t="n">
        <v>0</v>
      </c>
      <c r="I582" s="36" t="n">
        <v>0</v>
      </c>
      <c r="J582" s="36" t="n">
        <v>-0.09</v>
      </c>
      <c r="K582" s="36" t="n">
        <v>-0.21</v>
      </c>
      <c r="L582" s="36" t="n">
        <v>0</v>
      </c>
      <c r="M582" s="36" t="n">
        <v>0</v>
      </c>
      <c r="N582" s="37" t="n">
        <v>0.51</v>
      </c>
      <c r="O582" s="38" t="inlineStr">
        <is>
          <t> </t>
        </is>
      </c>
      <c r="P582" s="39" t="n">
        <v>0</v>
      </c>
      <c r="Q582" s="40" t="n">
        <v>0</v>
      </c>
      <c r="R582" s="41" t="inlineStr">
        <is>
          <t>Unclassified</t>
        </is>
      </c>
      <c r="S582" s="41" t="n"/>
    </row>
    <row r="583" ht="20" customHeight="1">
      <c r="A583" s="34" t="inlineStr">
        <is>
          <t>16729000617</t>
        </is>
      </c>
      <c r="B583" s="35" t="inlineStr">
        <is>
          <t>SIMVASTATIN 40MG TABLET</t>
        </is>
      </c>
      <c r="C583" s="34" t="n">
        <v>1000</v>
      </c>
      <c r="D583" s="36" t="n">
        <v>0</v>
      </c>
      <c r="E583" s="36" t="n">
        <v>0</v>
      </c>
      <c r="F583" s="36" t="n">
        <v>0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-0.03</v>
      </c>
      <c r="L583" s="36" t="n">
        <v>0</v>
      </c>
      <c r="M583" s="36" t="n">
        <v>0</v>
      </c>
      <c r="N583" s="37" t="n">
        <v>0.03</v>
      </c>
      <c r="O583" s="38" t="inlineStr">
        <is>
          <t> </t>
        </is>
      </c>
      <c r="P583" s="39" t="n">
        <v>0</v>
      </c>
      <c r="Q583" s="40" t="n">
        <v>0</v>
      </c>
      <c r="R583" s="41" t="inlineStr">
        <is>
          <t>Unclassified</t>
        </is>
      </c>
      <c r="S583" s="41" t="n"/>
    </row>
    <row r="584" ht="20" customHeight="1">
      <c r="A584" s="34" t="inlineStr">
        <is>
          <t>00536104710</t>
        </is>
      </c>
      <c r="B584" s="35" t="inlineStr">
        <is>
          <t>SODIUM BICARBONATE 650MG TABLET</t>
        </is>
      </c>
      <c r="C584" s="34" t="n">
        <v>1000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0</v>
      </c>
      <c r="I584" s="36" t="n">
        <v>0</v>
      </c>
      <c r="J584" s="36" t="n">
        <v>-0.15</v>
      </c>
      <c r="K584" s="36" t="n">
        <v>0</v>
      </c>
      <c r="L584" s="36" t="n">
        <v>0</v>
      </c>
      <c r="M584" s="36" t="n">
        <v>0</v>
      </c>
      <c r="N584" s="37" t="n">
        <v>0.15</v>
      </c>
      <c r="O584" s="38" t="inlineStr">
        <is>
          <t> </t>
        </is>
      </c>
      <c r="P584" s="39" t="n">
        <v>0</v>
      </c>
      <c r="Q584" s="40" t="n">
        <v>0</v>
      </c>
      <c r="R584" s="41" t="inlineStr">
        <is>
          <t>Unclassified</t>
        </is>
      </c>
      <c r="S584" s="41" t="n"/>
    </row>
    <row r="585" ht="20" customHeight="1">
      <c r="A585" s="34" t="inlineStr">
        <is>
          <t>00536125391</t>
        </is>
      </c>
      <c r="B585" s="35" t="inlineStr">
        <is>
          <t>SODIUM CHLORIDE (HYPERTONIC) 5 % OPHTHALMIC OINTMENT</t>
        </is>
      </c>
      <c r="C585" s="34" t="n">
        <v>3.5</v>
      </c>
      <c r="D585" s="36" t="n">
        <v>0</v>
      </c>
      <c r="E585" s="36" t="n">
        <v>0</v>
      </c>
      <c r="F585" s="36" t="n">
        <v>0</v>
      </c>
      <c r="G585" s="36" t="n">
        <v>-1</v>
      </c>
      <c r="H585" s="36" t="n">
        <v>0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7" t="n">
        <v>1</v>
      </c>
      <c r="O585" s="38" t="inlineStr">
        <is>
          <t> </t>
        </is>
      </c>
      <c r="P585" s="39" t="n">
        <v>0</v>
      </c>
      <c r="Q585" s="40" t="n">
        <v>0</v>
      </c>
      <c r="R585" s="41" t="inlineStr">
        <is>
          <t>Unclassified</t>
        </is>
      </c>
      <c r="S585" s="41" t="n"/>
    </row>
    <row r="586" ht="20" customHeight="1">
      <c r="A586" s="34" t="inlineStr">
        <is>
          <t>00536125494</t>
        </is>
      </c>
      <c r="B586" s="35" t="inlineStr">
        <is>
          <t>SODIUM CHLORIDE (HYPERTONIC) 5 % OPHTHALMIC SOLUTION</t>
        </is>
      </c>
      <c r="C586" s="34" t="n">
        <v>15</v>
      </c>
      <c r="D586" s="36" t="n">
        <v>0</v>
      </c>
      <c r="E586" s="36" t="n">
        <v>0</v>
      </c>
      <c r="F586" s="36" t="n">
        <v>0</v>
      </c>
      <c r="G586" s="36" t="n">
        <v>0</v>
      </c>
      <c r="H586" s="36" t="n">
        <v>0</v>
      </c>
      <c r="I586" s="36" t="n">
        <v>0</v>
      </c>
      <c r="J586" s="36" t="n">
        <v>-1</v>
      </c>
      <c r="K586" s="36" t="n">
        <v>0</v>
      </c>
      <c r="L586" s="36" t="n">
        <v>0</v>
      </c>
      <c r="M586" s="36" t="n">
        <v>0</v>
      </c>
      <c r="N586" s="37" t="n">
        <v>1</v>
      </c>
      <c r="O586" s="38" t="inlineStr">
        <is>
          <t> </t>
        </is>
      </c>
      <c r="P586" s="39" t="n">
        <v>0</v>
      </c>
      <c r="Q586" s="40" t="n">
        <v>0</v>
      </c>
      <c r="R586" s="41" t="inlineStr">
        <is>
          <t>Unclassified</t>
        </is>
      </c>
      <c r="S586" s="41" t="n"/>
    </row>
    <row r="587" ht="20" customHeight="1">
      <c r="A587" s="34" t="inlineStr">
        <is>
          <t>76204030003</t>
        </is>
      </c>
      <c r="B587" s="35" t="inlineStr">
        <is>
          <t>SODIUM CHLORIDE 0.9 % INHALATION NEBULIZATION SOLUTION</t>
        </is>
      </c>
      <c r="C587" s="34" t="n">
        <v>300</v>
      </c>
      <c r="D587" s="36" t="n">
        <v>0</v>
      </c>
      <c r="E587" s="36" t="n">
        <v>0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-1</v>
      </c>
      <c r="K587" s="36" t="n">
        <v>0</v>
      </c>
      <c r="L587" s="36" t="n">
        <v>0</v>
      </c>
      <c r="M587" s="36" t="n">
        <v>0</v>
      </c>
      <c r="N587" s="37" t="n">
        <v>1</v>
      </c>
      <c r="O587" s="38" t="inlineStr">
        <is>
          <t> </t>
        </is>
      </c>
      <c r="P587" s="39" t="n">
        <v>0</v>
      </c>
      <c r="Q587" s="40" t="n">
        <v>0</v>
      </c>
      <c r="R587" s="41" t="inlineStr">
        <is>
          <t>Unclassified</t>
        </is>
      </c>
      <c r="S587" s="41" t="n"/>
    </row>
    <row r="588" ht="20" customHeight="1">
      <c r="A588" s="34" t="inlineStr">
        <is>
          <t>11527075043</t>
        </is>
      </c>
      <c r="B588" s="35" t="inlineStr">
        <is>
          <t>SODIUM FLUORIDE 5000 PPM 1.1 % DENTAL PASTE</t>
        </is>
      </c>
      <c r="C588" s="34" t="n">
        <v>100</v>
      </c>
      <c r="D588" s="36" t="n">
        <v>0</v>
      </c>
      <c r="E588" s="36" t="n">
        <v>0</v>
      </c>
      <c r="F588" s="36" t="n">
        <v>0</v>
      </c>
      <c r="G588" s="36" t="n">
        <v>-1</v>
      </c>
      <c r="H588" s="36" t="n">
        <v>0</v>
      </c>
      <c r="I588" s="36" t="n">
        <v>0</v>
      </c>
      <c r="J588" s="36" t="n">
        <v>0</v>
      </c>
      <c r="K588" s="36" t="n">
        <v>0</v>
      </c>
      <c r="L588" s="36" t="n">
        <v>0</v>
      </c>
      <c r="M588" s="36" t="n">
        <v>0</v>
      </c>
      <c r="N588" s="37" t="n">
        <v>1</v>
      </c>
      <c r="O588" s="38" t="inlineStr">
        <is>
          <t> </t>
        </is>
      </c>
      <c r="P588" s="39" t="n">
        <v>0</v>
      </c>
      <c r="Q588" s="40" t="n">
        <v>0</v>
      </c>
      <c r="R588" s="41" t="inlineStr">
        <is>
          <t>Unclassified</t>
        </is>
      </c>
      <c r="S588" s="41" t="n"/>
    </row>
    <row r="589" ht="20" customHeight="1">
      <c r="A589" s="34" t="inlineStr">
        <is>
          <t>68462038730</t>
        </is>
      </c>
      <c r="B589" s="35" t="inlineStr">
        <is>
          <t>SOLIFENACIN SUCCINATE 10MG TABLET</t>
        </is>
      </c>
      <c r="C589" s="34" t="n">
        <v>30</v>
      </c>
      <c r="D589" s="36" t="n">
        <v>0</v>
      </c>
      <c r="E589" s="36" t="n">
        <v>0</v>
      </c>
      <c r="F589" s="36" t="n">
        <v>-2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7" t="n">
        <v>2</v>
      </c>
      <c r="O589" s="38" t="inlineStr">
        <is>
          <t> </t>
        </is>
      </c>
      <c r="P589" s="39" t="n">
        <v>0</v>
      </c>
      <c r="Q589" s="40" t="n">
        <v>0</v>
      </c>
      <c r="R589" s="41" t="inlineStr">
        <is>
          <t>Unclassified</t>
        </is>
      </c>
      <c r="S589" s="41" t="n"/>
    </row>
    <row r="590" ht="20" customHeight="1">
      <c r="A590" s="34" t="inlineStr">
        <is>
          <t>00597007541</t>
        </is>
      </c>
      <c r="B590" s="35" t="inlineStr">
        <is>
          <t>SPIRIVA HANDIHALER 18MCG CAPSULE</t>
        </is>
      </c>
      <c r="C590" s="34" t="n">
        <v>30</v>
      </c>
      <c r="D590" s="36" t="n">
        <v>0</v>
      </c>
      <c r="E590" s="36" t="n">
        <v>0</v>
      </c>
      <c r="F590" s="36" t="n">
        <v>0</v>
      </c>
      <c r="G590" s="36" t="n">
        <v>0</v>
      </c>
      <c r="H590" s="36" t="n">
        <v>0</v>
      </c>
      <c r="I590" s="36" t="n">
        <v>0</v>
      </c>
      <c r="J590" s="36" t="n">
        <v>-3</v>
      </c>
      <c r="K590" s="36" t="n">
        <v>0</v>
      </c>
      <c r="L590" s="36" t="n">
        <v>0</v>
      </c>
      <c r="M590" s="36" t="n">
        <v>0</v>
      </c>
      <c r="N590" s="37" t="n">
        <v>3</v>
      </c>
      <c r="O590" s="38" t="inlineStr">
        <is>
          <t> </t>
        </is>
      </c>
      <c r="P590" s="39" t="n">
        <v>0</v>
      </c>
      <c r="Q590" s="40" t="n">
        <v>0</v>
      </c>
      <c r="R590" s="41" t="inlineStr">
        <is>
          <t>Unclassified</t>
        </is>
      </c>
      <c r="S590" s="41" t="n"/>
    </row>
    <row r="591" ht="20" customHeight="1">
      <c r="A591" s="34" t="inlineStr">
        <is>
          <t>53746051501</t>
        </is>
      </c>
      <c r="B591" s="35" t="inlineStr">
        <is>
          <t>SPIRONOLACTONE 100MG TABLET</t>
        </is>
      </c>
      <c r="C591" s="34" t="n">
        <v>100</v>
      </c>
      <c r="D591" s="36" t="n">
        <v>0</v>
      </c>
      <c r="E591" s="36" t="n">
        <v>0</v>
      </c>
      <c r="F591" s="36" t="n">
        <v>-0.3</v>
      </c>
      <c r="G591" s="36" t="n">
        <v>0</v>
      </c>
      <c r="H591" s="36" t="n">
        <v>0</v>
      </c>
      <c r="I591" s="36" t="n">
        <v>0</v>
      </c>
      <c r="J591" s="36" t="n">
        <v>-0.3</v>
      </c>
      <c r="K591" s="36" t="n">
        <v>0</v>
      </c>
      <c r="L591" s="36" t="n">
        <v>0</v>
      </c>
      <c r="M591" s="36" t="n">
        <v>0</v>
      </c>
      <c r="N591" s="37" t="n">
        <v>0.3</v>
      </c>
      <c r="O591" s="38" t="inlineStr">
        <is>
          <t> </t>
        </is>
      </c>
      <c r="P591" s="39" t="n">
        <v>0</v>
      </c>
      <c r="Q591" s="40" t="n">
        <v>0</v>
      </c>
      <c r="R591" s="41" t="inlineStr">
        <is>
          <t>Unclassified</t>
        </is>
      </c>
      <c r="S591" s="41" t="n"/>
    </row>
    <row r="592" ht="20" customHeight="1">
      <c r="A592" s="34" t="inlineStr">
        <is>
          <t>68382066010</t>
        </is>
      </c>
      <c r="B592" s="35" t="inlineStr">
        <is>
          <t>SPIRONOLACTONE 25MG TABLET</t>
        </is>
      </c>
      <c r="C592" s="34" t="n">
        <v>1000</v>
      </c>
      <c r="D592" s="36" t="n">
        <v>0</v>
      </c>
      <c r="E592" s="36" t="n">
        <v>0</v>
      </c>
      <c r="F592" s="36" t="n">
        <v>-0.51</v>
      </c>
      <c r="G592" s="36" t="n">
        <v>-0.04</v>
      </c>
      <c r="H592" s="36" t="n">
        <v>0</v>
      </c>
      <c r="I592" s="36" t="n">
        <v>-0.12</v>
      </c>
      <c r="J592" s="36" t="n">
        <v>-0.3</v>
      </c>
      <c r="K592" s="36" t="n">
        <v>0</v>
      </c>
      <c r="L592" s="36" t="n">
        <v>0</v>
      </c>
      <c r="M592" s="36" t="n">
        <v>0</v>
      </c>
      <c r="N592" s="37" t="n">
        <v>0.51</v>
      </c>
      <c r="O592" s="38" t="inlineStr">
        <is>
          <t> </t>
        </is>
      </c>
      <c r="P592" s="39" t="n">
        <v>0</v>
      </c>
      <c r="Q592" s="40" t="n">
        <v>0</v>
      </c>
      <c r="R592" s="41" t="inlineStr">
        <is>
          <t>Unclassified</t>
        </is>
      </c>
      <c r="S592" s="41" t="n"/>
    </row>
    <row r="593" ht="20" customHeight="1">
      <c r="A593" s="34" t="inlineStr">
        <is>
          <t>68382066105</t>
        </is>
      </c>
      <c r="B593" s="35" t="inlineStr">
        <is>
          <t>SPIRONOLACTONE 50MG TABLET</t>
        </is>
      </c>
      <c r="C593" s="34" t="n">
        <v>500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0</v>
      </c>
      <c r="I593" s="36" t="n">
        <v>0</v>
      </c>
      <c r="J593" s="36" t="n">
        <v>-0.24</v>
      </c>
      <c r="K593" s="36" t="n">
        <v>0</v>
      </c>
      <c r="L593" s="36" t="n">
        <v>0</v>
      </c>
      <c r="M593" s="36" t="n">
        <v>0</v>
      </c>
      <c r="N593" s="37" t="n">
        <v>0.24</v>
      </c>
      <c r="O593" s="38" t="inlineStr">
        <is>
          <t> </t>
        </is>
      </c>
      <c r="P593" s="39" t="n">
        <v>0</v>
      </c>
      <c r="Q593" s="40" t="n">
        <v>0</v>
      </c>
      <c r="R593" s="41" t="inlineStr">
        <is>
          <t>Unclassified</t>
        </is>
      </c>
      <c r="S593" s="41" t="n"/>
    </row>
    <row r="594" ht="20" customHeight="1">
      <c r="A594" s="34" t="inlineStr">
        <is>
          <t>82182010614</t>
        </is>
      </c>
      <c r="B594" s="35" t="inlineStr">
        <is>
          <t>SUCRALFATE 1 GM/10ML ORAL SUSPENSION</t>
        </is>
      </c>
      <c r="C594" s="34" t="n">
        <v>420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-3</v>
      </c>
      <c r="K594" s="36" t="n">
        <v>0</v>
      </c>
      <c r="L594" s="36" t="n">
        <v>0</v>
      </c>
      <c r="M594" s="36" t="n">
        <v>0</v>
      </c>
      <c r="N594" s="37" t="n">
        <v>3</v>
      </c>
      <c r="O594" s="38" t="inlineStr">
        <is>
          <t> </t>
        </is>
      </c>
      <c r="P594" s="39" t="n">
        <v>0</v>
      </c>
      <c r="Q594" s="40" t="n">
        <v>0</v>
      </c>
      <c r="R594" s="41" t="inlineStr">
        <is>
          <t>Unclassified</t>
        </is>
      </c>
      <c r="S594" s="41" t="n"/>
    </row>
    <row r="595" ht="20" customHeight="1">
      <c r="A595" s="34" t="inlineStr">
        <is>
          <t>65862014836</t>
        </is>
      </c>
      <c r="B595" s="35" t="inlineStr">
        <is>
          <t xml:space="preserve">SUMATRIPTAN SUCCINATE 100MG TAB </t>
        </is>
      </c>
      <c r="C595" s="34" t="n">
        <v>9</v>
      </c>
      <c r="D595" s="36" t="n">
        <v>0</v>
      </c>
      <c r="E595" s="36" t="n">
        <v>0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-2</v>
      </c>
      <c r="K595" s="36" t="n">
        <v>0</v>
      </c>
      <c r="L595" s="36" t="n">
        <v>0</v>
      </c>
      <c r="M595" s="36" t="n">
        <v>0</v>
      </c>
      <c r="N595" s="37" t="n">
        <v>2</v>
      </c>
      <c r="O595" s="38" t="inlineStr">
        <is>
          <t> </t>
        </is>
      </c>
      <c r="P595" s="39" t="n">
        <v>0</v>
      </c>
      <c r="Q595" s="40" t="n">
        <v>0</v>
      </c>
      <c r="R595" s="41" t="inlineStr">
        <is>
          <t>Unclassified</t>
        </is>
      </c>
      <c r="S595" s="41" t="n"/>
    </row>
    <row r="596" ht="20" customHeight="1">
      <c r="A596" s="34" t="inlineStr">
        <is>
          <t>65862014636</t>
        </is>
      </c>
      <c r="B596" s="35" t="inlineStr">
        <is>
          <t>SUMATRIPTAN SUCCINATE 25 MG ORAL TABLET</t>
        </is>
      </c>
      <c r="C596" s="34" t="n">
        <v>9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-1.33</v>
      </c>
      <c r="L596" s="36" t="n">
        <v>0</v>
      </c>
      <c r="M596" s="36" t="n">
        <v>0</v>
      </c>
      <c r="N596" s="37" t="n">
        <v>1.33</v>
      </c>
      <c r="O596" s="38" t="inlineStr">
        <is>
          <t> </t>
        </is>
      </c>
      <c r="P596" s="39" t="n">
        <v>0</v>
      </c>
      <c r="Q596" s="40" t="n">
        <v>0</v>
      </c>
      <c r="R596" s="41" t="inlineStr">
        <is>
          <t>Unclassified</t>
        </is>
      </c>
      <c r="S596" s="41" t="n"/>
    </row>
    <row r="597" ht="20" customHeight="1">
      <c r="A597" s="34" t="inlineStr">
        <is>
          <t>65862014736</t>
        </is>
      </c>
      <c r="B597" s="35" t="inlineStr">
        <is>
          <t xml:space="preserve">SUMATRIPTAN SUCCINATE 50MG TAB </t>
        </is>
      </c>
      <c r="C597" s="34" t="n">
        <v>9</v>
      </c>
      <c r="D597" s="36" t="n">
        <v>0</v>
      </c>
      <c r="E597" s="36" t="n">
        <v>0</v>
      </c>
      <c r="F597" s="36" t="n">
        <v>-1</v>
      </c>
      <c r="G597" s="36" t="n">
        <v>0</v>
      </c>
      <c r="H597" s="36" t="n">
        <v>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7" t="n">
        <v>1</v>
      </c>
      <c r="O597" s="38" t="inlineStr">
        <is>
          <t> </t>
        </is>
      </c>
      <c r="P597" s="39" t="n">
        <v>0</v>
      </c>
      <c r="Q597" s="40" t="n">
        <v>0</v>
      </c>
      <c r="R597" s="41" t="inlineStr">
        <is>
          <t>Unclassified</t>
        </is>
      </c>
      <c r="S597" s="41" t="n"/>
    </row>
    <row r="598" ht="20" customHeight="1">
      <c r="A598" s="34" t="inlineStr">
        <is>
          <t>00186037020</t>
        </is>
      </c>
      <c r="B598" s="35" t="inlineStr">
        <is>
          <t>SYMBICORT 160-4.5MCG/ACT AEROSOL</t>
        </is>
      </c>
      <c r="C598" s="34" t="n">
        <v>10.2</v>
      </c>
      <c r="D598" s="36" t="n">
        <v>0</v>
      </c>
      <c r="E598" s="36" t="n">
        <v>0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-7</v>
      </c>
      <c r="K598" s="36" t="n">
        <v>0</v>
      </c>
      <c r="L598" s="36" t="n">
        <v>0</v>
      </c>
      <c r="M598" s="36" t="n">
        <v>0</v>
      </c>
      <c r="N598" s="37" t="n">
        <v>7</v>
      </c>
      <c r="O598" s="38" t="inlineStr">
        <is>
          <t> </t>
        </is>
      </c>
      <c r="P598" s="39" t="n">
        <v>0</v>
      </c>
      <c r="Q598" s="40" t="n">
        <v>0</v>
      </c>
      <c r="R598" s="41" t="inlineStr">
        <is>
          <t>Unclassified</t>
        </is>
      </c>
      <c r="S598" s="41" t="n"/>
    </row>
    <row r="599" ht="20" customHeight="1">
      <c r="A599" s="34" t="inlineStr">
        <is>
          <t>00186037220</t>
        </is>
      </c>
      <c r="B599" s="35" t="inlineStr">
        <is>
          <t>SYMBICORT 80-4.5MCG/ACT AEROSOL</t>
        </is>
      </c>
      <c r="C599" s="34" t="n">
        <v>10.2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0</v>
      </c>
      <c r="I599" s="36" t="n">
        <v>0</v>
      </c>
      <c r="J599" s="36" t="n">
        <v>-2</v>
      </c>
      <c r="K599" s="36" t="n">
        <v>0</v>
      </c>
      <c r="L599" s="36" t="n">
        <v>0</v>
      </c>
      <c r="M599" s="36" t="n">
        <v>0</v>
      </c>
      <c r="N599" s="37" t="n">
        <v>2</v>
      </c>
      <c r="O599" s="38" t="inlineStr">
        <is>
          <t> </t>
        </is>
      </c>
      <c r="P599" s="39" t="n">
        <v>0</v>
      </c>
      <c r="Q599" s="40" t="n">
        <v>0</v>
      </c>
      <c r="R599" s="41" t="inlineStr">
        <is>
          <t>Unclassified</t>
        </is>
      </c>
      <c r="S599" s="41" t="n"/>
    </row>
    <row r="600" ht="20" customHeight="1">
      <c r="A600" s="34" t="inlineStr">
        <is>
          <t>59676080030</t>
        </is>
      </c>
      <c r="B600" s="35" t="inlineStr">
        <is>
          <t>SYMTUZA 800-150-200-10MG TABLET</t>
        </is>
      </c>
      <c r="C600" s="34" t="n">
        <v>30</v>
      </c>
      <c r="D600" s="36" t="n">
        <v>0</v>
      </c>
      <c r="E600" s="36" t="n">
        <v>0</v>
      </c>
      <c r="F600" s="36" t="n">
        <v>-1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7" t="n">
        <v>1</v>
      </c>
      <c r="O600" s="38" t="inlineStr">
        <is>
          <t> </t>
        </is>
      </c>
      <c r="P600" s="39" t="n">
        <v>0</v>
      </c>
      <c r="Q600" s="40" t="n">
        <v>0</v>
      </c>
      <c r="R600" s="41" t="inlineStr">
        <is>
          <t>Unclassified</t>
        </is>
      </c>
      <c r="S600" s="41" t="n"/>
    </row>
    <row r="601" ht="20" customHeight="1">
      <c r="A601" s="34" t="inlineStr">
        <is>
          <t>00597017560</t>
        </is>
      </c>
      <c r="B601" s="35" t="inlineStr">
        <is>
          <t>SYNJARDY 5-1000 MG TABLET</t>
        </is>
      </c>
      <c r="C601" s="34" t="n">
        <v>60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-1</v>
      </c>
      <c r="K601" s="36" t="n">
        <v>0</v>
      </c>
      <c r="L601" s="36" t="n">
        <v>0</v>
      </c>
      <c r="M601" s="36" t="n">
        <v>0</v>
      </c>
      <c r="N601" s="37" t="n">
        <v>1</v>
      </c>
      <c r="O601" s="38" t="inlineStr">
        <is>
          <t> </t>
        </is>
      </c>
      <c r="P601" s="39" t="n">
        <v>0</v>
      </c>
      <c r="Q601" s="40" t="n">
        <v>0</v>
      </c>
      <c r="R601" s="41" t="inlineStr">
        <is>
          <t>Unclassified</t>
        </is>
      </c>
      <c r="S601" s="41" t="n"/>
    </row>
    <row r="602" ht="20" customHeight="1">
      <c r="A602" s="34" t="inlineStr">
        <is>
          <t>00597029588</t>
        </is>
      </c>
      <c r="B602" s="35" t="inlineStr">
        <is>
          <t>SYNJARDY XR 25-1000MG TABLET</t>
        </is>
      </c>
      <c r="C602" s="34" t="n">
        <v>30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7" t="n">
        <v>1</v>
      </c>
      <c r="O602" s="38" t="inlineStr">
        <is>
          <t> </t>
        </is>
      </c>
      <c r="P602" s="39" t="n">
        <v>0</v>
      </c>
      <c r="Q602" s="40" t="n">
        <v>0</v>
      </c>
      <c r="R602" s="41" t="inlineStr">
        <is>
          <t>Unclassified</t>
        </is>
      </c>
      <c r="S602" s="41" t="n"/>
    </row>
    <row r="603" ht="20" customHeight="1">
      <c r="A603" s="34" t="inlineStr">
        <is>
          <t>00065048110</t>
        </is>
      </c>
      <c r="B603" s="35" t="inlineStr">
        <is>
          <t>SYSTANE COMPLETE 0.6 % OPHTHALMIC SOLUTION</t>
        </is>
      </c>
      <c r="C603" s="34" t="n">
        <v>10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0</v>
      </c>
      <c r="I603" s="36" t="n">
        <v>0</v>
      </c>
      <c r="J603" s="36" t="n">
        <v>-1</v>
      </c>
      <c r="K603" s="36" t="n">
        <v>0</v>
      </c>
      <c r="L603" s="36" t="n">
        <v>0</v>
      </c>
      <c r="M603" s="36" t="n">
        <v>0</v>
      </c>
      <c r="N603" s="37" t="n">
        <v>1</v>
      </c>
      <c r="O603" s="38" t="inlineStr">
        <is>
          <t> </t>
        </is>
      </c>
      <c r="P603" s="39" t="n">
        <v>0</v>
      </c>
      <c r="Q603" s="40" t="n">
        <v>0</v>
      </c>
      <c r="R603" s="41" t="inlineStr">
        <is>
          <t>Unclassified</t>
        </is>
      </c>
      <c r="S603" s="41" t="n"/>
    </row>
    <row r="604" ht="20" customHeight="1">
      <c r="A604" s="34" t="inlineStr">
        <is>
          <t>00065043133</t>
        </is>
      </c>
      <c r="B604" s="35" t="inlineStr">
        <is>
          <t>SYSTANE PRESERVATIVE FREE 0.4-0.3 % OPHTHALMIC SOLUTION</t>
        </is>
      </c>
      <c r="C604" s="34" t="n">
        <v>30</v>
      </c>
      <c r="D604" s="36" t="n">
        <v>5</v>
      </c>
      <c r="E604" s="36" t="n">
        <v>5</v>
      </c>
      <c r="F604" s="36" t="n">
        <v>5</v>
      </c>
      <c r="G604" s="36" t="n">
        <v>5</v>
      </c>
      <c r="H604" s="36" t="n">
        <v>5</v>
      </c>
      <c r="I604" s="36" t="n">
        <v>5</v>
      </c>
      <c r="J604" s="36" t="n">
        <v>-7</v>
      </c>
      <c r="K604" s="36" t="n">
        <v>5</v>
      </c>
      <c r="L604" s="36" t="n">
        <v>5</v>
      </c>
      <c r="M604" s="36" t="n">
        <v>5</v>
      </c>
      <c r="N604" s="37" t="n">
        <v>7</v>
      </c>
      <c r="O604" s="38" t="inlineStr">
        <is>
          <t> </t>
        </is>
      </c>
      <c r="P604" s="39" t="n">
        <v>12</v>
      </c>
      <c r="Q604" s="40" t="n">
        <v>84</v>
      </c>
      <c r="R604" s="41" t="inlineStr">
        <is>
          <t>OTC Drug</t>
        </is>
      </c>
      <c r="S604" s="41" t="n"/>
    </row>
    <row r="605" ht="20" customHeight="1">
      <c r="A605" s="34" t="inlineStr">
        <is>
          <t>00168041730</t>
        </is>
      </c>
      <c r="B605" s="35" t="inlineStr">
        <is>
          <t>TACROLIMUS 0.03 % EXTERNAL OINTMENT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0</v>
      </c>
      <c r="J605" s="36" t="n">
        <v>-1</v>
      </c>
      <c r="K605" s="36" t="n">
        <v>0</v>
      </c>
      <c r="L605" s="36" t="n">
        <v>0</v>
      </c>
      <c r="M605" s="36" t="n">
        <v>0</v>
      </c>
      <c r="N605" s="37" t="n">
        <v>1</v>
      </c>
      <c r="O605" s="38" t="inlineStr">
        <is>
          <t> </t>
        </is>
      </c>
      <c r="P605" s="39" t="n">
        <v>0</v>
      </c>
      <c r="Q605" s="40" t="n">
        <v>0</v>
      </c>
      <c r="R605" s="41" t="inlineStr">
        <is>
          <t>Unclassified</t>
        </is>
      </c>
      <c r="S605" s="41" t="n"/>
    </row>
    <row r="606" ht="20" customHeight="1">
      <c r="A606" s="34" t="inlineStr">
        <is>
          <t>00168041630</t>
        </is>
      </c>
      <c r="B606" s="35" t="inlineStr">
        <is>
          <t>TACROLIMUS 0.1 % OINTMENT</t>
        </is>
      </c>
      <c r="C606" s="34" t="n">
        <v>30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-1</v>
      </c>
      <c r="K606" s="36" t="n">
        <v>0</v>
      </c>
      <c r="L606" s="36" t="n">
        <v>0</v>
      </c>
      <c r="M606" s="36" t="n">
        <v>0</v>
      </c>
      <c r="N606" s="37" t="n">
        <v>2</v>
      </c>
      <c r="O606" s="38" t="inlineStr">
        <is>
          <t> </t>
        </is>
      </c>
      <c r="P606" s="39" t="n">
        <v>0</v>
      </c>
      <c r="Q606" s="40" t="n">
        <v>0</v>
      </c>
      <c r="R606" s="41" t="inlineStr">
        <is>
          <t>Unclassified</t>
        </is>
      </c>
      <c r="S606" s="41" t="n"/>
    </row>
    <row r="607" ht="20" customHeight="1">
      <c r="A607" s="34" t="inlineStr">
        <is>
          <t>47335001183</t>
        </is>
      </c>
      <c r="B607" s="35" t="inlineStr">
        <is>
          <t>TADALAFIL 10MG TABLET</t>
        </is>
      </c>
      <c r="C607" s="34" t="n">
        <v>30</v>
      </c>
      <c r="D607" s="36" t="n">
        <v>0</v>
      </c>
      <c r="E607" s="36" t="n">
        <v>0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-0.2</v>
      </c>
      <c r="L607" s="36" t="n">
        <v>0</v>
      </c>
      <c r="M607" s="36" t="n">
        <v>0</v>
      </c>
      <c r="N607" s="37" t="n">
        <v>0.2</v>
      </c>
      <c r="O607" s="38" t="inlineStr">
        <is>
          <t> </t>
        </is>
      </c>
      <c r="P607" s="39" t="n">
        <v>0</v>
      </c>
      <c r="Q607" s="40" t="n">
        <v>0</v>
      </c>
      <c r="R607" s="41" t="inlineStr">
        <is>
          <t>Unclassified</t>
        </is>
      </c>
      <c r="S607" s="41" t="n"/>
    </row>
    <row r="608" ht="20" customHeight="1">
      <c r="A608" s="34" t="inlineStr">
        <is>
          <t>65862059805</t>
        </is>
      </c>
      <c r="B608" s="35" t="inlineStr">
        <is>
          <t>TAMSULOSIN 0.4MG CAPSULE</t>
        </is>
      </c>
      <c r="C608" s="34" t="n">
        <v>500</v>
      </c>
      <c r="D608" s="36" t="n">
        <v>0</v>
      </c>
      <c r="E608" s="36" t="n">
        <v>0</v>
      </c>
      <c r="F608" s="36" t="n">
        <v>-2.76</v>
      </c>
      <c r="G608" s="36" t="n">
        <v>-1.15</v>
      </c>
      <c r="H608" s="36" t="n">
        <v>0</v>
      </c>
      <c r="I608" s="36" t="n">
        <v>-0.6</v>
      </c>
      <c r="J608" s="36" t="n">
        <v>-0.42</v>
      </c>
      <c r="K608" s="36" t="n">
        <v>0</v>
      </c>
      <c r="L608" s="36" t="n">
        <v>0</v>
      </c>
      <c r="M608" s="36" t="n">
        <v>0</v>
      </c>
      <c r="N608" s="37" t="n">
        <v>2.76</v>
      </c>
      <c r="O608" s="38" t="inlineStr">
        <is>
          <t> </t>
        </is>
      </c>
      <c r="P608" s="39" t="n">
        <v>0</v>
      </c>
      <c r="Q608" s="40" t="n">
        <v>0</v>
      </c>
      <c r="R608" s="41" t="inlineStr">
        <is>
          <t>Unclassified</t>
        </is>
      </c>
      <c r="S608" s="41" t="n"/>
    </row>
    <row r="609" ht="20" customHeight="1">
      <c r="A609" s="34" t="inlineStr">
        <is>
          <t>23155073601</t>
        </is>
      </c>
      <c r="B609" s="35" t="inlineStr">
        <is>
          <t>TERAZOSIN 2MG CAPSULE</t>
        </is>
      </c>
      <c r="C609" s="34" t="n">
        <v>100</v>
      </c>
      <c r="D609" s="36" t="n">
        <v>0</v>
      </c>
      <c r="E609" s="36" t="n">
        <v>0</v>
      </c>
      <c r="F609" s="36" t="n">
        <v>-0.3</v>
      </c>
      <c r="G609" s="36" t="n">
        <v>0</v>
      </c>
      <c r="H609" s="36" t="n">
        <v>0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7" t="n">
        <v>0.3</v>
      </c>
      <c r="O609" s="38" t="inlineStr">
        <is>
          <t> </t>
        </is>
      </c>
      <c r="P609" s="39" t="n">
        <v>0</v>
      </c>
      <c r="Q609" s="40" t="n">
        <v>0</v>
      </c>
      <c r="R609" s="41" t="inlineStr">
        <is>
          <t>Unclassified</t>
        </is>
      </c>
      <c r="S609" s="41" t="n"/>
    </row>
    <row r="610" ht="20" customHeight="1">
      <c r="A610" s="34" t="inlineStr">
        <is>
          <t>24689088201</t>
        </is>
      </c>
      <c r="B610" s="35" t="inlineStr">
        <is>
          <t>TERAZOSIN HCL 5 MG ORAL CAPSULE</t>
        </is>
      </c>
      <c r="C610" s="34" t="n">
        <v>100</v>
      </c>
      <c r="D610" s="36" t="n">
        <v>0</v>
      </c>
      <c r="E610" s="36" t="n">
        <v>0</v>
      </c>
      <c r="F610" s="36" t="n">
        <v>-0.6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7" t="n">
        <v>0.6</v>
      </c>
      <c r="O610" s="38" t="inlineStr">
        <is>
          <t> </t>
        </is>
      </c>
      <c r="P610" s="39" t="n">
        <v>0</v>
      </c>
      <c r="Q610" s="40" t="n">
        <v>0</v>
      </c>
      <c r="R610" s="41" t="inlineStr">
        <is>
          <t>Unclassified</t>
        </is>
      </c>
      <c r="S610" s="41" t="n"/>
    </row>
    <row r="611" ht="20" customHeight="1">
      <c r="A611" s="34" t="inlineStr">
        <is>
          <t>51672208002</t>
        </is>
      </c>
      <c r="B611" s="35" t="inlineStr">
        <is>
          <t>TERBINAFINE HCL 1% CREAM</t>
        </is>
      </c>
      <c r="C611" s="34" t="n">
        <v>30</v>
      </c>
      <c r="D611" s="36" t="n">
        <v>0</v>
      </c>
      <c r="E611" s="36" t="n">
        <v>0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-1</v>
      </c>
      <c r="K611" s="36" t="n">
        <v>0</v>
      </c>
      <c r="L611" s="36" t="n">
        <v>0</v>
      </c>
      <c r="M611" s="36" t="n">
        <v>0</v>
      </c>
      <c r="N611" s="37" t="n">
        <v>1</v>
      </c>
      <c r="O611" s="38" t="inlineStr">
        <is>
          <t> </t>
        </is>
      </c>
      <c r="P611" s="39" t="n">
        <v>0</v>
      </c>
      <c r="Q611" s="40" t="n">
        <v>0</v>
      </c>
      <c r="R611" s="41" t="inlineStr">
        <is>
          <t>Unclassified</t>
        </is>
      </c>
      <c r="S611" s="41" t="n"/>
    </row>
    <row r="612" ht="20" customHeight="1">
      <c r="A612" s="34" t="inlineStr">
        <is>
          <t>51672130406</t>
        </is>
      </c>
      <c r="B612" s="35" t="inlineStr">
        <is>
          <t>TERCONAZOLE 0.4% CREAM</t>
        </is>
      </c>
      <c r="C612" s="34" t="n">
        <v>45</v>
      </c>
      <c r="D612" s="36" t="n">
        <v>0</v>
      </c>
      <c r="E612" s="36" t="n">
        <v>0</v>
      </c>
      <c r="F612" s="36" t="n">
        <v>-1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6" t="n">
        <v>0</v>
      </c>
      <c r="M612" s="36" t="n">
        <v>0</v>
      </c>
      <c r="N612" s="37" t="n">
        <v>1</v>
      </c>
      <c r="O612" s="38" t="inlineStr">
        <is>
          <t> </t>
        </is>
      </c>
      <c r="P612" s="39" t="n">
        <v>0</v>
      </c>
      <c r="Q612" s="40" t="n">
        <v>0</v>
      </c>
      <c r="R612" s="41" t="inlineStr">
        <is>
          <t>Unclassified</t>
        </is>
      </c>
      <c r="S612" s="41" t="n"/>
    </row>
    <row r="613" ht="20" customHeight="1">
      <c r="A613" s="34" t="inlineStr">
        <is>
          <t>00480268806</t>
        </is>
      </c>
      <c r="B613" s="35" t="inlineStr">
        <is>
          <t>TICAGRELOR 60 MG ORAL TABLET</t>
        </is>
      </c>
      <c r="C613" s="34" t="n">
        <v>60</v>
      </c>
      <c r="D613" s="36" t="n">
        <v>0</v>
      </c>
      <c r="E613" s="36" t="n">
        <v>0</v>
      </c>
      <c r="F613" s="36" t="n">
        <v>-1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7" t="n">
        <v>1</v>
      </c>
      <c r="O613" s="38" t="inlineStr">
        <is>
          <t> </t>
        </is>
      </c>
      <c r="P613" s="39" t="n">
        <v>0</v>
      </c>
      <c r="Q613" s="40" t="n">
        <v>0</v>
      </c>
      <c r="R613" s="41" t="inlineStr">
        <is>
          <t>Unclassified</t>
        </is>
      </c>
      <c r="S613" s="41" t="n"/>
    </row>
    <row r="614" ht="20" customHeight="1">
      <c r="A614" s="34" t="inlineStr">
        <is>
          <t>64980051401</t>
        </is>
      </c>
      <c r="B614" s="35" t="inlineStr">
        <is>
          <t>TIMOLOL MALEATE 0.5% SOLUTION</t>
        </is>
      </c>
      <c r="C614" s="34" t="n">
        <v>10</v>
      </c>
      <c r="D614" s="36" t="n">
        <v>0</v>
      </c>
      <c r="E614" s="36" t="n">
        <v>0</v>
      </c>
      <c r="F614" s="36" t="n">
        <v>-1</v>
      </c>
      <c r="G614" s="36" t="n">
        <v>0</v>
      </c>
      <c r="H614" s="36" t="n">
        <v>0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7" t="n">
        <v>1</v>
      </c>
      <c r="O614" s="38" t="inlineStr">
        <is>
          <t> </t>
        </is>
      </c>
      <c r="P614" s="39" t="n">
        <v>0</v>
      </c>
      <c r="Q614" s="40" t="n">
        <v>0</v>
      </c>
      <c r="R614" s="41" t="inlineStr">
        <is>
          <t>Unclassified</t>
        </is>
      </c>
      <c r="S614" s="41" t="n"/>
    </row>
    <row r="615" ht="20" customHeight="1">
      <c r="A615" s="34" t="inlineStr">
        <is>
          <t>57664050289</t>
        </is>
      </c>
      <c r="B615" s="35" t="inlineStr">
        <is>
          <t>TIZANIDINE 2MG TABLET</t>
        </is>
      </c>
      <c r="C615" s="34" t="n">
        <v>150</v>
      </c>
      <c r="D615" s="36" t="n">
        <v>0</v>
      </c>
      <c r="E615" s="36" t="n">
        <v>0</v>
      </c>
      <c r="F615" s="36" t="n">
        <v>-0.6</v>
      </c>
      <c r="G615" s="36" t="n">
        <v>-0.2</v>
      </c>
      <c r="H615" s="36" t="n">
        <v>0</v>
      </c>
      <c r="I615" s="36" t="n">
        <v>0</v>
      </c>
      <c r="J615" s="36" t="n">
        <v>-1</v>
      </c>
      <c r="K615" s="36" t="n">
        <v>0</v>
      </c>
      <c r="L615" s="36" t="n">
        <v>0</v>
      </c>
      <c r="M615" s="36" t="n">
        <v>0</v>
      </c>
      <c r="N615" s="37" t="n">
        <v>1</v>
      </c>
      <c r="O615" s="38" t="inlineStr">
        <is>
          <t> </t>
        </is>
      </c>
      <c r="P615" s="39" t="n">
        <v>0</v>
      </c>
      <c r="Q615" s="40" t="n">
        <v>0</v>
      </c>
      <c r="R615" s="41" t="inlineStr">
        <is>
          <t>Unclassified</t>
        </is>
      </c>
      <c r="S615" s="41" t="n"/>
    </row>
    <row r="616" ht="20" customHeight="1">
      <c r="A616" s="34" t="inlineStr">
        <is>
          <t>57664050318</t>
        </is>
      </c>
      <c r="B616" s="35" t="inlineStr">
        <is>
          <t>TIZANIDINE 4MG TABLET</t>
        </is>
      </c>
      <c r="C616" s="34" t="n">
        <v>1000</v>
      </c>
      <c r="D616" s="36" t="n">
        <v>0</v>
      </c>
      <c r="E616" s="36" t="n">
        <v>0</v>
      </c>
      <c r="F616" s="36" t="n">
        <v>-0.06</v>
      </c>
      <c r="G616" s="36" t="n">
        <v>0</v>
      </c>
      <c r="H616" s="36" t="n">
        <v>0</v>
      </c>
      <c r="I616" s="36" t="n">
        <v>-0.03</v>
      </c>
      <c r="J616" s="36" t="n">
        <v>-0.03</v>
      </c>
      <c r="K616" s="36" t="n">
        <v>0</v>
      </c>
      <c r="L616" s="36" t="n">
        <v>0</v>
      </c>
      <c r="M616" s="36" t="n">
        <v>0</v>
      </c>
      <c r="N616" s="37" t="n">
        <v>0.06</v>
      </c>
      <c r="O616" s="38" t="inlineStr">
        <is>
          <t> </t>
        </is>
      </c>
      <c r="P616" s="39" t="n">
        <v>0</v>
      </c>
      <c r="Q616" s="40" t="n">
        <v>0</v>
      </c>
      <c r="R616" s="41" t="inlineStr">
        <is>
          <t>Unclassified</t>
        </is>
      </c>
      <c r="S616" s="41" t="n"/>
    </row>
    <row r="617" ht="20" customHeight="1">
      <c r="A617" s="34" t="inlineStr">
        <is>
          <t>68382013805</t>
        </is>
      </c>
      <c r="B617" s="35" t="inlineStr">
        <is>
          <t>TOPIRAMATE 25MG TABLET</t>
        </is>
      </c>
      <c r="C617" s="34" t="n">
        <v>500</v>
      </c>
      <c r="D617" s="36" t="n">
        <v>0</v>
      </c>
      <c r="E617" s="36" t="n">
        <v>0</v>
      </c>
      <c r="F617" s="36" t="n">
        <v>-0.06</v>
      </c>
      <c r="G617" s="36" t="n">
        <v>0</v>
      </c>
      <c r="H617" s="36" t="n">
        <v>0</v>
      </c>
      <c r="I617" s="36" t="n">
        <v>0</v>
      </c>
      <c r="J617" s="36" t="n">
        <v>-0.18</v>
      </c>
      <c r="K617" s="36" t="n">
        <v>0</v>
      </c>
      <c r="L617" s="36" t="n">
        <v>0</v>
      </c>
      <c r="M617" s="36" t="n">
        <v>0</v>
      </c>
      <c r="N617" s="37" t="n">
        <v>0.18</v>
      </c>
      <c r="O617" s="38" t="inlineStr">
        <is>
          <t> </t>
        </is>
      </c>
      <c r="P617" s="39" t="n">
        <v>0</v>
      </c>
      <c r="Q617" s="40" t="n">
        <v>0</v>
      </c>
      <c r="R617" s="41" t="inlineStr">
        <is>
          <t>Unclassified</t>
        </is>
      </c>
      <c r="S617" s="41" t="n"/>
    </row>
    <row r="618" ht="20" customHeight="1">
      <c r="A618" s="34" t="inlineStr">
        <is>
          <t>68382013905</t>
        </is>
      </c>
      <c r="B618" s="35" t="inlineStr">
        <is>
          <t xml:space="preserve">TOPIRAMATE 50MG TAB </t>
        </is>
      </c>
      <c r="C618" s="34" t="n">
        <v>500</v>
      </c>
      <c r="D618" s="36" t="n">
        <v>0</v>
      </c>
      <c r="E618" s="36" t="n">
        <v>0</v>
      </c>
      <c r="F618" s="36" t="n">
        <v>-0.24</v>
      </c>
      <c r="G618" s="36" t="n">
        <v>0</v>
      </c>
      <c r="H618" s="36" t="n">
        <v>0</v>
      </c>
      <c r="I618" s="36" t="n">
        <v>0</v>
      </c>
      <c r="J618" s="36" t="n">
        <v>-0.18</v>
      </c>
      <c r="K618" s="36" t="n">
        <v>0</v>
      </c>
      <c r="L618" s="36" t="n">
        <v>0</v>
      </c>
      <c r="M618" s="36" t="n">
        <v>0</v>
      </c>
      <c r="N618" s="37" t="n">
        <v>0.24</v>
      </c>
      <c r="O618" s="38" t="inlineStr">
        <is>
          <t> </t>
        </is>
      </c>
      <c r="P618" s="39" t="n">
        <v>0</v>
      </c>
      <c r="Q618" s="40" t="n">
        <v>0</v>
      </c>
      <c r="R618" s="41" t="inlineStr">
        <is>
          <t>Unclassified</t>
        </is>
      </c>
      <c r="S618" s="41" t="n"/>
    </row>
    <row r="619" ht="20" customHeight="1">
      <c r="A619" s="34" t="inlineStr">
        <is>
          <t>31722053001</t>
        </is>
      </c>
      <c r="B619" s="35" t="inlineStr">
        <is>
          <t>TORSEMIDE 10MG TABLET</t>
        </is>
      </c>
      <c r="C619" s="34" t="n">
        <v>100</v>
      </c>
      <c r="D619" s="36" t="n">
        <v>0</v>
      </c>
      <c r="E619" s="36" t="n">
        <v>0</v>
      </c>
      <c r="F619" s="36" t="n">
        <v>-0.6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7" t="n">
        <v>0.6</v>
      </c>
      <c r="O619" s="38" t="inlineStr">
        <is>
          <t> </t>
        </is>
      </c>
      <c r="P619" s="39" t="n">
        <v>0</v>
      </c>
      <c r="Q619" s="40" t="n">
        <v>0</v>
      </c>
      <c r="R619" s="41" t="inlineStr">
        <is>
          <t>Unclassified</t>
        </is>
      </c>
      <c r="S619" s="41" t="n"/>
    </row>
    <row r="620" ht="20" customHeight="1">
      <c r="A620" s="34" t="inlineStr">
        <is>
          <t>50111091703</t>
        </is>
      </c>
      <c r="B620" s="35" t="inlineStr">
        <is>
          <t>TORSEMIDE 20MG TABLET</t>
        </is>
      </c>
      <c r="C620" s="34" t="n">
        <v>1000</v>
      </c>
      <c r="D620" s="36" t="n">
        <v>0</v>
      </c>
      <c r="E620" s="36" t="n">
        <v>0</v>
      </c>
      <c r="F620" s="36" t="n">
        <v>-0.33</v>
      </c>
      <c r="G620" s="36" t="n">
        <v>-0.09</v>
      </c>
      <c r="H620" s="36" t="n">
        <v>0</v>
      </c>
      <c r="I620" s="36" t="n">
        <v>0</v>
      </c>
      <c r="J620" s="36" t="n">
        <v>0</v>
      </c>
      <c r="K620" s="36" t="n">
        <v>0</v>
      </c>
      <c r="L620" s="36" t="n">
        <v>0</v>
      </c>
      <c r="M620" s="36" t="n">
        <v>0</v>
      </c>
      <c r="N620" s="37" t="n">
        <v>0.33</v>
      </c>
      <c r="O620" s="38" t="inlineStr">
        <is>
          <t> </t>
        </is>
      </c>
      <c r="P620" s="39" t="n">
        <v>0</v>
      </c>
      <c r="Q620" s="40" t="n">
        <v>0</v>
      </c>
      <c r="R620" s="41" t="inlineStr">
        <is>
          <t>Unclassified</t>
        </is>
      </c>
      <c r="S620" s="41" t="n"/>
    </row>
    <row r="621" ht="20" customHeight="1">
      <c r="A621" s="34" t="inlineStr">
        <is>
          <t>60219234805</t>
        </is>
      </c>
      <c r="B621" s="35" t="inlineStr">
        <is>
          <t>TRAMADOL 50 MG TABLET</t>
        </is>
      </c>
      <c r="C621" s="34" t="n">
        <v>500</v>
      </c>
      <c r="D621" s="36" t="n">
        <v>0</v>
      </c>
      <c r="E621" s="36" t="n">
        <v>0</v>
      </c>
      <c r="F621" s="36" t="n">
        <v>-0.08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7" t="n">
        <v>0.08</v>
      </c>
      <c r="O621" s="38" t="inlineStr">
        <is>
          <t> </t>
        </is>
      </c>
      <c r="P621" s="39" t="n">
        <v>0</v>
      </c>
      <c r="Q621" s="40" t="n">
        <v>0</v>
      </c>
      <c r="R621" s="41" t="inlineStr">
        <is>
          <t>Unclassified</t>
        </is>
      </c>
      <c r="S621" s="41" t="n"/>
    </row>
    <row r="622" ht="20" customHeight="1">
      <c r="A622" s="34" t="inlineStr">
        <is>
          <t>68180069806</t>
        </is>
      </c>
      <c r="B622" s="35" t="inlineStr">
        <is>
          <t>TRAMADOL HCL ER 200MG TABLET</t>
        </is>
      </c>
      <c r="C622" s="34" t="n">
        <v>30</v>
      </c>
      <c r="D622" s="36" t="n">
        <v>0</v>
      </c>
      <c r="E622" s="36" t="n">
        <v>0</v>
      </c>
      <c r="F622" s="36" t="n">
        <v>0</v>
      </c>
      <c r="G622" s="36" t="n">
        <v>-1</v>
      </c>
      <c r="H622" s="36" t="n">
        <v>0</v>
      </c>
      <c r="I622" s="36" t="n">
        <v>0</v>
      </c>
      <c r="J622" s="36" t="n">
        <v>0</v>
      </c>
      <c r="K622" s="36" t="n">
        <v>0</v>
      </c>
      <c r="L622" s="36" t="n">
        <v>0</v>
      </c>
      <c r="M622" s="36" t="n">
        <v>0</v>
      </c>
      <c r="N622" s="37" t="n">
        <v>1</v>
      </c>
      <c r="O622" s="38" t="inlineStr">
        <is>
          <t> </t>
        </is>
      </c>
      <c r="P622" s="39" t="n">
        <v>0</v>
      </c>
      <c r="Q622" s="40" t="n">
        <v>0</v>
      </c>
      <c r="R622" s="41" t="inlineStr">
        <is>
          <t>Unclassified</t>
        </is>
      </c>
      <c r="S622" s="41" t="n"/>
    </row>
    <row r="623" ht="20" customHeight="1">
      <c r="A623" s="34" t="inlineStr">
        <is>
          <t>69918030130</t>
        </is>
      </c>
      <c r="B623" s="35" t="inlineStr">
        <is>
          <t>TRANEXAMIC ACID 650MG TABLET</t>
        </is>
      </c>
      <c r="C623" s="34" t="n">
        <v>30</v>
      </c>
      <c r="D623" s="36" t="n">
        <v>0</v>
      </c>
      <c r="E623" s="36" t="n">
        <v>0</v>
      </c>
      <c r="F623" s="36" t="n">
        <v>-4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7" t="n">
        <v>4</v>
      </c>
      <c r="O623" s="38" t="inlineStr">
        <is>
          <t> </t>
        </is>
      </c>
      <c r="P623" s="39" t="n">
        <v>0</v>
      </c>
      <c r="Q623" s="40" t="n">
        <v>0</v>
      </c>
      <c r="R623" s="41" t="inlineStr">
        <is>
          <t>Unclassified</t>
        </is>
      </c>
      <c r="S623" s="41" t="n"/>
    </row>
    <row r="624" ht="20" customHeight="1">
      <c r="A624" s="34" t="inlineStr">
        <is>
          <t>50111056103</t>
        </is>
      </c>
      <c r="B624" s="35" t="inlineStr">
        <is>
          <t>TRAZODONE 100MG TABLET</t>
        </is>
      </c>
      <c r="C624" s="34" t="n">
        <v>1000</v>
      </c>
      <c r="D624" s="36" t="n">
        <v>0</v>
      </c>
      <c r="E624" s="36" t="n">
        <v>0</v>
      </c>
      <c r="F624" s="36" t="n">
        <v>-0.12</v>
      </c>
      <c r="G624" s="36" t="n">
        <v>-0.04</v>
      </c>
      <c r="H624" s="36" t="n">
        <v>0</v>
      </c>
      <c r="I624" s="36" t="n">
        <v>0</v>
      </c>
      <c r="J624" s="36" t="n">
        <v>-0.09</v>
      </c>
      <c r="K624" s="36" t="n">
        <v>0</v>
      </c>
      <c r="L624" s="36" t="n">
        <v>0</v>
      </c>
      <c r="M624" s="36" t="n">
        <v>0</v>
      </c>
      <c r="N624" s="37" t="n">
        <v>0.12</v>
      </c>
      <c r="O624" s="38" t="inlineStr">
        <is>
          <t> </t>
        </is>
      </c>
      <c r="P624" s="39" t="n">
        <v>0</v>
      </c>
      <c r="Q624" s="40" t="n">
        <v>0</v>
      </c>
      <c r="R624" s="41" t="inlineStr">
        <is>
          <t>Unclassified</t>
        </is>
      </c>
      <c r="S624" s="41" t="n"/>
    </row>
    <row r="625" ht="20" customHeight="1">
      <c r="A625" s="34" t="inlineStr">
        <is>
          <t>50111045002</t>
        </is>
      </c>
      <c r="B625" s="35" t="inlineStr">
        <is>
          <t>TRAZODONE 150MG TABLET</t>
        </is>
      </c>
      <c r="C625" s="34" t="n">
        <v>500</v>
      </c>
      <c r="D625" s="36" t="n">
        <v>0</v>
      </c>
      <c r="E625" s="36" t="n">
        <v>0</v>
      </c>
      <c r="F625" s="36" t="n">
        <v>-0.18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7" t="n">
        <v>0.18</v>
      </c>
      <c r="O625" s="38" t="inlineStr">
        <is>
          <t> </t>
        </is>
      </c>
      <c r="P625" s="39" t="n">
        <v>0</v>
      </c>
      <c r="Q625" s="40" t="n">
        <v>0</v>
      </c>
      <c r="R625" s="41" t="inlineStr">
        <is>
          <t>Unclassified</t>
        </is>
      </c>
      <c r="S625" s="41" t="n"/>
    </row>
    <row r="626" ht="20" customHeight="1">
      <c r="A626" s="34" t="inlineStr">
        <is>
          <t>50111056003</t>
        </is>
      </c>
      <c r="B626" s="35" t="inlineStr">
        <is>
          <t>TRAZODONE 50MG TABLET</t>
        </is>
      </c>
      <c r="C626" s="34" t="n">
        <v>1000</v>
      </c>
      <c r="D626" s="36" t="n">
        <v>0</v>
      </c>
      <c r="E626" s="36" t="n">
        <v>0</v>
      </c>
      <c r="F626" s="36" t="n">
        <v>-0.2</v>
      </c>
      <c r="G626" s="36" t="n">
        <v>0</v>
      </c>
      <c r="H626" s="36" t="n">
        <v>0</v>
      </c>
      <c r="I626" s="36" t="n">
        <v>-0.03</v>
      </c>
      <c r="J626" s="36" t="n">
        <v>-0.14</v>
      </c>
      <c r="K626" s="36" t="n">
        <v>-0.03</v>
      </c>
      <c r="L626" s="36" t="n">
        <v>0</v>
      </c>
      <c r="M626" s="36" t="n">
        <v>0</v>
      </c>
      <c r="N626" s="37" t="n">
        <v>0.2</v>
      </c>
      <c r="O626" s="38" t="inlineStr">
        <is>
          <t> </t>
        </is>
      </c>
      <c r="P626" s="39" t="n">
        <v>0</v>
      </c>
      <c r="Q626" s="40" t="n">
        <v>0</v>
      </c>
      <c r="R626" s="41" t="inlineStr">
        <is>
          <t>Unclassified</t>
        </is>
      </c>
      <c r="S626" s="41" t="n"/>
    </row>
    <row r="627" ht="20" customHeight="1">
      <c r="A627" s="34" t="inlineStr">
        <is>
          <t>00173088710</t>
        </is>
      </c>
      <c r="B627" s="35" t="inlineStr">
        <is>
          <t>TRELEGY ELLIPTA 100-62.5-25MCG/INH AEROSOL</t>
        </is>
      </c>
      <c r="C627" s="34" t="n">
        <v>60</v>
      </c>
      <c r="D627" s="36" t="n">
        <v>0</v>
      </c>
      <c r="E627" s="36" t="n">
        <v>0</v>
      </c>
      <c r="F627" s="36" t="n">
        <v>-2</v>
      </c>
      <c r="G627" s="36" t="n">
        <v>0</v>
      </c>
      <c r="H627" s="36" t="n">
        <v>0</v>
      </c>
      <c r="I627" s="36" t="n">
        <v>-3</v>
      </c>
      <c r="J627" s="36" t="n">
        <v>-3</v>
      </c>
      <c r="K627" s="36" t="n">
        <v>0</v>
      </c>
      <c r="L627" s="36" t="n">
        <v>0</v>
      </c>
      <c r="M627" s="36" t="n">
        <v>0</v>
      </c>
      <c r="N627" s="37" t="n">
        <v>3</v>
      </c>
      <c r="O627" s="38" t="inlineStr">
        <is>
          <t> </t>
        </is>
      </c>
      <c r="P627" s="39" t="n">
        <v>0</v>
      </c>
      <c r="Q627" s="40" t="n">
        <v>0</v>
      </c>
      <c r="R627" s="41" t="inlineStr">
        <is>
          <t>Unclassified</t>
        </is>
      </c>
      <c r="S627" s="41" t="n"/>
    </row>
    <row r="628" ht="20" customHeight="1">
      <c r="A628" s="34" t="inlineStr">
        <is>
          <t>00173089310</t>
        </is>
      </c>
      <c r="B628" s="35" t="inlineStr">
        <is>
          <t>TRELEGY ELLIPTA 200-62.5-25 MCG/ACT INHALATION AER</t>
        </is>
      </c>
      <c r="C628" s="34" t="n">
        <v>60</v>
      </c>
      <c r="D628" s="36" t="n">
        <v>0</v>
      </c>
      <c r="E628" s="36" t="n">
        <v>0</v>
      </c>
      <c r="F628" s="36" t="n">
        <v>-2</v>
      </c>
      <c r="G628" s="36" t="n">
        <v>0</v>
      </c>
      <c r="H628" s="36" t="n">
        <v>0</v>
      </c>
      <c r="I628" s="36" t="n">
        <v>0</v>
      </c>
      <c r="J628" s="36" t="n">
        <v>-1</v>
      </c>
      <c r="K628" s="36" t="n">
        <v>0</v>
      </c>
      <c r="L628" s="36" t="n">
        <v>0</v>
      </c>
      <c r="M628" s="36" t="n">
        <v>0</v>
      </c>
      <c r="N628" s="37" t="n">
        <v>2</v>
      </c>
      <c r="O628" s="38" t="inlineStr">
        <is>
          <t> </t>
        </is>
      </c>
      <c r="P628" s="39" t="n">
        <v>0</v>
      </c>
      <c r="Q628" s="40" t="n">
        <v>0</v>
      </c>
      <c r="R628" s="41" t="inlineStr">
        <is>
          <t>Unclassified</t>
        </is>
      </c>
      <c r="S628" s="41" t="n"/>
    </row>
    <row r="629" ht="20" customHeight="1">
      <c r="A629" s="34" t="inlineStr">
        <is>
          <t>51672140709</t>
        </is>
      </c>
      <c r="B629" s="35" t="inlineStr">
        <is>
          <t>TRETINOIN 0.025 % EXTERNAL CREAM</t>
        </is>
      </c>
      <c r="C629" s="34" t="n">
        <v>45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-2</v>
      </c>
      <c r="K629" s="36" t="n">
        <v>0</v>
      </c>
      <c r="L629" s="36" t="n">
        <v>0</v>
      </c>
      <c r="M629" s="36" t="n">
        <v>0</v>
      </c>
      <c r="N629" s="37" t="n">
        <v>2</v>
      </c>
      <c r="O629" s="38" t="inlineStr">
        <is>
          <t> </t>
        </is>
      </c>
      <c r="P629" s="39" t="n">
        <v>0</v>
      </c>
      <c r="Q629" s="40" t="n">
        <v>0</v>
      </c>
      <c r="R629" s="41" t="inlineStr">
        <is>
          <t>Unclassified</t>
        </is>
      </c>
      <c r="S629" s="41" t="n"/>
    </row>
    <row r="630" ht="20" customHeight="1">
      <c r="A630" s="34" t="inlineStr">
        <is>
          <t>00574220545</t>
        </is>
      </c>
      <c r="B630" s="35" t="inlineStr">
        <is>
          <t>TRETINOIN 0.05% CREAM</t>
        </is>
      </c>
      <c r="C630" s="34" t="n">
        <v>45</v>
      </c>
      <c r="D630" s="36" t="n">
        <v>0</v>
      </c>
      <c r="E630" s="36" t="n">
        <v>0</v>
      </c>
      <c r="F630" s="36" t="n">
        <v>-1</v>
      </c>
      <c r="G630" s="36" t="n">
        <v>0</v>
      </c>
      <c r="H630" s="36" t="n">
        <v>0</v>
      </c>
      <c r="I630" s="36" t="n">
        <v>0</v>
      </c>
      <c r="J630" s="36" t="n">
        <v>-1</v>
      </c>
      <c r="K630" s="36" t="n">
        <v>0</v>
      </c>
      <c r="L630" s="36" t="n">
        <v>0</v>
      </c>
      <c r="M630" s="36" t="n">
        <v>0</v>
      </c>
      <c r="N630" s="37" t="n">
        <v>1</v>
      </c>
      <c r="O630" s="38" t="inlineStr">
        <is>
          <t> </t>
        </is>
      </c>
      <c r="P630" s="39" t="n">
        <v>0</v>
      </c>
      <c r="Q630" s="40" t="n">
        <v>0</v>
      </c>
      <c r="R630" s="41" t="inlineStr">
        <is>
          <t>Unclassified</t>
        </is>
      </c>
      <c r="S630" s="41" t="n"/>
    </row>
    <row r="631" ht="20" customHeight="1">
      <c r="A631" s="34" t="inlineStr">
        <is>
          <t>33342033354</t>
        </is>
      </c>
      <c r="B631" s="35" t="inlineStr">
        <is>
          <t>TRIAMCINOLONE 0.1% EXTERNAL OINTMENT</t>
        </is>
      </c>
      <c r="C631" s="34" t="n">
        <v>454</v>
      </c>
      <c r="D631" s="36" t="n">
        <v>0</v>
      </c>
      <c r="E631" s="36" t="n">
        <v>0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-1</v>
      </c>
      <c r="K631" s="36" t="n">
        <v>0</v>
      </c>
      <c r="L631" s="36" t="n">
        <v>0</v>
      </c>
      <c r="M631" s="36" t="n">
        <v>0</v>
      </c>
      <c r="N631" s="37" t="n">
        <v>1</v>
      </c>
      <c r="O631" s="38" t="inlineStr">
        <is>
          <t> </t>
        </is>
      </c>
      <c r="P631" s="39" t="n">
        <v>0</v>
      </c>
      <c r="Q631" s="40" t="n">
        <v>0</v>
      </c>
      <c r="R631" s="41" t="inlineStr">
        <is>
          <t>Unclassified</t>
        </is>
      </c>
      <c r="S631" s="41" t="n"/>
    </row>
    <row r="632" ht="20" customHeight="1">
      <c r="A632" s="34" t="inlineStr">
        <is>
          <t>45802006336</t>
        </is>
      </c>
      <c r="B632" s="35" t="inlineStr">
        <is>
          <t xml:space="preserve">TRIAMCINOLONE ACETONIDE 0.025 % EXTERNAL CREAM </t>
        </is>
      </c>
      <c r="C632" s="34" t="n">
        <v>80</v>
      </c>
      <c r="D632" s="36" t="n">
        <v>0</v>
      </c>
      <c r="E632" s="36" t="n">
        <v>0</v>
      </c>
      <c r="F632" s="36" t="n">
        <v>-2</v>
      </c>
      <c r="G632" s="36" t="n">
        <v>0</v>
      </c>
      <c r="H632" s="36" t="n">
        <v>0</v>
      </c>
      <c r="I632" s="36" t="n">
        <v>0</v>
      </c>
      <c r="J632" s="36" t="n">
        <v>-2</v>
      </c>
      <c r="K632" s="36" t="n">
        <v>0</v>
      </c>
      <c r="L632" s="36" t="n">
        <v>0</v>
      </c>
      <c r="M632" s="36" t="n">
        <v>0</v>
      </c>
      <c r="N632" s="37" t="n">
        <v>2</v>
      </c>
      <c r="O632" s="38" t="inlineStr">
        <is>
          <t> </t>
        </is>
      </c>
      <c r="P632" s="39" t="n">
        <v>0</v>
      </c>
      <c r="Q632" s="40" t="n">
        <v>0</v>
      </c>
      <c r="R632" s="41" t="inlineStr">
        <is>
          <t>Unclassified</t>
        </is>
      </c>
      <c r="S632" s="41" t="n"/>
    </row>
    <row r="633" ht="20" customHeight="1">
      <c r="A633" s="34" t="inlineStr">
        <is>
          <t>70752013005</t>
        </is>
      </c>
      <c r="B633" s="35" t="inlineStr">
        <is>
          <t>TRIAMCINOLONE ACETONIDE 0.1 % EXTERNAL LOTION</t>
        </is>
      </c>
      <c r="C633" s="34" t="n">
        <v>60</v>
      </c>
      <c r="D633" s="36" t="n">
        <v>0</v>
      </c>
      <c r="E633" s="36" t="n">
        <v>0</v>
      </c>
      <c r="F633" s="36" t="n">
        <v>-1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7" t="n">
        <v>1</v>
      </c>
      <c r="O633" s="38" t="inlineStr">
        <is>
          <t> </t>
        </is>
      </c>
      <c r="P633" s="39" t="n">
        <v>0</v>
      </c>
      <c r="Q633" s="40" t="n">
        <v>0</v>
      </c>
      <c r="R633" s="41" t="inlineStr">
        <is>
          <t>Unclassified</t>
        </is>
      </c>
      <c r="S633" s="41" t="n"/>
    </row>
    <row r="634" ht="20" customHeight="1">
      <c r="A634" s="34" t="inlineStr">
        <is>
          <t>64980032005</t>
        </is>
      </c>
      <c r="B634" s="35" t="inlineStr">
        <is>
          <t>TRIAMCINOLONE ACETONIDE 0.1 % MOUTH/THROAT PASTE</t>
        </is>
      </c>
      <c r="C634" s="34" t="n">
        <v>5</v>
      </c>
      <c r="D634" s="36" t="n">
        <v>0</v>
      </c>
      <c r="E634" s="36" t="n">
        <v>0</v>
      </c>
      <c r="F634" s="36" t="n">
        <v>-1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7" t="n">
        <v>1</v>
      </c>
      <c r="O634" s="38" t="inlineStr">
        <is>
          <t> </t>
        </is>
      </c>
      <c r="P634" s="39" t="n">
        <v>0</v>
      </c>
      <c r="Q634" s="40" t="n">
        <v>0</v>
      </c>
      <c r="R634" s="41" t="inlineStr">
        <is>
          <t>Unclassified</t>
        </is>
      </c>
      <c r="S634" s="41" t="n"/>
    </row>
    <row r="635" ht="20" customHeight="1">
      <c r="A635" s="34" t="inlineStr">
        <is>
          <t>67877025145</t>
        </is>
      </c>
      <c r="B635" s="35" t="inlineStr">
        <is>
          <t>TRIAMCINOLONE ACETONIDE 0.1% CREAM</t>
        </is>
      </c>
      <c r="C635" s="34" t="n">
        <v>454</v>
      </c>
      <c r="D635" s="36" t="n">
        <v>0</v>
      </c>
      <c r="E635" s="36" t="n">
        <v>0</v>
      </c>
      <c r="F635" s="36" t="n">
        <v>-1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7" t="n">
        <v>1</v>
      </c>
      <c r="O635" s="38" t="inlineStr">
        <is>
          <t> </t>
        </is>
      </c>
      <c r="P635" s="39" t="n">
        <v>0</v>
      </c>
      <c r="Q635" s="40" t="n">
        <v>0</v>
      </c>
      <c r="R635" s="41" t="inlineStr">
        <is>
          <t>Unclassified</t>
        </is>
      </c>
      <c r="S635" s="41" t="n"/>
    </row>
    <row r="636" ht="20" customHeight="1">
      <c r="A636" s="34" t="inlineStr">
        <is>
          <t>00168000215</t>
        </is>
      </c>
      <c r="B636" s="35" t="inlineStr">
        <is>
          <t>TRIAMCINOLONE ACETONIDE 0.5 % CREAM</t>
        </is>
      </c>
      <c r="C636" s="34" t="n">
        <v>15</v>
      </c>
      <c r="D636" s="36" t="n">
        <v>0</v>
      </c>
      <c r="E636" s="36" t="n">
        <v>0</v>
      </c>
      <c r="F636" s="36" t="n">
        <v>-2</v>
      </c>
      <c r="G636" s="36" t="n">
        <v>0</v>
      </c>
      <c r="H636" s="36" t="n">
        <v>0</v>
      </c>
      <c r="I636" s="36" t="n">
        <v>0</v>
      </c>
      <c r="J636" s="36" t="n">
        <v>-1</v>
      </c>
      <c r="K636" s="36" t="n">
        <v>0</v>
      </c>
      <c r="L636" s="36" t="n">
        <v>0</v>
      </c>
      <c r="M636" s="36" t="n">
        <v>0</v>
      </c>
      <c r="N636" s="37" t="n">
        <v>2</v>
      </c>
      <c r="O636" s="38" t="inlineStr">
        <is>
          <t> </t>
        </is>
      </c>
      <c r="P636" s="39" t="n">
        <v>0</v>
      </c>
      <c r="Q636" s="40" t="n">
        <v>0</v>
      </c>
      <c r="R636" s="41" t="inlineStr">
        <is>
          <t>Unclassified</t>
        </is>
      </c>
      <c r="S636" s="41" t="n"/>
    </row>
    <row r="637" ht="20" customHeight="1">
      <c r="A637" s="34" t="inlineStr">
        <is>
          <t>60505265701</t>
        </is>
      </c>
      <c r="B637" s="35" t="inlineStr">
        <is>
          <t>TRIAMTERENE-HCTZ 75-50 MG ORAL TABLET</t>
        </is>
      </c>
      <c r="C637" s="34" t="n">
        <v>100</v>
      </c>
      <c r="D637" s="36" t="n">
        <v>0</v>
      </c>
      <c r="E637" s="36" t="n">
        <v>0</v>
      </c>
      <c r="F637" s="36" t="n">
        <v>-0.9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7" t="n">
        <v>0.9</v>
      </c>
      <c r="O637" s="38" t="inlineStr">
        <is>
          <t> </t>
        </is>
      </c>
      <c r="P637" s="39" t="n">
        <v>0</v>
      </c>
      <c r="Q637" s="40" t="n">
        <v>0</v>
      </c>
      <c r="R637" s="41" t="inlineStr">
        <is>
          <t>Unclassified</t>
        </is>
      </c>
      <c r="S637" s="41" t="n"/>
    </row>
    <row r="638" ht="20" customHeight="1">
      <c r="A638" s="34" t="inlineStr">
        <is>
          <t>64764073030</t>
        </is>
      </c>
      <c r="B638" s="35" t="inlineStr">
        <is>
          <t>TRINTELLIX 10MG TABLET</t>
        </is>
      </c>
      <c r="C638" s="34" t="n">
        <v>30</v>
      </c>
      <c r="D638" s="36" t="n">
        <v>0</v>
      </c>
      <c r="E638" s="36" t="n">
        <v>0</v>
      </c>
      <c r="F638" s="36" t="n">
        <v>-1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7" t="n">
        <v>1</v>
      </c>
      <c r="O638" s="38" t="inlineStr">
        <is>
          <t> </t>
        </is>
      </c>
      <c r="P638" s="39" t="n">
        <v>0</v>
      </c>
      <c r="Q638" s="40" t="n">
        <v>0</v>
      </c>
      <c r="R638" s="41" t="inlineStr">
        <is>
          <t>Unclassified</t>
        </is>
      </c>
      <c r="S638" s="41" t="n"/>
    </row>
    <row r="639" ht="20" customHeight="1">
      <c r="A639" s="34" t="inlineStr">
        <is>
          <t>23155053006</t>
        </is>
      </c>
      <c r="B639" s="35" t="inlineStr">
        <is>
          <t>TROSPIUM CHLORIDE 20 MG TABLET</t>
        </is>
      </c>
      <c r="C639" s="34" t="n">
        <v>60</v>
      </c>
      <c r="D639" s="36" t="n">
        <v>0</v>
      </c>
      <c r="E639" s="36" t="n">
        <v>0</v>
      </c>
      <c r="F639" s="36" t="n">
        <v>0</v>
      </c>
      <c r="G639" s="36" t="n">
        <v>0</v>
      </c>
      <c r="H639" s="36" t="n">
        <v>0</v>
      </c>
      <c r="I639" s="36" t="n">
        <v>-0.33</v>
      </c>
      <c r="J639" s="36" t="n">
        <v>0</v>
      </c>
      <c r="K639" s="36" t="n">
        <v>0</v>
      </c>
      <c r="L639" s="36" t="n">
        <v>0</v>
      </c>
      <c r="M639" s="36" t="n">
        <v>0</v>
      </c>
      <c r="N639" s="37" t="n">
        <v>0.33</v>
      </c>
      <c r="O639" s="38" t="inlineStr">
        <is>
          <t> </t>
        </is>
      </c>
      <c r="P639" s="39" t="n">
        <v>0</v>
      </c>
      <c r="Q639" s="40" t="n">
        <v>0</v>
      </c>
      <c r="R639" s="41" t="inlineStr">
        <is>
          <t>Unclassified</t>
        </is>
      </c>
      <c r="S639" s="41" t="n"/>
    </row>
    <row r="640" ht="20" customHeight="1">
      <c r="A640" s="34" t="inlineStr">
        <is>
          <t>00002223680</t>
        </is>
      </c>
      <c r="B640" s="35" t="inlineStr">
        <is>
          <t>TRULICITY 3MG/0.5ML INJECTION</t>
        </is>
      </c>
      <c r="C640" s="34" t="n">
        <v>2</v>
      </c>
      <c r="D640" s="36" t="n">
        <v>1</v>
      </c>
      <c r="E640" s="36" t="n">
        <v>1</v>
      </c>
      <c r="F640" s="36" t="n">
        <v>-4</v>
      </c>
      <c r="G640" s="36" t="n">
        <v>1</v>
      </c>
      <c r="H640" s="36" t="n">
        <v>1</v>
      </c>
      <c r="I640" s="36" t="n">
        <v>1</v>
      </c>
      <c r="J640" s="36" t="n">
        <v>1</v>
      </c>
      <c r="K640" s="36" t="n">
        <v>1</v>
      </c>
      <c r="L640" s="36" t="n">
        <v>1</v>
      </c>
      <c r="M640" s="36" t="n">
        <v>1</v>
      </c>
      <c r="N640" s="37" t="n">
        <v>4</v>
      </c>
      <c r="O640" s="38" t="inlineStr">
        <is>
          <t> </t>
        </is>
      </c>
      <c r="P640" s="39" t="n">
        <v>979</v>
      </c>
      <c r="Q640" s="40" t="n">
        <v>3916</v>
      </c>
      <c r="R640" s="41" t="inlineStr">
        <is>
          <t>Branded Drug</t>
        </is>
      </c>
      <c r="S640" s="41" t="n"/>
    </row>
    <row r="641" ht="20" customHeight="1">
      <c r="A641" s="34" t="inlineStr">
        <is>
          <t>69238154001</t>
        </is>
      </c>
      <c r="B641" s="35" t="inlineStr">
        <is>
          <t>URSODIOL 300MG CAPSULE</t>
        </is>
      </c>
      <c r="C641" s="34" t="n">
        <v>100</v>
      </c>
      <c r="D641" s="36" t="n">
        <v>0</v>
      </c>
      <c r="E641" s="36" t="n">
        <v>0</v>
      </c>
      <c r="F641" s="36" t="n">
        <v>0</v>
      </c>
      <c r="G641" s="36" t="n">
        <v>-0.9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7" t="n">
        <v>0.9</v>
      </c>
      <c r="O641" s="38" t="inlineStr">
        <is>
          <t> </t>
        </is>
      </c>
      <c r="P641" s="39" t="n">
        <v>0</v>
      </c>
      <c r="Q641" s="40" t="n">
        <v>0</v>
      </c>
      <c r="R641" s="41" t="inlineStr">
        <is>
          <t>Unclassified</t>
        </is>
      </c>
      <c r="S641" s="41" t="n"/>
    </row>
    <row r="642" ht="20" customHeight="1">
      <c r="A642" s="34" t="inlineStr">
        <is>
          <t>57237004390</t>
        </is>
      </c>
      <c r="B642" s="35" t="inlineStr">
        <is>
          <t>VALACYCLOVIR 1GM TABLET</t>
        </is>
      </c>
      <c r="C642" s="34" t="n">
        <v>90</v>
      </c>
      <c r="D642" s="36" t="n">
        <v>0</v>
      </c>
      <c r="E642" s="36" t="n">
        <v>0</v>
      </c>
      <c r="F642" s="36" t="n">
        <v>-1.16</v>
      </c>
      <c r="G642" s="36" t="n">
        <v>-0.22</v>
      </c>
      <c r="H642" s="36" t="n">
        <v>0</v>
      </c>
      <c r="I642" s="36" t="n">
        <v>0</v>
      </c>
      <c r="J642" s="36" t="n">
        <v>-1.5</v>
      </c>
      <c r="K642" s="36" t="n">
        <v>0</v>
      </c>
      <c r="L642" s="36" t="n">
        <v>0</v>
      </c>
      <c r="M642" s="36" t="n">
        <v>0</v>
      </c>
      <c r="N642" s="37" t="n">
        <v>1.5</v>
      </c>
      <c r="O642" s="38" t="inlineStr">
        <is>
          <t> </t>
        </is>
      </c>
      <c r="P642" s="39" t="n">
        <v>0</v>
      </c>
      <c r="Q642" s="40" t="n">
        <v>0</v>
      </c>
      <c r="R642" s="41" t="inlineStr">
        <is>
          <t>Unclassified</t>
        </is>
      </c>
      <c r="S642" s="41" t="n"/>
    </row>
    <row r="643" ht="20" customHeight="1">
      <c r="A643" s="34" t="inlineStr">
        <is>
          <t>57237004230</t>
        </is>
      </c>
      <c r="B643" s="35" t="inlineStr">
        <is>
          <t>VALACYCLOVIR 500MG TABLET</t>
        </is>
      </c>
      <c r="C643" s="34" t="n">
        <v>30</v>
      </c>
      <c r="D643" s="36" t="n">
        <v>0</v>
      </c>
      <c r="E643" s="36" t="n">
        <v>0</v>
      </c>
      <c r="F643" s="36" t="n">
        <v>-0.2</v>
      </c>
      <c r="G643" s="36" t="n">
        <v>0</v>
      </c>
      <c r="H643" s="36" t="n">
        <v>0</v>
      </c>
      <c r="I643" s="36" t="n">
        <v>0</v>
      </c>
      <c r="J643" s="36" t="n">
        <v>-1</v>
      </c>
      <c r="K643" s="36" t="n">
        <v>-1</v>
      </c>
      <c r="L643" s="36" t="n">
        <v>0</v>
      </c>
      <c r="M643" s="36" t="n">
        <v>0</v>
      </c>
      <c r="N643" s="37" t="n">
        <v>1</v>
      </c>
      <c r="O643" s="38" t="inlineStr">
        <is>
          <t> </t>
        </is>
      </c>
      <c r="P643" s="39" t="n">
        <v>0</v>
      </c>
      <c r="Q643" s="40" t="n">
        <v>0</v>
      </c>
      <c r="R643" s="41" t="inlineStr">
        <is>
          <t>Unclassified</t>
        </is>
      </c>
      <c r="S643" s="41" t="n"/>
    </row>
    <row r="644" ht="20" customHeight="1">
      <c r="A644" s="34" t="inlineStr">
        <is>
          <t>00378581577</t>
        </is>
      </c>
      <c r="B644" s="35" t="inlineStr">
        <is>
          <t>VALSARTAN 320MG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-1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7" t="n">
        <v>1</v>
      </c>
      <c r="O644" s="38" t="inlineStr">
        <is>
          <t> </t>
        </is>
      </c>
      <c r="P644" s="39" t="n">
        <v>0</v>
      </c>
      <c r="Q644" s="40" t="n">
        <v>0</v>
      </c>
      <c r="R644" s="41" t="inlineStr">
        <is>
          <t>Unclassified</t>
        </is>
      </c>
      <c r="S644" s="41" t="n"/>
    </row>
    <row r="645" ht="20" customHeight="1">
      <c r="A645" s="34" t="inlineStr">
        <is>
          <t>55111073130</t>
        </is>
      </c>
      <c r="B645" s="35" t="inlineStr">
        <is>
          <t>VALSARTAN 40MG TABLET</t>
        </is>
      </c>
      <c r="C645" s="34" t="n">
        <v>30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7" t="n">
        <v>3</v>
      </c>
      <c r="O645" s="38" t="inlineStr">
        <is>
          <t> </t>
        </is>
      </c>
      <c r="P645" s="39" t="n">
        <v>0</v>
      </c>
      <c r="Q645" s="40" t="n">
        <v>0</v>
      </c>
      <c r="R645" s="41" t="inlineStr">
        <is>
          <t>Unclassified</t>
        </is>
      </c>
      <c r="S645" s="41" t="n"/>
    </row>
    <row r="646" ht="20" customHeight="1">
      <c r="A646" s="34" t="inlineStr">
        <is>
          <t>00378581377</t>
        </is>
      </c>
      <c r="B646" s="35" t="inlineStr">
        <is>
          <t>VALSARTAN 80MG TABLET</t>
        </is>
      </c>
      <c r="C646" s="34" t="n">
        <v>90</v>
      </c>
      <c r="D646" s="36" t="n">
        <v>0</v>
      </c>
      <c r="E646" s="36" t="n">
        <v>0</v>
      </c>
      <c r="F646" s="36" t="n">
        <v>-1</v>
      </c>
      <c r="G646" s="36" t="n">
        <v>-0.67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7" t="n">
        <v>1</v>
      </c>
      <c r="O646" s="38" t="inlineStr">
        <is>
          <t> </t>
        </is>
      </c>
      <c r="P646" s="39" t="n">
        <v>0</v>
      </c>
      <c r="Q646" s="40" t="n">
        <v>0</v>
      </c>
      <c r="R646" s="41" t="inlineStr">
        <is>
          <t>Unclassified</t>
        </is>
      </c>
      <c r="S646" s="41" t="n"/>
    </row>
    <row r="647" ht="20" customHeight="1">
      <c r="A647" s="34" t="inlineStr">
        <is>
          <t>52937000340</t>
        </is>
      </c>
      <c r="B647" s="35" t="inlineStr">
        <is>
          <t>VASCEPA 0.5 GM ORAL CAPSULE</t>
        </is>
      </c>
      <c r="C647" s="34" t="n">
        <v>240</v>
      </c>
      <c r="D647" s="36" t="n">
        <v>0</v>
      </c>
      <c r="E647" s="36" t="n">
        <v>0</v>
      </c>
      <c r="F647" s="36" t="n">
        <v>-0.25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7" t="n">
        <v>0.25</v>
      </c>
      <c r="O647" s="38" t="inlineStr">
        <is>
          <t> </t>
        </is>
      </c>
      <c r="P647" s="39" t="n">
        <v>0</v>
      </c>
      <c r="Q647" s="40" t="n">
        <v>0</v>
      </c>
      <c r="R647" s="41" t="inlineStr">
        <is>
          <t>Unclassified</t>
        </is>
      </c>
      <c r="S647" s="41" t="n"/>
    </row>
    <row r="648" ht="20" customHeight="1">
      <c r="A648" s="34" t="inlineStr">
        <is>
          <t>65862052890</t>
        </is>
      </c>
      <c r="B648" s="35" t="inlineStr">
        <is>
          <t>VENLAFAXINE HCL ER 75 MG CAPSULE</t>
        </is>
      </c>
      <c r="C648" s="34" t="n">
        <v>90</v>
      </c>
      <c r="D648" s="36" t="n">
        <v>0</v>
      </c>
      <c r="E648" s="36" t="n">
        <v>0</v>
      </c>
      <c r="F648" s="36" t="n">
        <v>-0.33</v>
      </c>
      <c r="G648" s="36" t="n">
        <v>0</v>
      </c>
      <c r="H648" s="36" t="n">
        <v>0</v>
      </c>
      <c r="I648" s="36" t="n">
        <v>0</v>
      </c>
      <c r="J648" s="36" t="n">
        <v>-0.67</v>
      </c>
      <c r="K648" s="36" t="n">
        <v>0</v>
      </c>
      <c r="L648" s="36" t="n">
        <v>0</v>
      </c>
      <c r="M648" s="36" t="n">
        <v>0</v>
      </c>
      <c r="N648" s="37" t="n">
        <v>0.67</v>
      </c>
      <c r="O648" s="38" t="inlineStr">
        <is>
          <t> </t>
        </is>
      </c>
      <c r="P648" s="39" t="n">
        <v>0</v>
      </c>
      <c r="Q648" s="40" t="n">
        <v>0</v>
      </c>
      <c r="R648" s="41" t="inlineStr">
        <is>
          <t>Unclassified</t>
        </is>
      </c>
      <c r="S648" s="41" t="n"/>
    </row>
    <row r="649" ht="20" customHeight="1">
      <c r="A649" s="34" t="inlineStr">
        <is>
          <t>68462029201</t>
        </is>
      </c>
      <c r="B649" s="35" t="inlineStr">
        <is>
          <t>VERAPAMIL ER 120MG TABLET</t>
        </is>
      </c>
      <c r="C649" s="34" t="n">
        <v>100</v>
      </c>
      <c r="D649" s="36" t="n">
        <v>0</v>
      </c>
      <c r="E649" s="36" t="n">
        <v>0</v>
      </c>
      <c r="F649" s="36" t="n">
        <v>-1.2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7" t="n">
        <v>1.2</v>
      </c>
      <c r="O649" s="38" t="inlineStr">
        <is>
          <t> </t>
        </is>
      </c>
      <c r="P649" s="39" t="n">
        <v>0</v>
      </c>
      <c r="Q649" s="40" t="n">
        <v>0</v>
      </c>
      <c r="R649" s="41" t="inlineStr">
        <is>
          <t>Unclassified</t>
        </is>
      </c>
      <c r="S649" s="41" t="n"/>
    </row>
    <row r="650" ht="20" customHeight="1">
      <c r="A650" s="34" t="inlineStr">
        <is>
          <t>00536478701</t>
        </is>
      </c>
      <c r="B650" s="35" t="inlineStr">
        <is>
          <t>VITAMIN B COMPLEX  CAPSULE * NYM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0</v>
      </c>
      <c r="I650" s="36" t="n">
        <v>0</v>
      </c>
      <c r="J650" s="36" t="n">
        <v>-3.6</v>
      </c>
      <c r="K650" s="36" t="n">
        <v>0</v>
      </c>
      <c r="L650" s="36" t="n">
        <v>0</v>
      </c>
      <c r="M650" s="36" t="n">
        <v>0</v>
      </c>
      <c r="N650" s="37" t="n">
        <v>3.6</v>
      </c>
      <c r="O650" s="38" t="inlineStr">
        <is>
          <t> </t>
        </is>
      </c>
      <c r="P650" s="39" t="n">
        <v>0</v>
      </c>
      <c r="Q650" s="40" t="n">
        <v>0</v>
      </c>
      <c r="R650" s="41" t="inlineStr">
        <is>
          <t>Unclassified</t>
        </is>
      </c>
      <c r="S650" s="41" t="n"/>
    </row>
    <row r="651" ht="20" customHeight="1">
      <c r="A651" s="34" t="inlineStr">
        <is>
          <t>00536137801</t>
        </is>
      </c>
      <c r="B651" s="35" t="inlineStr">
        <is>
          <t>VITAMIN B COMPLEX CAPSULE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-0.3</v>
      </c>
      <c r="K651" s="36" t="n">
        <v>0</v>
      </c>
      <c r="L651" s="36" t="n">
        <v>0</v>
      </c>
      <c r="M651" s="36" t="n">
        <v>0</v>
      </c>
      <c r="N651" s="37" t="n">
        <v>0.3</v>
      </c>
      <c r="O651" s="38" t="inlineStr">
        <is>
          <t> </t>
        </is>
      </c>
      <c r="P651" s="39" t="n">
        <v>0</v>
      </c>
      <c r="Q651" s="40" t="n">
        <v>0</v>
      </c>
      <c r="R651" s="41" t="inlineStr">
        <is>
          <t>Unclassified</t>
        </is>
      </c>
      <c r="S651" s="41" t="n"/>
    </row>
    <row r="652" ht="20" customHeight="1">
      <c r="A652" s="34" t="inlineStr">
        <is>
          <t>80681009800</t>
        </is>
      </c>
      <c r="B652" s="35" t="inlineStr">
        <is>
          <t>VITAMIN B-1 100MG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-1.5</v>
      </c>
      <c r="K652" s="36" t="n">
        <v>0</v>
      </c>
      <c r="L652" s="36" t="n">
        <v>0</v>
      </c>
      <c r="M652" s="36" t="n">
        <v>0</v>
      </c>
      <c r="N652" s="37" t="n">
        <v>1.5</v>
      </c>
      <c r="O652" s="38" t="inlineStr">
        <is>
          <t> </t>
        </is>
      </c>
      <c r="P652" s="39" t="n">
        <v>0</v>
      </c>
      <c r="Q652" s="40" t="n">
        <v>0</v>
      </c>
      <c r="R652" s="41" t="inlineStr">
        <is>
          <t>Unclassified</t>
        </is>
      </c>
      <c r="S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0</v>
      </c>
      <c r="E653" s="36" t="n">
        <v>0</v>
      </c>
      <c r="F653" s="36" t="n">
        <v>-0.23</v>
      </c>
      <c r="G653" s="36" t="n">
        <v>0</v>
      </c>
      <c r="H653" s="36" t="n">
        <v>0</v>
      </c>
      <c r="I653" s="36" t="n">
        <v>0</v>
      </c>
      <c r="J653" s="36" t="n">
        <v>-9.23</v>
      </c>
      <c r="K653" s="36" t="n">
        <v>0</v>
      </c>
      <c r="L653" s="36" t="n">
        <v>-0.6899999999999999</v>
      </c>
      <c r="M653" s="36" t="n">
        <v>0</v>
      </c>
      <c r="N653" s="37" t="n">
        <v>9.23</v>
      </c>
      <c r="O653" s="38" t="inlineStr">
        <is>
          <t> </t>
        </is>
      </c>
      <c r="P653" s="39" t="n">
        <v>0</v>
      </c>
      <c r="Q653" s="40" t="n">
        <v>0</v>
      </c>
      <c r="R653" s="41" t="inlineStr">
        <is>
          <t>Unclassified</t>
        </is>
      </c>
      <c r="S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-0.6</v>
      </c>
      <c r="K654" s="36" t="n">
        <v>0</v>
      </c>
      <c r="L654" s="36" t="n">
        <v>0</v>
      </c>
      <c r="M654" s="36" t="n">
        <v>0</v>
      </c>
      <c r="N654" s="37" t="n">
        <v>0.6</v>
      </c>
      <c r="O654" s="38" t="inlineStr">
        <is>
          <t> </t>
        </is>
      </c>
      <c r="P654" s="39" t="n">
        <v>0</v>
      </c>
      <c r="Q654" s="40" t="n">
        <v>0</v>
      </c>
      <c r="R654" s="41" t="inlineStr">
        <is>
          <t>Unclassified</t>
        </is>
      </c>
      <c r="S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-0.12</v>
      </c>
      <c r="K655" s="36" t="n">
        <v>0</v>
      </c>
      <c r="L655" s="36" t="n">
        <v>0</v>
      </c>
      <c r="M655" s="36" t="n">
        <v>0</v>
      </c>
      <c r="N655" s="37" t="n">
        <v>0.12</v>
      </c>
      <c r="O655" s="38" t="inlineStr">
        <is>
          <t> </t>
        </is>
      </c>
      <c r="P655" s="39" t="n">
        <v>0</v>
      </c>
      <c r="Q655" s="40" t="n">
        <v>0</v>
      </c>
      <c r="R655" s="41" t="inlineStr">
        <is>
          <t>Unclassified</t>
        </is>
      </c>
      <c r="S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-0.6</v>
      </c>
      <c r="K656" s="36" t="n">
        <v>0</v>
      </c>
      <c r="L656" s="36" t="n">
        <v>0</v>
      </c>
      <c r="M656" s="36" t="n">
        <v>0</v>
      </c>
      <c r="N656" s="37" t="n">
        <v>0.6</v>
      </c>
      <c r="O656" s="38" t="inlineStr">
        <is>
          <t> </t>
        </is>
      </c>
      <c r="P656" s="39" t="n">
        <v>0</v>
      </c>
      <c r="Q656" s="40" t="n">
        <v>0</v>
      </c>
      <c r="R656" s="41" t="inlineStr">
        <is>
          <t>Unclassified</t>
        </is>
      </c>
      <c r="S656" s="41" t="n"/>
    </row>
    <row r="657" ht="20" customHeight="1">
      <c r="A657" s="34" t="inlineStr">
        <is>
          <t>00904052360</t>
        </is>
      </c>
      <c r="B657" s="35" t="inlineStr">
        <is>
          <t>VITAMIN C 500MG TABLET</t>
        </is>
      </c>
      <c r="C657" s="34" t="n">
        <v>100</v>
      </c>
      <c r="D657" s="36" t="n">
        <v>0</v>
      </c>
      <c r="E657" s="36" t="n">
        <v>0</v>
      </c>
      <c r="F657" s="36" t="n">
        <v>-0.9</v>
      </c>
      <c r="G657" s="36" t="n">
        <v>0</v>
      </c>
      <c r="H657" s="36" t="n">
        <v>0</v>
      </c>
      <c r="I657" s="36" t="n">
        <v>0</v>
      </c>
      <c r="J657" s="36" t="n">
        <v>-2.85</v>
      </c>
      <c r="K657" s="36" t="n">
        <v>0</v>
      </c>
      <c r="L657" s="36" t="n">
        <v>0</v>
      </c>
      <c r="M657" s="36" t="n">
        <v>0</v>
      </c>
      <c r="N657" s="37" t="n">
        <v>2.85</v>
      </c>
      <c r="O657" s="38" t="inlineStr">
        <is>
          <t> </t>
        </is>
      </c>
      <c r="P657" s="39" t="n">
        <v>0</v>
      </c>
      <c r="Q657" s="40" t="n">
        <v>0</v>
      </c>
      <c r="R657" s="41" t="inlineStr">
        <is>
          <t>Unclassified</t>
        </is>
      </c>
      <c r="S657" s="41" t="n"/>
    </row>
    <row r="658" ht="20" customHeight="1">
      <c r="A658" s="34" t="inlineStr">
        <is>
          <t>54838000650</t>
        </is>
      </c>
      <c r="B658" s="35" t="inlineStr">
        <is>
          <t>VITAMIN D 10MCG/ML LIQUID</t>
        </is>
      </c>
      <c r="C658" s="34" t="n">
        <v>50</v>
      </c>
      <c r="D658" s="36" t="n">
        <v>0</v>
      </c>
      <c r="E658" s="36" t="n">
        <v>0</v>
      </c>
      <c r="F658" s="36" t="n">
        <v>0</v>
      </c>
      <c r="G658" s="36" t="n">
        <v>0</v>
      </c>
      <c r="H658" s="36" t="n">
        <v>0</v>
      </c>
      <c r="I658" s="36" t="n">
        <v>0</v>
      </c>
      <c r="J658" s="36" t="n">
        <v>-7</v>
      </c>
      <c r="K658" s="36" t="n">
        <v>0</v>
      </c>
      <c r="L658" s="36" t="n">
        <v>0</v>
      </c>
      <c r="M658" s="36" t="n">
        <v>0</v>
      </c>
      <c r="N658" s="37" t="n">
        <v>7</v>
      </c>
      <c r="O658" s="38" t="inlineStr">
        <is>
          <t> </t>
        </is>
      </c>
      <c r="P658" s="39" t="n">
        <v>0</v>
      </c>
      <c r="Q658" s="40" t="n">
        <v>0</v>
      </c>
      <c r="R658" s="41" t="inlineStr">
        <is>
          <t>Unclassified</t>
        </is>
      </c>
      <c r="S658" s="41" t="n"/>
    </row>
    <row r="659" ht="20" customHeight="1">
      <c r="A659" s="34" t="inlineStr">
        <is>
          <t>80681013200</t>
        </is>
      </c>
      <c r="B659" s="35" t="inlineStr">
        <is>
          <t>VITAMIN D 2 000 U TABLET</t>
        </is>
      </c>
      <c r="C659" s="34" t="n">
        <v>500</v>
      </c>
      <c r="D659" s="36" t="n">
        <v>0</v>
      </c>
      <c r="E659" s="36" t="n">
        <v>0</v>
      </c>
      <c r="F659" s="36" t="n">
        <v>0</v>
      </c>
      <c r="G659" s="36" t="n">
        <v>-0.06</v>
      </c>
      <c r="H659" s="36" t="n">
        <v>0</v>
      </c>
      <c r="I659" s="36" t="n">
        <v>0</v>
      </c>
      <c r="J659" s="36" t="n">
        <v>-1.02</v>
      </c>
      <c r="K659" s="36" t="n">
        <v>0</v>
      </c>
      <c r="L659" s="36" t="n">
        <v>0</v>
      </c>
      <c r="M659" s="36" t="n">
        <v>0</v>
      </c>
      <c r="N659" s="37" t="n">
        <v>1.02</v>
      </c>
      <c r="O659" s="38" t="inlineStr">
        <is>
          <t> </t>
        </is>
      </c>
      <c r="P659" s="39" t="n">
        <v>0</v>
      </c>
      <c r="Q659" s="40" t="n">
        <v>0</v>
      </c>
      <c r="R659" s="41" t="inlineStr">
        <is>
          <t>Unclassified</t>
        </is>
      </c>
      <c r="S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-9.33</v>
      </c>
      <c r="K660" s="36" t="n">
        <v>0</v>
      </c>
      <c r="L660" s="36" t="n">
        <v>0</v>
      </c>
      <c r="M660" s="36" t="n">
        <v>0</v>
      </c>
      <c r="N660" s="37" t="n">
        <v>9.33</v>
      </c>
      <c r="O660" s="38" t="inlineStr">
        <is>
          <t> </t>
        </is>
      </c>
      <c r="P660" s="39" t="n">
        <v>0</v>
      </c>
      <c r="Q660" s="40" t="n">
        <v>0</v>
      </c>
      <c r="R660" s="41" t="inlineStr">
        <is>
          <t>Unclassified</t>
        </is>
      </c>
      <c r="S660" s="41" t="n"/>
    </row>
    <row r="661" ht="20" customHeight="1">
      <c r="A661" s="34" t="inlineStr">
        <is>
          <t>61874011530</t>
        </is>
      </c>
      <c r="B661" s="35" t="inlineStr">
        <is>
          <t>VRAYLAR 1.5MG CAPSULE</t>
        </is>
      </c>
      <c r="C661" s="34" t="n">
        <v>30</v>
      </c>
      <c r="D661" s="36" t="n">
        <v>2</v>
      </c>
      <c r="E661" s="36" t="n">
        <v>2</v>
      </c>
      <c r="F661" s="36" t="n">
        <v>2</v>
      </c>
      <c r="G661" s="36" t="n">
        <v>2</v>
      </c>
      <c r="H661" s="36" t="n">
        <v>2</v>
      </c>
      <c r="I661" s="36" t="n">
        <v>1</v>
      </c>
      <c r="J661" s="36" t="n">
        <v>-1</v>
      </c>
      <c r="K661" s="36" t="n">
        <v>2</v>
      </c>
      <c r="L661" s="36" t="n">
        <v>2</v>
      </c>
      <c r="M661" s="36" t="n">
        <v>2</v>
      </c>
      <c r="N661" s="37" t="n">
        <v>1</v>
      </c>
      <c r="O661" s="38" t="inlineStr">
        <is>
          <t> </t>
        </is>
      </c>
      <c r="P661" s="39" t="n">
        <v>1551</v>
      </c>
      <c r="Q661" s="40" t="n">
        <v>1551</v>
      </c>
      <c r="R661" s="41" t="inlineStr">
        <is>
          <t>Branded Drug</t>
        </is>
      </c>
      <c r="S661" s="41" t="n"/>
    </row>
    <row r="662" ht="20" customHeight="1">
      <c r="A662" s="34" t="inlineStr">
        <is>
          <t>24208050402</t>
        </is>
      </c>
      <c r="B662" s="35" t="inlineStr">
        <is>
          <t>VYZULTA 0.024 % OPHTHALMIC SOLUTION</t>
        </is>
      </c>
      <c r="C662" s="34" t="n">
        <v>2.5</v>
      </c>
      <c r="D662" s="36" t="n">
        <v>0</v>
      </c>
      <c r="E662" s="36" t="n">
        <v>0</v>
      </c>
      <c r="F662" s="36" t="n">
        <v>-4</v>
      </c>
      <c r="G662" s="36" t="n">
        <v>0</v>
      </c>
      <c r="H662" s="36" t="n">
        <v>0</v>
      </c>
      <c r="I662" s="36" t="n">
        <v>-1</v>
      </c>
      <c r="J662" s="36" t="n">
        <v>0</v>
      </c>
      <c r="K662" s="36" t="n">
        <v>0</v>
      </c>
      <c r="L662" s="36" t="n">
        <v>0</v>
      </c>
      <c r="M662" s="36" t="n">
        <v>0</v>
      </c>
      <c r="N662" s="37" t="n">
        <v>4</v>
      </c>
      <c r="O662" s="38" t="inlineStr">
        <is>
          <t> </t>
        </is>
      </c>
      <c r="P662" s="39" t="n">
        <v>0</v>
      </c>
      <c r="Q662" s="40" t="n">
        <v>0</v>
      </c>
      <c r="R662" s="41" t="inlineStr">
        <is>
          <t>Unclassified</t>
        </is>
      </c>
      <c r="S662" s="41" t="n"/>
    </row>
    <row r="663" ht="20" customHeight="1">
      <c r="A663" s="34" t="inlineStr">
        <is>
          <t>00093172001</t>
        </is>
      </c>
      <c r="B663" s="35" t="inlineStr">
        <is>
          <t>WARFARIN SODIUM 10 MG ORAL TABLET</t>
        </is>
      </c>
      <c r="C663" s="34" t="n">
        <v>100</v>
      </c>
      <c r="D663" s="36" t="n">
        <v>0</v>
      </c>
      <c r="E663" s="36" t="n">
        <v>0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-0.3</v>
      </c>
      <c r="K663" s="36" t="n">
        <v>0</v>
      </c>
      <c r="L663" s="36" t="n">
        <v>0</v>
      </c>
      <c r="M663" s="36" t="n">
        <v>0</v>
      </c>
      <c r="N663" s="37" t="n">
        <v>0.3</v>
      </c>
      <c r="O663" s="38" t="inlineStr">
        <is>
          <t> </t>
        </is>
      </c>
      <c r="P663" s="39" t="n">
        <v>0</v>
      </c>
      <c r="Q663" s="40" t="n">
        <v>0</v>
      </c>
      <c r="R663" s="41" t="inlineStr">
        <is>
          <t>Unclassified</t>
        </is>
      </c>
      <c r="S663" s="41" t="n"/>
    </row>
    <row r="664" ht="20" customHeight="1">
      <c r="A664" s="34" t="inlineStr">
        <is>
          <t>00093171301</t>
        </is>
      </c>
      <c r="B664" s="35" t="inlineStr">
        <is>
          <t>WARFARIN SODIUM 2 MG TABLET</t>
        </is>
      </c>
      <c r="C664" s="34" t="n">
        <v>100</v>
      </c>
      <c r="D664" s="36" t="n">
        <v>0</v>
      </c>
      <c r="E664" s="36" t="n">
        <v>0</v>
      </c>
      <c r="F664" s="36" t="n">
        <v>0</v>
      </c>
      <c r="G664" s="36" t="n">
        <v>0</v>
      </c>
      <c r="H664" s="36" t="n">
        <v>0</v>
      </c>
      <c r="I664" s="36" t="n">
        <v>0</v>
      </c>
      <c r="J664" s="36" t="n">
        <v>-0.3</v>
      </c>
      <c r="K664" s="36" t="n">
        <v>0</v>
      </c>
      <c r="L664" s="36" t="n">
        <v>0</v>
      </c>
      <c r="M664" s="36" t="n">
        <v>0</v>
      </c>
      <c r="N664" s="37" t="n">
        <v>0.3</v>
      </c>
      <c r="O664" s="38" t="inlineStr">
        <is>
          <t> </t>
        </is>
      </c>
      <c r="P664" s="39" t="n">
        <v>0</v>
      </c>
      <c r="Q664" s="40" t="n">
        <v>0</v>
      </c>
      <c r="R664" s="41" t="inlineStr">
        <is>
          <t>Unclassified</t>
        </is>
      </c>
      <c r="S664" s="41" t="n"/>
    </row>
    <row r="665" ht="20" customHeight="1">
      <c r="A665" s="34" t="inlineStr">
        <is>
          <t>51672403001</t>
        </is>
      </c>
      <c r="B665" s="35" t="inlineStr">
        <is>
          <t>WARFARIN SODIUM 3MG TABLET</t>
        </is>
      </c>
      <c r="C665" s="34" t="n">
        <v>100</v>
      </c>
      <c r="D665" s="36" t="n">
        <v>0</v>
      </c>
      <c r="E665" s="36" t="n">
        <v>0</v>
      </c>
      <c r="F665" s="36" t="n">
        <v>-0.35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7" t="n">
        <v>0.35</v>
      </c>
      <c r="O665" s="38" t="inlineStr">
        <is>
          <t> </t>
        </is>
      </c>
      <c r="P665" s="39" t="n">
        <v>0</v>
      </c>
      <c r="Q665" s="40" t="n">
        <v>0</v>
      </c>
      <c r="R665" s="41" t="inlineStr">
        <is>
          <t>Unclassified</t>
        </is>
      </c>
      <c r="S665" s="41" t="n"/>
    </row>
    <row r="666" ht="20" customHeight="1">
      <c r="A666" s="34" t="inlineStr">
        <is>
          <t>50458057830</t>
        </is>
      </c>
      <c r="B666" s="35" t="inlineStr">
        <is>
          <t>XARELTO 15MG TAB</t>
        </is>
      </c>
      <c r="C666" s="34" t="n">
        <v>30</v>
      </c>
      <c r="D666" s="36" t="n">
        <v>0</v>
      </c>
      <c r="E666" s="36" t="n">
        <v>0</v>
      </c>
      <c r="F666" s="36" t="n">
        <v>0</v>
      </c>
      <c r="G666" s="36" t="n">
        <v>-3</v>
      </c>
      <c r="H666" s="36" t="n">
        <v>0</v>
      </c>
      <c r="I666" s="36" t="n">
        <v>0</v>
      </c>
      <c r="J666" s="36" t="n">
        <v>0</v>
      </c>
      <c r="K666" s="36" t="n">
        <v>0</v>
      </c>
      <c r="L666" s="36" t="n">
        <v>0</v>
      </c>
      <c r="M666" s="36" t="n">
        <v>0</v>
      </c>
      <c r="N666" s="37" t="n">
        <v>3</v>
      </c>
      <c r="O666" s="38" t="inlineStr">
        <is>
          <t> </t>
        </is>
      </c>
      <c r="P666" s="39" t="n">
        <v>0</v>
      </c>
      <c r="Q666" s="40" t="n">
        <v>0</v>
      </c>
      <c r="R666" s="41" t="inlineStr">
        <is>
          <t>Unclassified</t>
        </is>
      </c>
      <c r="S666" s="41" t="n"/>
    </row>
    <row r="667" ht="20" customHeight="1">
      <c r="A667" s="34" t="inlineStr">
        <is>
          <t>50458057930</t>
        </is>
      </c>
      <c r="B667" s="35" t="inlineStr">
        <is>
          <t>XARELTO 20MG TAB</t>
        </is>
      </c>
      <c r="C667" s="34" t="n">
        <v>30</v>
      </c>
      <c r="D667" s="36" t="n">
        <v>3</v>
      </c>
      <c r="E667" s="36" t="n">
        <v>3</v>
      </c>
      <c r="F667" s="36" t="n">
        <v>-3</v>
      </c>
      <c r="G667" s="36" t="n">
        <v>0</v>
      </c>
      <c r="H667" s="36" t="n">
        <v>3</v>
      </c>
      <c r="I667" s="36" t="n">
        <v>3</v>
      </c>
      <c r="J667" s="36" t="n">
        <v>3</v>
      </c>
      <c r="K667" s="36" t="n">
        <v>3</v>
      </c>
      <c r="L667" s="36" t="n">
        <v>3</v>
      </c>
      <c r="M667" s="36" t="n">
        <v>3</v>
      </c>
      <c r="N667" s="37" t="n">
        <v>3</v>
      </c>
      <c r="O667" s="38" t="inlineStr">
        <is>
          <t> </t>
        </is>
      </c>
      <c r="P667" s="39" t="n">
        <v>595</v>
      </c>
      <c r="Q667" s="40" t="n">
        <v>1785</v>
      </c>
      <c r="R667" s="41" t="inlineStr">
        <is>
          <t>Branded Drug</t>
        </is>
      </c>
      <c r="S667" s="41" t="n"/>
    </row>
    <row r="668" ht="20" customHeight="1">
      <c r="A668" s="34" t="inlineStr">
        <is>
          <t>71143037501</t>
        </is>
      </c>
      <c r="B668" s="35" t="inlineStr">
        <is>
          <t>XHANCE 93 MCG/ACT NASAL EXHALER SUSPENSION</t>
        </is>
      </c>
      <c r="C668" s="34" t="n">
        <v>16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0</v>
      </c>
      <c r="I668" s="36" t="n">
        <v>0</v>
      </c>
      <c r="J668" s="36" t="n">
        <v>-1</v>
      </c>
      <c r="K668" s="36" t="n">
        <v>0</v>
      </c>
      <c r="L668" s="36" t="n">
        <v>0</v>
      </c>
      <c r="M668" s="36" t="n">
        <v>0</v>
      </c>
      <c r="N668" s="37" t="n">
        <v>1</v>
      </c>
      <c r="O668" s="38" t="inlineStr">
        <is>
          <t> </t>
        </is>
      </c>
      <c r="P668" s="39" t="n">
        <v>0</v>
      </c>
      <c r="Q668" s="40" t="n">
        <v>0</v>
      </c>
      <c r="R668" s="41" t="inlineStr">
        <is>
          <t>Unclassified</t>
        </is>
      </c>
      <c r="S668" s="41" t="n"/>
    </row>
    <row r="669" ht="20" customHeight="1">
      <c r="A669" s="34" t="inlineStr">
        <is>
          <t>00310626060</t>
        </is>
      </c>
      <c r="B669" s="35" t="inlineStr">
        <is>
          <t>XIGDUO XR 5-1000 MG TABLET ER</t>
        </is>
      </c>
      <c r="C669" s="34" t="n">
        <v>60</v>
      </c>
      <c r="D669" s="36" t="n">
        <v>0</v>
      </c>
      <c r="E669" s="36" t="n">
        <v>0</v>
      </c>
      <c r="F669" s="36" t="n">
        <v>-3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7" t="n">
        <v>3</v>
      </c>
      <c r="O669" s="38" t="inlineStr">
        <is>
          <t> </t>
        </is>
      </c>
      <c r="P669" s="39" t="n">
        <v>0</v>
      </c>
      <c r="Q669" s="40" t="n">
        <v>0</v>
      </c>
      <c r="R669" s="41" t="inlineStr">
        <is>
          <t>Unclassified</t>
        </is>
      </c>
      <c r="S669" s="41" t="n"/>
    </row>
    <row r="670" ht="20" customHeight="1">
      <c r="A670" s="34" t="inlineStr">
        <is>
          <t>65162035803</t>
        </is>
      </c>
      <c r="B670" s="35" t="inlineStr">
        <is>
          <t>ZAFEMY 150-35 MCG/24HR TRANSDERMAL PATCH WEEKLY</t>
        </is>
      </c>
      <c r="C670" s="34" t="n">
        <v>3</v>
      </c>
      <c r="D670" s="36" t="n">
        <v>0</v>
      </c>
      <c r="E670" s="36" t="n">
        <v>0</v>
      </c>
      <c r="F670" s="36" t="n">
        <v>0</v>
      </c>
      <c r="G670" s="36" t="n">
        <v>0</v>
      </c>
      <c r="H670" s="36" t="n">
        <v>0</v>
      </c>
      <c r="I670" s="36" t="n">
        <v>0</v>
      </c>
      <c r="J670" s="36" t="n">
        <v>-1</v>
      </c>
      <c r="K670" s="36" t="n">
        <v>0</v>
      </c>
      <c r="L670" s="36" t="n">
        <v>0</v>
      </c>
      <c r="M670" s="36" t="n">
        <v>0</v>
      </c>
      <c r="N670" s="37" t="n">
        <v>1</v>
      </c>
      <c r="O670" s="38" t="inlineStr">
        <is>
          <t> </t>
        </is>
      </c>
      <c r="P670" s="39" t="n">
        <v>0</v>
      </c>
      <c r="Q670" s="40" t="n">
        <v>0</v>
      </c>
      <c r="R670" s="41" t="inlineStr">
        <is>
          <t>Unclassified</t>
        </is>
      </c>
      <c r="S670" s="41" t="n"/>
    </row>
    <row r="671" ht="20" customHeight="1">
      <c r="A671" s="34" t="inlineStr">
        <is>
          <t>55111025660</t>
        </is>
      </c>
      <c r="B671" s="35" t="inlineStr">
        <is>
          <t xml:space="preserve">ZIPRASIDONE 20MG CAP </t>
        </is>
      </c>
      <c r="C671" s="34" t="n">
        <v>60</v>
      </c>
      <c r="D671" s="36" t="n">
        <v>0</v>
      </c>
      <c r="E671" s="36" t="n">
        <v>0</v>
      </c>
      <c r="F671" s="36" t="n">
        <v>0</v>
      </c>
      <c r="G671" s="36" t="n">
        <v>0</v>
      </c>
      <c r="H671" s="36" t="n">
        <v>0</v>
      </c>
      <c r="I671" s="36" t="n">
        <v>0</v>
      </c>
      <c r="J671" s="36" t="n">
        <v>-1</v>
      </c>
      <c r="K671" s="36" t="n">
        <v>0</v>
      </c>
      <c r="L671" s="36" t="n">
        <v>0</v>
      </c>
      <c r="M671" s="36" t="n">
        <v>0</v>
      </c>
      <c r="N671" s="37" t="n">
        <v>1</v>
      </c>
      <c r="O671" s="38" t="inlineStr">
        <is>
          <t> </t>
        </is>
      </c>
      <c r="P671" s="39" t="n">
        <v>0</v>
      </c>
      <c r="Q671" s="40" t="n">
        <v>0</v>
      </c>
      <c r="R671" s="41" t="inlineStr">
        <is>
          <t>Unclassified</t>
        </is>
      </c>
      <c r="S671" s="41" t="n"/>
    </row>
    <row r="672" ht="20" customHeight="1">
      <c r="A672" s="34" t="inlineStr">
        <is>
          <t>13668000805</t>
        </is>
      </c>
      <c r="B672" s="35" t="inlineStr">
        <is>
          <t xml:space="preserve">ZOLPIDEM TARTRATE 10MG TAB </t>
        </is>
      </c>
      <c r="C672" s="34" t="n">
        <v>500</v>
      </c>
      <c r="D672" s="36" t="n">
        <v>0</v>
      </c>
      <c r="E672" s="36" t="n">
        <v>-0.03</v>
      </c>
      <c r="F672" s="36" t="n">
        <v>-0.54</v>
      </c>
      <c r="G672" s="36" t="n">
        <v>0</v>
      </c>
      <c r="H672" s="36" t="n">
        <v>0</v>
      </c>
      <c r="I672" s="36" t="n">
        <v>-0.06</v>
      </c>
      <c r="J672" s="36" t="n">
        <v>-0.06</v>
      </c>
      <c r="K672" s="36" t="n">
        <v>0</v>
      </c>
      <c r="L672" s="36" t="n">
        <v>0</v>
      </c>
      <c r="M672" s="36" t="n">
        <v>0</v>
      </c>
      <c r="N672" s="37" t="n">
        <v>0.54</v>
      </c>
      <c r="O672" s="38" t="inlineStr">
        <is>
          <t> </t>
        </is>
      </c>
      <c r="P672" s="39" t="n">
        <v>0</v>
      </c>
      <c r="Q672" s="40" t="n">
        <v>0</v>
      </c>
      <c r="R672" s="41" t="inlineStr">
        <is>
          <t>Unclassified</t>
        </is>
      </c>
      <c r="S672" s="41" t="n"/>
    </row>
    <row r="673" ht="20" customHeight="1">
      <c r="A673" s="34" t="inlineStr">
        <is>
          <t>13668000705</t>
        </is>
      </c>
      <c r="B673" s="35" t="inlineStr">
        <is>
          <t xml:space="preserve">ZOLPIDEM TARTRATE 5MG TAB </t>
        </is>
      </c>
      <c r="C673" s="34" t="n">
        <v>500</v>
      </c>
      <c r="D673" s="36" t="n">
        <v>0</v>
      </c>
      <c r="E673" s="36" t="n">
        <v>0</v>
      </c>
      <c r="F673" s="36" t="n">
        <v>-0.1</v>
      </c>
      <c r="G673" s="36" t="n">
        <v>-0.06</v>
      </c>
      <c r="H673" s="36" t="n">
        <v>0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7" t="n">
        <v>0.1</v>
      </c>
      <c r="O673" s="38" t="inlineStr">
        <is>
          <t> </t>
        </is>
      </c>
      <c r="P673" s="39" t="n">
        <v>0</v>
      </c>
      <c r="Q673" s="40" t="n">
        <v>0</v>
      </c>
      <c r="R673" s="41" t="inlineStr">
        <is>
          <t>Unclassified</t>
        </is>
      </c>
      <c r="S673" s="41" t="n"/>
    </row>
    <row r="674" ht="20" customHeight="1">
      <c r="A674" s="34" t="inlineStr">
        <is>
          <t>80610013060</t>
        </is>
      </c>
      <c r="B674" s="35" t="inlineStr">
        <is>
          <t>ZORYVE 0.3 % EXTERNAL CREAM</t>
        </is>
      </c>
      <c r="C674" s="34" t="n">
        <v>60</v>
      </c>
      <c r="D674" s="36" t="n">
        <v>0</v>
      </c>
      <c r="E674" s="36" t="n">
        <v>0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-1</v>
      </c>
      <c r="K674" s="36" t="n">
        <v>0</v>
      </c>
      <c r="L674" s="36" t="n">
        <v>0</v>
      </c>
      <c r="M674" s="36" t="n">
        <v>0</v>
      </c>
      <c r="N674" s="37" t="n">
        <v>1</v>
      </c>
      <c r="O674" s="38" t="inlineStr">
        <is>
          <t> </t>
        </is>
      </c>
      <c r="P674" s="39" t="n">
        <v>0</v>
      </c>
      <c r="Q674" s="40" t="n">
        <v>0</v>
      </c>
      <c r="R674" s="41" t="inlineStr">
        <is>
          <t>Unclassified</t>
        </is>
      </c>
      <c r="S674" s="41" t="n"/>
    </row>
    <row r="675" ht="20" customHeight="1">
      <c r="A675" s="34" t="inlineStr">
        <is>
          <t>80610043060</t>
        </is>
      </c>
      <c r="B675" s="35" t="inlineStr">
        <is>
          <t>ZORYVE 0.3 % EXTERNAL FOAM</t>
        </is>
      </c>
      <c r="C675" s="34" t="n">
        <v>60</v>
      </c>
      <c r="D675" s="36" t="n">
        <v>0</v>
      </c>
      <c r="E675" s="36" t="n">
        <v>0</v>
      </c>
      <c r="F675" s="36" t="n">
        <v>-1</v>
      </c>
      <c r="G675" s="36" t="n">
        <v>0</v>
      </c>
      <c r="H675" s="36" t="n">
        <v>0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7" t="n">
        <v>1</v>
      </c>
      <c r="O675" s="38" t="inlineStr">
        <is>
          <t> </t>
        </is>
      </c>
      <c r="P675" s="39" t="n">
        <v>0</v>
      </c>
      <c r="Q675" s="40" t="n">
        <v>0</v>
      </c>
      <c r="R675" s="41" t="inlineStr">
        <is>
          <t>Unclassified</t>
        </is>
      </c>
      <c r="S675" s="41" t="n"/>
    </row>
    <row r="676" ht="20" customHeight="1">
      <c r="A676" s="34" t="inlineStr">
        <is>
          <t>69557011130</t>
        </is>
      </c>
      <c r="B676" s="35" t="inlineStr">
        <is>
          <t>ZTLIDO 1.8 % EXTERNAL PATCH</t>
        </is>
      </c>
      <c r="C676" s="34" t="n">
        <v>30</v>
      </c>
      <c r="D676" s="36" t="n">
        <v>0</v>
      </c>
      <c r="E676" s="36" t="n">
        <v>0</v>
      </c>
      <c r="F676" s="36" t="n">
        <v>-2</v>
      </c>
      <c r="G676" s="36" t="n">
        <v>0</v>
      </c>
      <c r="H676" s="36" t="n">
        <v>0</v>
      </c>
      <c r="I676" s="36" t="n">
        <v>0</v>
      </c>
      <c r="J676" s="36" t="n">
        <v>0</v>
      </c>
      <c r="K676" s="36" t="n">
        <v>0</v>
      </c>
      <c r="L676" s="36" t="n">
        <v>0</v>
      </c>
      <c r="M676" s="36" t="n">
        <v>0</v>
      </c>
      <c r="N676" s="37" t="n">
        <v>2</v>
      </c>
      <c r="O676" s="38" t="inlineStr">
        <is>
          <t> </t>
        </is>
      </c>
      <c r="P676" s="39" t="n">
        <v>0</v>
      </c>
      <c r="Q676" s="40" t="n">
        <v>0</v>
      </c>
      <c r="R676" s="41" t="inlineStr">
        <is>
          <t>Unclassified</t>
        </is>
      </c>
      <c r="S676" s="41" t="n"/>
    </row>
    <row r="677" ht="20" customHeight="1"/>
    <row r="678" ht="20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3" t="inlineStr">
        <is>
          <t>Grand Total</t>
        </is>
      </c>
      <c r="Q678" s="43">
        <f>SUBTOTAL(109,Q3:Q676)</f>
        <v/>
      </c>
      <c r="R678" s="24" t="n"/>
    </row>
  </sheetData>
  <autoFilter ref="A2:R676"/>
  <mergeCells count="1">
    <mergeCell ref="A1:R1"/>
  </mergeCells>
  <conditionalFormatting sqref="D3:D676">
    <cfRule type="cellIs" priority="1" operator="lessThan" dxfId="3" stopIfTrue="0">
      <formula>0</formula>
    </cfRule>
  </conditionalFormatting>
  <conditionalFormatting sqref="E3:E676">
    <cfRule type="cellIs" priority="2" operator="lessThan" dxfId="3" stopIfTrue="0">
      <formula>0</formula>
    </cfRule>
  </conditionalFormatting>
  <conditionalFormatting sqref="F3:F676">
    <cfRule type="cellIs" priority="3" operator="lessThan" dxfId="3" stopIfTrue="0">
      <formula>0</formula>
    </cfRule>
  </conditionalFormatting>
  <conditionalFormatting sqref="G3:G676">
    <cfRule type="cellIs" priority="4" operator="lessThan" dxfId="3" stopIfTrue="0">
      <formula>0</formula>
    </cfRule>
  </conditionalFormatting>
  <conditionalFormatting sqref="H3:H676">
    <cfRule type="cellIs" priority="5" operator="lessThan" dxfId="3" stopIfTrue="0">
      <formula>0</formula>
    </cfRule>
  </conditionalFormatting>
  <conditionalFormatting sqref="I3:I676">
    <cfRule type="cellIs" priority="6" operator="lessThan" dxfId="3" stopIfTrue="0">
      <formula>0</formula>
    </cfRule>
  </conditionalFormatting>
  <conditionalFormatting sqref="J3:J676">
    <cfRule type="cellIs" priority="7" operator="lessThan" dxfId="3" stopIfTrue="0">
      <formula>0</formula>
    </cfRule>
  </conditionalFormatting>
  <conditionalFormatting sqref="K3:K676">
    <cfRule type="cellIs" priority="8" operator="lessThan" dxfId="3" stopIfTrue="0">
      <formula>0</formula>
    </cfRule>
  </conditionalFormatting>
  <conditionalFormatting sqref="L3:L676">
    <cfRule type="cellIs" priority="9" operator="lessThan" dxfId="3" stopIfTrue="0">
      <formula>0</formula>
    </cfRule>
  </conditionalFormatting>
  <conditionalFormatting sqref="M3:M676">
    <cfRule type="cellIs" priority="10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  <col width="16" customWidth="1" min="16" max="16"/>
  </cols>
  <sheetData>
    <row r="1" ht="30" customHeight="1">
      <c r="A1" s="30" t="inlineStr">
        <is>
          <t>Trial 20 (Feb 2026 -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TREDIUM_D</t>
        </is>
      </c>
      <c r="N2" s="44" t="inlineStr">
        <is>
          <t>Do Not Order</t>
        </is>
      </c>
      <c r="O2" s="31" t="inlineStr">
        <is>
          <t>Paper Work</t>
        </is>
      </c>
      <c r="P2" s="31" t="inlineStr">
        <is>
          <t>Drug Type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12</v>
      </c>
      <c r="G3" s="47" t="n">
        <v>6</v>
      </c>
      <c r="H3" s="47" t="n">
        <v>16</v>
      </c>
      <c r="I3" s="47" t="n">
        <v>16</v>
      </c>
      <c r="J3" s="47" t="n">
        <v>16</v>
      </c>
      <c r="K3" s="47" t="n">
        <v>16</v>
      </c>
      <c r="L3" s="47" t="n">
        <v>16</v>
      </c>
      <c r="M3" s="47" t="n">
        <v>16</v>
      </c>
      <c r="N3" s="45" t="n">
        <v>6</v>
      </c>
      <c r="O3" s="48" t="inlineStr">
        <is>
          <t> </t>
        </is>
      </c>
      <c r="P3" s="47" t="inlineStr">
        <is>
          <t>Home Health Care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3</v>
      </c>
      <c r="G4" s="47" t="n">
        <v>2</v>
      </c>
      <c r="H4" s="47" t="n">
        <v>3</v>
      </c>
      <c r="I4" s="47" t="n">
        <v>3</v>
      </c>
      <c r="J4" s="47" t="n">
        <v>3</v>
      </c>
      <c r="K4" s="47" t="n">
        <v>3</v>
      </c>
      <c r="L4" s="47" t="n">
        <v>3</v>
      </c>
      <c r="M4" s="47" t="n">
        <v>3</v>
      </c>
      <c r="N4" s="45" t="n">
        <v>2</v>
      </c>
      <c r="O4" s="48" t="inlineStr">
        <is>
          <t> </t>
        </is>
      </c>
      <c r="P4" s="47" t="inlineStr">
        <is>
          <t>Home Health Care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10</v>
      </c>
      <c r="I5" s="47" t="n">
        <v>10</v>
      </c>
      <c r="J5" s="47" t="n">
        <v>7</v>
      </c>
      <c r="K5" s="47" t="n">
        <v>10</v>
      </c>
      <c r="L5" s="47" t="n">
        <v>10</v>
      </c>
      <c r="M5" s="47" t="n">
        <v>10</v>
      </c>
      <c r="N5" s="45" t="n">
        <v>7</v>
      </c>
      <c r="O5" s="48" t="inlineStr">
        <is>
          <t> </t>
        </is>
      </c>
      <c r="P5" s="47" t="inlineStr">
        <is>
          <t>OTC Drug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3</v>
      </c>
      <c r="I6" s="47" t="n">
        <v>3</v>
      </c>
      <c r="J6" s="47" t="n">
        <v>2</v>
      </c>
      <c r="K6" s="47" t="n">
        <v>3</v>
      </c>
      <c r="L6" s="47" t="n">
        <v>3</v>
      </c>
      <c r="M6" s="47" t="n">
        <v>3</v>
      </c>
      <c r="N6" s="45" t="n">
        <v>2</v>
      </c>
      <c r="O6" s="48" t="inlineStr">
        <is>
          <t> </t>
        </is>
      </c>
      <c r="P6" s="47" t="inlineStr">
        <is>
          <t>OTC Drug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2</v>
      </c>
      <c r="F7" s="47" t="n">
        <v>1.55</v>
      </c>
      <c r="G7" s="47" t="n">
        <v>2</v>
      </c>
      <c r="H7" s="47" t="n">
        <v>2</v>
      </c>
      <c r="I7" s="47" t="n">
        <v>2</v>
      </c>
      <c r="J7" s="47" t="n">
        <v>0.63</v>
      </c>
      <c r="K7" s="47" t="n">
        <v>2</v>
      </c>
      <c r="L7" s="47" t="n">
        <v>2</v>
      </c>
      <c r="M7" s="47" t="n">
        <v>2</v>
      </c>
      <c r="N7" s="45" t="n">
        <v>0.63</v>
      </c>
      <c r="O7" s="48" t="inlineStr">
        <is>
          <t> </t>
        </is>
      </c>
      <c r="P7" s="47" t="inlineStr">
        <is>
          <t>OTC Drug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5</v>
      </c>
      <c r="I8" s="47" t="n">
        <v>5</v>
      </c>
      <c r="J8" s="47" t="n">
        <v>4.68</v>
      </c>
      <c r="K8" s="47" t="n">
        <v>5</v>
      </c>
      <c r="L8" s="47" t="n">
        <v>5</v>
      </c>
      <c r="M8" s="47" t="n">
        <v>5</v>
      </c>
      <c r="N8" s="45" t="n">
        <v>4.68</v>
      </c>
      <c r="O8" s="48" t="inlineStr">
        <is>
          <t> </t>
        </is>
      </c>
      <c r="P8" s="47" t="inlineStr">
        <is>
          <t>OTC Drug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2</v>
      </c>
      <c r="I9" s="47" t="n">
        <v>2</v>
      </c>
      <c r="J9" s="47" t="n">
        <v>1</v>
      </c>
      <c r="K9" s="47" t="n">
        <v>2</v>
      </c>
      <c r="L9" s="47" t="n">
        <v>2</v>
      </c>
      <c r="M9" s="47" t="n">
        <v>2</v>
      </c>
      <c r="N9" s="45" t="n">
        <v>1</v>
      </c>
      <c r="O9" s="48" t="inlineStr">
        <is>
          <t> </t>
        </is>
      </c>
      <c r="P9" s="47" t="inlineStr">
        <is>
          <t>Branded Drug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3</v>
      </c>
      <c r="F10" s="47" t="n">
        <v>2</v>
      </c>
      <c r="G10" s="47" t="n">
        <v>2</v>
      </c>
      <c r="H10" s="47" t="n">
        <v>3</v>
      </c>
      <c r="I10" s="47" t="n">
        <v>3</v>
      </c>
      <c r="J10" s="47" t="n">
        <v>2</v>
      </c>
      <c r="K10" s="47" t="n">
        <v>3</v>
      </c>
      <c r="L10" s="47" t="n">
        <v>3</v>
      </c>
      <c r="M10" s="47" t="n">
        <v>3</v>
      </c>
      <c r="N10" s="45" t="n">
        <v>2</v>
      </c>
      <c r="O10" s="48" t="inlineStr">
        <is>
          <t> </t>
        </is>
      </c>
      <c r="P10" s="47" t="inlineStr">
        <is>
          <t>Branded Drug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24</v>
      </c>
      <c r="F11" s="47" t="n">
        <v>1</v>
      </c>
      <c r="G11" s="47" t="n">
        <v>24</v>
      </c>
      <c r="H11" s="47" t="n">
        <v>24</v>
      </c>
      <c r="I11" s="47" t="n">
        <v>20</v>
      </c>
      <c r="J11" s="47" t="n">
        <v>24</v>
      </c>
      <c r="K11" s="47" t="n">
        <v>24</v>
      </c>
      <c r="L11" s="47" t="n">
        <v>24</v>
      </c>
      <c r="M11" s="47" t="n">
        <v>24</v>
      </c>
      <c r="N11" s="45" t="n">
        <v>1</v>
      </c>
      <c r="O11" s="48" t="inlineStr">
        <is>
          <t> </t>
        </is>
      </c>
      <c r="P11" s="47" t="inlineStr">
        <is>
          <t>Generic Drug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47</v>
      </c>
      <c r="F12" s="47" t="n">
        <v>14</v>
      </c>
      <c r="G12" s="47" t="n">
        <v>38</v>
      </c>
      <c r="H12" s="47" t="n">
        <v>48</v>
      </c>
      <c r="I12" s="47" t="n">
        <v>44</v>
      </c>
      <c r="J12" s="47" t="n">
        <v>8</v>
      </c>
      <c r="K12" s="47" t="n">
        <v>42</v>
      </c>
      <c r="L12" s="47" t="n">
        <v>48</v>
      </c>
      <c r="M12" s="47" t="n">
        <v>48</v>
      </c>
      <c r="N12" s="45" t="n">
        <v>8</v>
      </c>
      <c r="O12" s="48" t="inlineStr">
        <is>
          <t> </t>
        </is>
      </c>
      <c r="P12" s="47" t="inlineStr">
        <is>
          <t>Generic Drug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3</v>
      </c>
      <c r="I13" s="47" t="n">
        <v>3</v>
      </c>
      <c r="J13" s="47" t="n">
        <v>2.1</v>
      </c>
      <c r="K13" s="47" t="n">
        <v>3</v>
      </c>
      <c r="L13" s="47" t="n">
        <v>3</v>
      </c>
      <c r="M13" s="47" t="n">
        <v>3</v>
      </c>
      <c r="N13" s="45" t="n">
        <v>2.1</v>
      </c>
      <c r="O13" s="48" t="inlineStr">
        <is>
          <t> </t>
        </is>
      </c>
      <c r="P13" s="47" t="inlineStr">
        <is>
          <t>Generic Drug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1</v>
      </c>
      <c r="F14" s="47" t="n">
        <v>0.55</v>
      </c>
      <c r="G14" s="47" t="n">
        <v>1</v>
      </c>
      <c r="H14" s="47" t="n">
        <v>1</v>
      </c>
      <c r="I14" s="47" t="n">
        <v>1</v>
      </c>
      <c r="J14" s="47" t="n">
        <v>0.79</v>
      </c>
      <c r="K14" s="47" t="n">
        <v>1</v>
      </c>
      <c r="L14" s="47" t="n">
        <v>1</v>
      </c>
      <c r="M14" s="47" t="n">
        <v>1</v>
      </c>
      <c r="N14" s="45" t="n">
        <v>0.55</v>
      </c>
      <c r="O14" s="48" t="inlineStr">
        <is>
          <t> </t>
        </is>
      </c>
      <c r="P14" s="47" t="inlineStr">
        <is>
          <t>Generic Drug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6</v>
      </c>
      <c r="F15" s="47" t="n">
        <v>2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7" t="n">
        <v>6</v>
      </c>
      <c r="M15" s="47" t="n">
        <v>6</v>
      </c>
      <c r="N15" s="45" t="n">
        <v>2</v>
      </c>
      <c r="O15" s="48" t="inlineStr">
        <is>
          <t> </t>
        </is>
      </c>
      <c r="P15" s="47" t="inlineStr">
        <is>
          <t>Generic Drug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8</v>
      </c>
      <c r="F16" s="47" t="n">
        <v>2</v>
      </c>
      <c r="G16" s="47" t="n">
        <v>7.5</v>
      </c>
      <c r="H16" s="47" t="n">
        <v>8</v>
      </c>
      <c r="I16" s="47" t="n">
        <v>8</v>
      </c>
      <c r="J16" s="47" t="n">
        <v>8</v>
      </c>
      <c r="K16" s="47" t="n">
        <v>8</v>
      </c>
      <c r="L16" s="47" t="n">
        <v>8</v>
      </c>
      <c r="M16" s="47" t="n">
        <v>8</v>
      </c>
      <c r="N16" s="45" t="n">
        <v>2</v>
      </c>
      <c r="O16" s="48" t="inlineStr">
        <is>
          <t> </t>
        </is>
      </c>
      <c r="P16" s="47" t="inlineStr">
        <is>
          <t>Generic Drug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5</v>
      </c>
      <c r="I17" s="47" t="n">
        <v>5</v>
      </c>
      <c r="J17" s="47" t="n">
        <v>4</v>
      </c>
      <c r="K17" s="47" t="n">
        <v>5</v>
      </c>
      <c r="L17" s="47" t="n">
        <v>5</v>
      </c>
      <c r="M17" s="47" t="n">
        <v>5</v>
      </c>
      <c r="N17" s="45" t="n">
        <v>4</v>
      </c>
      <c r="O17" s="48" t="inlineStr">
        <is>
          <t> </t>
        </is>
      </c>
      <c r="P17" s="47" t="inlineStr">
        <is>
          <t>Generic Drug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3</v>
      </c>
      <c r="F18" s="47" t="n">
        <v>1.8</v>
      </c>
      <c r="G18" s="47" t="n">
        <v>3</v>
      </c>
      <c r="H18" s="47" t="n">
        <v>3</v>
      </c>
      <c r="I18" s="47" t="n">
        <v>2.1</v>
      </c>
      <c r="J18" s="47" t="n">
        <v>3</v>
      </c>
      <c r="K18" s="47" t="n">
        <v>3</v>
      </c>
      <c r="L18" s="47" t="n">
        <v>3</v>
      </c>
      <c r="M18" s="47" t="n">
        <v>3</v>
      </c>
      <c r="N18" s="45" t="n">
        <v>1.8</v>
      </c>
      <c r="O18" s="48" t="inlineStr">
        <is>
          <t> </t>
        </is>
      </c>
      <c r="P18" s="47" t="inlineStr">
        <is>
          <t>Generic Drug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4</v>
      </c>
      <c r="F19" s="47" t="n">
        <v>2.23</v>
      </c>
      <c r="G19" s="47" t="n">
        <v>3.79</v>
      </c>
      <c r="H19" s="47" t="n">
        <v>4</v>
      </c>
      <c r="I19" s="47" t="n">
        <v>3.82</v>
      </c>
      <c r="J19" s="47" t="n">
        <v>2.95</v>
      </c>
      <c r="K19" s="47" t="n">
        <v>4</v>
      </c>
      <c r="L19" s="47" t="n">
        <v>4</v>
      </c>
      <c r="M19" s="47" t="n">
        <v>4</v>
      </c>
      <c r="N19" s="45" t="n">
        <v>2.23</v>
      </c>
      <c r="O19" s="48" t="inlineStr">
        <is>
          <t> </t>
        </is>
      </c>
      <c r="P19" s="47" t="inlineStr">
        <is>
          <t>Generic Drug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3</v>
      </c>
      <c r="F20" s="47" t="n">
        <v>2</v>
      </c>
      <c r="G20" s="47" t="n">
        <v>3</v>
      </c>
      <c r="H20" s="47" t="n">
        <v>3</v>
      </c>
      <c r="I20" s="47" t="n">
        <v>3</v>
      </c>
      <c r="J20" s="47" t="n">
        <v>1.57</v>
      </c>
      <c r="K20" s="47" t="n">
        <v>3</v>
      </c>
      <c r="L20" s="47" t="n">
        <v>3</v>
      </c>
      <c r="M20" s="47" t="n">
        <v>3</v>
      </c>
      <c r="N20" s="45" t="n">
        <v>1.57</v>
      </c>
      <c r="O20" s="48" t="inlineStr">
        <is>
          <t> </t>
        </is>
      </c>
      <c r="P20" s="47" t="inlineStr">
        <is>
          <t>Generic Drug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12</v>
      </c>
      <c r="F21" s="47" t="n">
        <v>10</v>
      </c>
      <c r="G21" s="47" t="n">
        <v>12</v>
      </c>
      <c r="H21" s="47" t="n">
        <v>12</v>
      </c>
      <c r="I21" s="47" t="n">
        <v>12</v>
      </c>
      <c r="J21" s="47" t="n">
        <v>11.33</v>
      </c>
      <c r="K21" s="47" t="n">
        <v>12</v>
      </c>
      <c r="L21" s="47" t="n">
        <v>12</v>
      </c>
      <c r="M21" s="47" t="n">
        <v>12</v>
      </c>
      <c r="N21" s="45" t="n">
        <v>10</v>
      </c>
      <c r="O21" s="48" t="inlineStr">
        <is>
          <t> </t>
        </is>
      </c>
      <c r="P21" s="47" t="inlineStr">
        <is>
          <t>Generic Drug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23</v>
      </c>
      <c r="F22" s="47" t="n">
        <v>20.6</v>
      </c>
      <c r="G22" s="47" t="n">
        <v>23</v>
      </c>
      <c r="H22" s="47" t="n">
        <v>23</v>
      </c>
      <c r="I22" s="47" t="n">
        <v>23</v>
      </c>
      <c r="J22" s="47" t="n">
        <v>22.8</v>
      </c>
      <c r="K22" s="47" t="n">
        <v>23</v>
      </c>
      <c r="L22" s="47" t="n">
        <v>23</v>
      </c>
      <c r="M22" s="47" t="n">
        <v>23</v>
      </c>
      <c r="N22" s="45" t="n">
        <v>20.6</v>
      </c>
      <c r="O22" s="48" t="inlineStr">
        <is>
          <t> </t>
        </is>
      </c>
      <c r="P22" s="47" t="inlineStr">
        <is>
          <t>Branded Drug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2</v>
      </c>
      <c r="G23" s="47" t="n">
        <v>1.7</v>
      </c>
      <c r="H23" s="47" t="n">
        <v>2</v>
      </c>
      <c r="I23" s="47" t="n">
        <v>2</v>
      </c>
      <c r="J23" s="47" t="n">
        <v>2</v>
      </c>
      <c r="K23" s="47" t="n">
        <v>2</v>
      </c>
      <c r="L23" s="47" t="n">
        <v>2</v>
      </c>
      <c r="M23" s="47" t="n">
        <v>2</v>
      </c>
      <c r="N23" s="45" t="n">
        <v>1.7</v>
      </c>
      <c r="O23" s="48" t="inlineStr">
        <is>
          <t> </t>
        </is>
      </c>
      <c r="P23" s="47" t="inlineStr">
        <is>
          <t>Generic Drug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1</v>
      </c>
      <c r="I24" s="47" t="n">
        <v>1</v>
      </c>
      <c r="J24" s="47" t="n">
        <v>0.9399999999999999</v>
      </c>
      <c r="K24" s="47" t="n">
        <v>1</v>
      </c>
      <c r="L24" s="47" t="n">
        <v>1</v>
      </c>
      <c r="M24" s="47" t="n">
        <v>1</v>
      </c>
      <c r="N24" s="45" t="n">
        <v>0.9399999999999999</v>
      </c>
      <c r="O24" s="48" t="inlineStr">
        <is>
          <t> </t>
        </is>
      </c>
      <c r="P24" s="47" t="inlineStr">
        <is>
          <t>Generic Drug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5</v>
      </c>
      <c r="F25" s="47" t="n">
        <v>4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7" t="n">
        <v>5</v>
      </c>
      <c r="M25" s="47" t="n">
        <v>5</v>
      </c>
      <c r="N25" s="45" t="n">
        <v>4</v>
      </c>
      <c r="O25" s="48" t="inlineStr">
        <is>
          <t> </t>
        </is>
      </c>
      <c r="P25" s="47" t="inlineStr">
        <is>
          <t>Generic Drug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13</v>
      </c>
      <c r="I26" s="47" t="n">
        <v>13</v>
      </c>
      <c r="J26" s="47" t="n">
        <v>12.71</v>
      </c>
      <c r="K26" s="47" t="n">
        <v>13</v>
      </c>
      <c r="L26" s="47" t="n">
        <v>13</v>
      </c>
      <c r="M26" s="47" t="n">
        <v>13</v>
      </c>
      <c r="N26" s="45" t="n">
        <v>12.71</v>
      </c>
      <c r="O26" s="48" t="inlineStr">
        <is>
          <t> </t>
        </is>
      </c>
      <c r="P26" s="47" t="inlineStr">
        <is>
          <t>OTC Drug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7</v>
      </c>
      <c r="F27" s="47" t="n">
        <v>5</v>
      </c>
      <c r="G27" s="47" t="n">
        <v>5</v>
      </c>
      <c r="H27" s="47" t="n">
        <v>7</v>
      </c>
      <c r="I27" s="47" t="n">
        <v>6</v>
      </c>
      <c r="J27" s="47" t="n">
        <v>5</v>
      </c>
      <c r="K27" s="47" t="n">
        <v>4</v>
      </c>
      <c r="L27" s="47" t="n">
        <v>7</v>
      </c>
      <c r="M27" s="47" t="n">
        <v>7</v>
      </c>
      <c r="N27" s="45" t="n">
        <v>4</v>
      </c>
      <c r="O27" s="48" t="inlineStr">
        <is>
          <t> </t>
        </is>
      </c>
      <c r="P27" s="47" t="inlineStr">
        <is>
          <t>Branded Drug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9</v>
      </c>
      <c r="F28" s="47" t="n">
        <v>4</v>
      </c>
      <c r="G28" s="47" t="n">
        <v>6</v>
      </c>
      <c r="H28" s="47" t="n">
        <v>9</v>
      </c>
      <c r="I28" s="47" t="n">
        <v>9</v>
      </c>
      <c r="J28" s="47" t="n">
        <v>9</v>
      </c>
      <c r="K28" s="47" t="n">
        <v>9</v>
      </c>
      <c r="L28" s="47" t="n">
        <v>9</v>
      </c>
      <c r="M28" s="47" t="n">
        <v>9</v>
      </c>
      <c r="N28" s="45" t="n">
        <v>4</v>
      </c>
      <c r="O28" s="48" t="inlineStr">
        <is>
          <t> </t>
        </is>
      </c>
      <c r="P28" s="47" t="inlineStr">
        <is>
          <t>Generic Drug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3</v>
      </c>
      <c r="I29" s="47" t="n">
        <v>3</v>
      </c>
      <c r="J29" s="47" t="n">
        <v>2.1</v>
      </c>
      <c r="K29" s="47" t="n">
        <v>3</v>
      </c>
      <c r="L29" s="47" t="n">
        <v>3</v>
      </c>
      <c r="M29" s="47" t="n">
        <v>3</v>
      </c>
      <c r="N29" s="45" t="n">
        <v>2.1</v>
      </c>
      <c r="O29" s="48" t="inlineStr">
        <is>
          <t> </t>
        </is>
      </c>
      <c r="P29" s="47" t="inlineStr">
        <is>
          <t>Generic Drug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3.4</v>
      </c>
      <c r="K30" s="47" t="n">
        <v>6</v>
      </c>
      <c r="L30" s="47" t="n">
        <v>6</v>
      </c>
      <c r="M30" s="47" t="n">
        <v>6</v>
      </c>
      <c r="N30" s="45" t="n">
        <v>3.4</v>
      </c>
      <c r="O30" s="48" t="inlineStr">
        <is>
          <t> </t>
        </is>
      </c>
      <c r="P30" s="47" t="inlineStr">
        <is>
          <t>OTC Drug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1</v>
      </c>
      <c r="I31" s="47" t="n">
        <v>1</v>
      </c>
      <c r="J31" s="47" t="n">
        <v>0.25</v>
      </c>
      <c r="K31" s="47" t="n">
        <v>1</v>
      </c>
      <c r="L31" s="47" t="n">
        <v>1</v>
      </c>
      <c r="M31" s="47" t="n">
        <v>1</v>
      </c>
      <c r="N31" s="45" t="n">
        <v>0.25</v>
      </c>
      <c r="O31" s="48" t="inlineStr">
        <is>
          <t> </t>
        </is>
      </c>
      <c r="P31" s="47" t="inlineStr">
        <is>
          <t>Branded Drug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5</v>
      </c>
      <c r="F32" s="47" t="n">
        <v>1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7" t="n">
        <v>5</v>
      </c>
      <c r="M32" s="47" t="n">
        <v>5</v>
      </c>
      <c r="N32" s="45" t="n">
        <v>1</v>
      </c>
      <c r="O32" s="48" t="inlineStr">
        <is>
          <t> </t>
        </is>
      </c>
      <c r="P32" s="47" t="inlineStr">
        <is>
          <t>Branded Drug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8</v>
      </c>
      <c r="F33" s="47" t="n">
        <v>7</v>
      </c>
      <c r="G33" s="47" t="n">
        <v>7</v>
      </c>
      <c r="H33" s="47" t="n">
        <v>8</v>
      </c>
      <c r="I33" s="47" t="n">
        <v>8</v>
      </c>
      <c r="J33" s="47" t="n">
        <v>4</v>
      </c>
      <c r="K33" s="47" t="n">
        <v>7</v>
      </c>
      <c r="L33" s="47" t="n">
        <v>8</v>
      </c>
      <c r="M33" s="47" t="n">
        <v>8</v>
      </c>
      <c r="N33" s="45" t="n">
        <v>4</v>
      </c>
      <c r="O33" s="48" t="inlineStr">
        <is>
          <t> </t>
        </is>
      </c>
      <c r="P33" s="47" t="inlineStr">
        <is>
          <t>Generic Drug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3</v>
      </c>
      <c r="F34" s="47" t="n">
        <v>2</v>
      </c>
      <c r="G34" s="47" t="n">
        <v>2</v>
      </c>
      <c r="H34" s="47" t="n">
        <v>3</v>
      </c>
      <c r="I34" s="47" t="n">
        <v>3</v>
      </c>
      <c r="J34" s="47" t="n">
        <v>3</v>
      </c>
      <c r="K34" s="47" t="n">
        <v>2</v>
      </c>
      <c r="L34" s="47" t="n">
        <v>3</v>
      </c>
      <c r="M34" s="47" t="n">
        <v>3</v>
      </c>
      <c r="N34" s="45" t="n">
        <v>2</v>
      </c>
      <c r="O34" s="48" t="inlineStr">
        <is>
          <t> </t>
        </is>
      </c>
      <c r="P34" s="47" t="inlineStr">
        <is>
          <t>Generic Drug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8</v>
      </c>
      <c r="F35" s="47" t="n">
        <v>3</v>
      </c>
      <c r="G35" s="47" t="n">
        <v>8</v>
      </c>
      <c r="H35" s="47" t="n">
        <v>8</v>
      </c>
      <c r="I35" s="47" t="n">
        <v>8</v>
      </c>
      <c r="J35" s="47" t="n">
        <v>7</v>
      </c>
      <c r="K35" s="47" t="n">
        <v>8</v>
      </c>
      <c r="L35" s="47" t="n">
        <v>8</v>
      </c>
      <c r="M35" s="47" t="n">
        <v>8</v>
      </c>
      <c r="N35" s="45" t="n">
        <v>3</v>
      </c>
      <c r="O35" s="48" t="inlineStr">
        <is>
          <t> </t>
        </is>
      </c>
      <c r="P35" s="47" t="inlineStr">
        <is>
          <t>Generic Drug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3</v>
      </c>
      <c r="F36" s="47" t="n">
        <v>1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7" t="n">
        <v>3</v>
      </c>
      <c r="M36" s="47" t="n">
        <v>3</v>
      </c>
      <c r="N36" s="45" t="n">
        <v>1</v>
      </c>
      <c r="O36" s="48" t="inlineStr">
        <is>
          <t> </t>
        </is>
      </c>
      <c r="P36" s="47" t="inlineStr">
        <is>
          <t>Generic Drug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1</v>
      </c>
      <c r="F37" s="47" t="n">
        <v>0.7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5" t="n">
        <v>0.7</v>
      </c>
      <c r="O37" s="48" t="inlineStr">
        <is>
          <t> </t>
        </is>
      </c>
      <c r="P37" s="47" t="inlineStr">
        <is>
          <t>Generic Drug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1</v>
      </c>
      <c r="F38" s="47" t="n">
        <v>0.7</v>
      </c>
      <c r="G38" s="47" t="n">
        <v>1</v>
      </c>
      <c r="H38" s="47" t="n">
        <v>1</v>
      </c>
      <c r="I38" s="47" t="n">
        <v>1</v>
      </c>
      <c r="J38" s="47" t="n">
        <v>0.6</v>
      </c>
      <c r="K38" s="47" t="n">
        <v>1</v>
      </c>
      <c r="L38" s="47" t="n">
        <v>1</v>
      </c>
      <c r="M38" s="47" t="n">
        <v>1</v>
      </c>
      <c r="N38" s="45" t="n">
        <v>0.6</v>
      </c>
      <c r="O38" s="48" t="inlineStr">
        <is>
          <t> </t>
        </is>
      </c>
      <c r="P38" s="47" t="inlineStr">
        <is>
          <t>Generic Drug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2</v>
      </c>
      <c r="I39" s="47" t="n">
        <v>2</v>
      </c>
      <c r="J39" s="47" t="n">
        <v>1</v>
      </c>
      <c r="K39" s="47" t="n">
        <v>2</v>
      </c>
      <c r="L39" s="47" t="n">
        <v>2</v>
      </c>
      <c r="M39" s="47" t="n">
        <v>2</v>
      </c>
      <c r="N39" s="45" t="n">
        <v>1</v>
      </c>
      <c r="O39" s="48" t="inlineStr">
        <is>
          <t> </t>
        </is>
      </c>
      <c r="P39" s="47" t="inlineStr">
        <is>
          <t>Generic Drug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2</v>
      </c>
      <c r="I40" s="47" t="n">
        <v>2</v>
      </c>
      <c r="J40" s="47" t="n">
        <v>1</v>
      </c>
      <c r="K40" s="47" t="n">
        <v>2</v>
      </c>
      <c r="L40" s="47" t="n">
        <v>2</v>
      </c>
      <c r="M40" s="47" t="n">
        <v>2</v>
      </c>
      <c r="N40" s="45" t="n">
        <v>1</v>
      </c>
      <c r="O40" s="48" t="inlineStr">
        <is>
          <t> </t>
        </is>
      </c>
      <c r="P40" s="47" t="inlineStr">
        <is>
          <t>Generic Drug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3</v>
      </c>
      <c r="I41" s="47" t="n">
        <v>3</v>
      </c>
      <c r="J41" s="47" t="n">
        <v>2.4</v>
      </c>
      <c r="K41" s="47" t="n">
        <v>3</v>
      </c>
      <c r="L41" s="47" t="n">
        <v>3</v>
      </c>
      <c r="M41" s="47" t="n">
        <v>3</v>
      </c>
      <c r="N41" s="45" t="n">
        <v>2.4</v>
      </c>
      <c r="O41" s="48" t="inlineStr">
        <is>
          <t> </t>
        </is>
      </c>
      <c r="P41" s="47" t="inlineStr">
        <is>
          <t>Generic Drug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5</v>
      </c>
      <c r="F42" s="47" t="n">
        <v>2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7" t="n">
        <v>5</v>
      </c>
      <c r="M42" s="47" t="n">
        <v>5</v>
      </c>
      <c r="N42" s="45" t="n">
        <v>2</v>
      </c>
      <c r="O42" s="48" t="inlineStr">
        <is>
          <t> </t>
        </is>
      </c>
      <c r="P42" s="47" t="inlineStr">
        <is>
          <t>Health and Beauty Aid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1</v>
      </c>
      <c r="F43" s="47" t="n">
        <v>0.25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7" t="n">
        <v>1</v>
      </c>
      <c r="M43" s="47" t="n">
        <v>1</v>
      </c>
      <c r="N43" s="45" t="n">
        <v>0.25</v>
      </c>
      <c r="O43" s="48" t="inlineStr">
        <is>
          <t> </t>
        </is>
      </c>
      <c r="P43" s="47" t="inlineStr">
        <is>
          <t>Generic Drug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12</v>
      </c>
      <c r="F44" s="47" t="n">
        <v>8</v>
      </c>
      <c r="G44" s="47" t="n">
        <v>12</v>
      </c>
      <c r="H44" s="47" t="n">
        <v>12</v>
      </c>
      <c r="I44" s="47" t="n">
        <v>11</v>
      </c>
      <c r="J44" s="47" t="n">
        <v>10</v>
      </c>
      <c r="K44" s="47" t="n">
        <v>12</v>
      </c>
      <c r="L44" s="47" t="n">
        <v>12</v>
      </c>
      <c r="M44" s="47" t="n">
        <v>12</v>
      </c>
      <c r="N44" s="45" t="n">
        <v>8</v>
      </c>
      <c r="O44" s="48" t="inlineStr">
        <is>
          <t> </t>
        </is>
      </c>
      <c r="P44" s="47" t="inlineStr">
        <is>
          <t>Home Health Care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3</v>
      </c>
      <c r="F45" s="47" t="n">
        <v>2.1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7" t="n">
        <v>3</v>
      </c>
      <c r="M45" s="47" t="n">
        <v>3</v>
      </c>
      <c r="N45" s="45" t="n">
        <v>2.1</v>
      </c>
      <c r="O45" s="48" t="inlineStr">
        <is>
          <t> </t>
        </is>
      </c>
      <c r="P45" s="47" t="inlineStr">
        <is>
          <t>Branded Drug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24</v>
      </c>
      <c r="F46" s="47" t="n">
        <v>15</v>
      </c>
      <c r="G46" s="47" t="n">
        <v>21</v>
      </c>
      <c r="H46" s="47" t="n">
        <v>24</v>
      </c>
      <c r="I46" s="47" t="n">
        <v>24</v>
      </c>
      <c r="J46" s="47" t="n">
        <v>18</v>
      </c>
      <c r="K46" s="47" t="n">
        <v>21</v>
      </c>
      <c r="L46" s="47" t="n">
        <v>24</v>
      </c>
      <c r="M46" s="47" t="n">
        <v>24</v>
      </c>
      <c r="N46" s="45" t="n">
        <v>15</v>
      </c>
      <c r="O46" s="48" t="inlineStr">
        <is>
          <t> </t>
        </is>
      </c>
      <c r="P46" s="47" t="inlineStr">
        <is>
          <t>Home Health Care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1</v>
      </c>
      <c r="F47" s="47" t="n">
        <v>0.64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7" t="n">
        <v>1</v>
      </c>
      <c r="N47" s="45" t="n">
        <v>0.64</v>
      </c>
      <c r="O47" s="48" t="inlineStr">
        <is>
          <t> </t>
        </is>
      </c>
      <c r="P47" s="47" t="inlineStr">
        <is>
          <t>Generic Drug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2</v>
      </c>
      <c r="F48" s="47" t="n">
        <v>1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7" t="n">
        <v>2</v>
      </c>
      <c r="M48" s="47" t="n">
        <v>2</v>
      </c>
      <c r="N48" s="45" t="n">
        <v>1</v>
      </c>
      <c r="O48" s="48" t="inlineStr">
        <is>
          <t> </t>
        </is>
      </c>
      <c r="P48" s="47" t="inlineStr">
        <is>
          <t>Generic Drug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20</v>
      </c>
      <c r="F49" s="47" t="n">
        <v>13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7" t="n">
        <v>20</v>
      </c>
      <c r="M49" s="47" t="n">
        <v>20</v>
      </c>
      <c r="N49" s="45" t="n">
        <v>13</v>
      </c>
      <c r="O49" s="48" t="inlineStr">
        <is>
          <t> </t>
        </is>
      </c>
      <c r="P49" s="47" t="inlineStr">
        <is>
          <t>Branded Drug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39</v>
      </c>
      <c r="F50" s="47" t="n">
        <v>17</v>
      </c>
      <c r="G50" s="47" t="n">
        <v>36</v>
      </c>
      <c r="H50" s="47" t="n">
        <v>39</v>
      </c>
      <c r="I50" s="47" t="n">
        <v>36</v>
      </c>
      <c r="J50" s="47" t="n">
        <v>32</v>
      </c>
      <c r="K50" s="47" t="n">
        <v>39</v>
      </c>
      <c r="L50" s="47" t="n">
        <v>39</v>
      </c>
      <c r="M50" s="47" t="n">
        <v>39</v>
      </c>
      <c r="N50" s="45" t="n">
        <v>17</v>
      </c>
      <c r="O50" s="48" t="inlineStr">
        <is>
          <t> </t>
        </is>
      </c>
      <c r="P50" s="47" t="inlineStr">
        <is>
          <t>Branded Drug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2</v>
      </c>
      <c r="F51" s="47" t="n">
        <v>1.7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7" t="n">
        <v>2</v>
      </c>
      <c r="M51" s="47" t="n">
        <v>2</v>
      </c>
      <c r="N51" s="45" t="n">
        <v>1.7</v>
      </c>
      <c r="O51" s="48" t="inlineStr">
        <is>
          <t> </t>
        </is>
      </c>
      <c r="P51" s="47" t="inlineStr">
        <is>
          <t>Generic Drug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2</v>
      </c>
      <c r="F52" s="47" t="n">
        <v>1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5" t="n">
        <v>1</v>
      </c>
      <c r="O52" s="48" t="inlineStr">
        <is>
          <t> </t>
        </is>
      </c>
      <c r="P52" s="47" t="inlineStr">
        <is>
          <t>Generic Drug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3</v>
      </c>
      <c r="F53" s="47" t="n">
        <v>1.5</v>
      </c>
      <c r="G53" s="47" t="n">
        <v>3</v>
      </c>
      <c r="H53" s="47" t="n">
        <v>3</v>
      </c>
      <c r="I53" s="47" t="n">
        <v>2.82</v>
      </c>
      <c r="J53" s="47" t="n">
        <v>2.46</v>
      </c>
      <c r="K53" s="47" t="n">
        <v>3</v>
      </c>
      <c r="L53" s="47" t="n">
        <v>3</v>
      </c>
      <c r="M53" s="47" t="n">
        <v>3</v>
      </c>
      <c r="N53" s="45" t="n">
        <v>1.5</v>
      </c>
      <c r="O53" s="48" t="inlineStr">
        <is>
          <t> </t>
        </is>
      </c>
      <c r="P53" s="47" t="inlineStr">
        <is>
          <t>Generic Drug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13</v>
      </c>
      <c r="H54" s="47" t="n">
        <v>13</v>
      </c>
      <c r="I54" s="47" t="n">
        <v>12</v>
      </c>
      <c r="J54" s="47" t="n">
        <v>12</v>
      </c>
      <c r="K54" s="47" t="n">
        <v>12</v>
      </c>
      <c r="L54" s="47" t="n">
        <v>13</v>
      </c>
      <c r="M54" s="47" t="n">
        <v>13</v>
      </c>
      <c r="N54" s="45" t="n">
        <v>12</v>
      </c>
      <c r="O54" s="48" t="inlineStr">
        <is>
          <t> </t>
        </is>
      </c>
      <c r="P54" s="47" t="inlineStr">
        <is>
          <t>Branded Drug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3</v>
      </c>
      <c r="F55" s="47" t="n">
        <v>2.1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7" t="n">
        <v>3</v>
      </c>
      <c r="M55" s="47" t="n">
        <v>3</v>
      </c>
      <c r="N55" s="45" t="n">
        <v>2.1</v>
      </c>
      <c r="O55" s="48" t="inlineStr">
        <is>
          <t> </t>
        </is>
      </c>
      <c r="P55" s="47" t="inlineStr">
        <is>
          <t>Generic Drug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2</v>
      </c>
      <c r="G56" s="47" t="n">
        <v>1.7</v>
      </c>
      <c r="H56" s="47" t="n">
        <v>2</v>
      </c>
      <c r="I56" s="47" t="n">
        <v>2</v>
      </c>
      <c r="J56" s="47" t="n">
        <v>1.1</v>
      </c>
      <c r="K56" s="47" t="n">
        <v>2</v>
      </c>
      <c r="L56" s="47" t="n">
        <v>2</v>
      </c>
      <c r="M56" s="47" t="n">
        <v>2</v>
      </c>
      <c r="N56" s="45" t="n">
        <v>1.1</v>
      </c>
      <c r="O56" s="48" t="inlineStr">
        <is>
          <t> </t>
        </is>
      </c>
      <c r="P56" s="47" t="inlineStr">
        <is>
          <t>OTC Drug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3</v>
      </c>
      <c r="I57" s="47" t="n">
        <v>3</v>
      </c>
      <c r="J57" s="47" t="n">
        <v>1</v>
      </c>
      <c r="K57" s="47" t="n">
        <v>3</v>
      </c>
      <c r="L57" s="47" t="n">
        <v>3</v>
      </c>
      <c r="M57" s="47" t="n">
        <v>3</v>
      </c>
      <c r="N57" s="45" t="n">
        <v>1</v>
      </c>
      <c r="O57" s="48" t="inlineStr">
        <is>
          <t> </t>
        </is>
      </c>
      <c r="P57" s="47" t="inlineStr">
        <is>
          <t>OTC Drug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3</v>
      </c>
      <c r="F58" s="47" t="n">
        <v>1.58</v>
      </c>
      <c r="G58" s="47" t="n">
        <v>2.92</v>
      </c>
      <c r="H58" s="47" t="n">
        <v>3</v>
      </c>
      <c r="I58" s="47" t="n">
        <v>3</v>
      </c>
      <c r="J58" s="47" t="n">
        <v>2.25</v>
      </c>
      <c r="K58" s="47" t="n">
        <v>3</v>
      </c>
      <c r="L58" s="47" t="n">
        <v>3</v>
      </c>
      <c r="M58" s="47" t="n">
        <v>3</v>
      </c>
      <c r="N58" s="45" t="n">
        <v>1.58</v>
      </c>
      <c r="O58" s="48" t="inlineStr">
        <is>
          <t> </t>
        </is>
      </c>
      <c r="P58" s="47" t="inlineStr">
        <is>
          <t>Generic Drug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2</v>
      </c>
      <c r="F59" s="47" t="n">
        <v>1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7" t="n">
        <v>2</v>
      </c>
      <c r="M59" s="47" t="n">
        <v>2</v>
      </c>
      <c r="N59" s="45" t="n">
        <v>1</v>
      </c>
      <c r="O59" s="48" t="inlineStr">
        <is>
          <t> </t>
        </is>
      </c>
      <c r="P59" s="47" t="inlineStr">
        <is>
          <t>Generic Drug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3</v>
      </c>
      <c r="F60" s="47" t="n">
        <v>1</v>
      </c>
      <c r="G60" s="47" t="n">
        <v>3</v>
      </c>
      <c r="H60" s="47" t="n">
        <v>3</v>
      </c>
      <c r="I60" s="47" t="n">
        <v>3</v>
      </c>
      <c r="J60" s="47" t="n">
        <v>2</v>
      </c>
      <c r="K60" s="47" t="n">
        <v>3</v>
      </c>
      <c r="L60" s="47" t="n">
        <v>3</v>
      </c>
      <c r="M60" s="47" t="n">
        <v>3</v>
      </c>
      <c r="N60" s="45" t="n">
        <v>1</v>
      </c>
      <c r="O60" s="48" t="inlineStr">
        <is>
          <t> </t>
        </is>
      </c>
      <c r="P60" s="47" t="inlineStr">
        <is>
          <t>Generic Drug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3</v>
      </c>
      <c r="G61" s="47" t="n">
        <v>4</v>
      </c>
      <c r="H61" s="47" t="n">
        <v>4</v>
      </c>
      <c r="I61" s="47" t="n">
        <v>4</v>
      </c>
      <c r="J61" s="47" t="n">
        <v>3</v>
      </c>
      <c r="K61" s="47" t="n">
        <v>4</v>
      </c>
      <c r="L61" s="47" t="n">
        <v>4</v>
      </c>
      <c r="M61" s="47" t="n">
        <v>4</v>
      </c>
      <c r="N61" s="45" t="n">
        <v>3</v>
      </c>
      <c r="O61" s="48" t="inlineStr">
        <is>
          <t> </t>
        </is>
      </c>
      <c r="P61" s="47" t="inlineStr">
        <is>
          <t>Generic Drug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7</v>
      </c>
      <c r="F62" s="47" t="n">
        <v>3</v>
      </c>
      <c r="G62" s="47" t="n">
        <v>6</v>
      </c>
      <c r="H62" s="47" t="n">
        <v>7</v>
      </c>
      <c r="I62" s="47" t="n">
        <v>7</v>
      </c>
      <c r="J62" s="47" t="n">
        <v>7</v>
      </c>
      <c r="K62" s="47" t="n">
        <v>7</v>
      </c>
      <c r="L62" s="47" t="n">
        <v>7</v>
      </c>
      <c r="M62" s="47" t="n">
        <v>7</v>
      </c>
      <c r="N62" s="45" t="n">
        <v>3</v>
      </c>
      <c r="O62" s="48" t="inlineStr">
        <is>
          <t> </t>
        </is>
      </c>
      <c r="P62" s="47" t="inlineStr">
        <is>
          <t>Generic Drug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1</v>
      </c>
      <c r="F63" s="47" t="n">
        <v>0.88</v>
      </c>
      <c r="G63" s="47" t="n">
        <v>1</v>
      </c>
      <c r="H63" s="47" t="n">
        <v>1</v>
      </c>
      <c r="I63" s="47" t="n">
        <v>1</v>
      </c>
      <c r="J63" s="47" t="n">
        <v>0.7</v>
      </c>
      <c r="K63" s="47" t="n">
        <v>0.82</v>
      </c>
      <c r="L63" s="47" t="n">
        <v>0.9399999999999999</v>
      </c>
      <c r="M63" s="47" t="n">
        <v>1</v>
      </c>
      <c r="N63" s="45" t="n">
        <v>0.7</v>
      </c>
      <c r="O63" s="48" t="inlineStr">
        <is>
          <t> </t>
        </is>
      </c>
      <c r="P63" s="47" t="inlineStr">
        <is>
          <t>Generic Drug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2</v>
      </c>
      <c r="F64" s="47" t="n">
        <v>1.1</v>
      </c>
      <c r="G64" s="47" t="n">
        <v>2</v>
      </c>
      <c r="H64" s="47" t="n">
        <v>2</v>
      </c>
      <c r="I64" s="47" t="n">
        <v>2</v>
      </c>
      <c r="J64" s="47" t="n">
        <v>1.76</v>
      </c>
      <c r="K64" s="47" t="n">
        <v>2</v>
      </c>
      <c r="L64" s="47" t="n">
        <v>2</v>
      </c>
      <c r="M64" s="47" t="n">
        <v>2</v>
      </c>
      <c r="N64" s="45" t="n">
        <v>1.1</v>
      </c>
      <c r="O64" s="48" t="inlineStr">
        <is>
          <t> </t>
        </is>
      </c>
      <c r="P64" s="47" t="inlineStr">
        <is>
          <t>Generic Drug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6</v>
      </c>
      <c r="F65" s="47" t="n">
        <v>1</v>
      </c>
      <c r="G65" s="47" t="n">
        <v>6</v>
      </c>
      <c r="H65" s="47" t="n">
        <v>6</v>
      </c>
      <c r="I65" s="47" t="n">
        <v>6</v>
      </c>
      <c r="J65" s="47" t="n">
        <v>4</v>
      </c>
      <c r="K65" s="47" t="n">
        <v>6</v>
      </c>
      <c r="L65" s="47" t="n">
        <v>5</v>
      </c>
      <c r="M65" s="47" t="n">
        <v>6</v>
      </c>
      <c r="N65" s="45" t="n">
        <v>1</v>
      </c>
      <c r="O65" s="48" t="inlineStr">
        <is>
          <t> </t>
        </is>
      </c>
      <c r="P65" s="47" t="inlineStr">
        <is>
          <t>Generic Drug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10</v>
      </c>
      <c r="F66" s="47" t="n">
        <v>3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7" t="n">
        <v>10</v>
      </c>
      <c r="M66" s="47" t="n">
        <v>10</v>
      </c>
      <c r="N66" s="45" t="n">
        <v>3</v>
      </c>
      <c r="O66" s="48" t="inlineStr">
        <is>
          <t> </t>
        </is>
      </c>
      <c r="P66" s="47" t="inlineStr">
        <is>
          <t>Branded Drug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2</v>
      </c>
      <c r="F67" s="47" t="n">
        <v>0.92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1.94</v>
      </c>
      <c r="L67" s="47" t="n">
        <v>2</v>
      </c>
      <c r="M67" s="47" t="n">
        <v>2</v>
      </c>
      <c r="N67" s="45" t="n">
        <v>0.92</v>
      </c>
      <c r="O67" s="48" t="inlineStr">
        <is>
          <t> </t>
        </is>
      </c>
      <c r="P67" s="47" t="inlineStr">
        <is>
          <t>Generic Drug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3</v>
      </c>
      <c r="I68" s="47" t="n">
        <v>3</v>
      </c>
      <c r="J68" s="47" t="n">
        <v>2</v>
      </c>
      <c r="K68" s="47" t="n">
        <v>3</v>
      </c>
      <c r="L68" s="47" t="n">
        <v>3</v>
      </c>
      <c r="M68" s="47" t="n">
        <v>3</v>
      </c>
      <c r="N68" s="45" t="n">
        <v>2</v>
      </c>
      <c r="O68" s="48" t="inlineStr">
        <is>
          <t> </t>
        </is>
      </c>
      <c r="P68" s="47" t="inlineStr">
        <is>
          <t>Generic Drug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2</v>
      </c>
      <c r="F69" s="47" t="n">
        <v>1.73</v>
      </c>
      <c r="G69" s="47" t="n">
        <v>1.82</v>
      </c>
      <c r="H69" s="47" t="n">
        <v>2</v>
      </c>
      <c r="I69" s="47" t="n">
        <v>2</v>
      </c>
      <c r="J69" s="47" t="n">
        <v>2</v>
      </c>
      <c r="K69" s="47" t="n">
        <v>2</v>
      </c>
      <c r="L69" s="47" t="n">
        <v>2</v>
      </c>
      <c r="M69" s="47" t="n">
        <v>2</v>
      </c>
      <c r="N69" s="45" t="n">
        <v>1.73</v>
      </c>
      <c r="O69" s="48" t="inlineStr">
        <is>
          <t> </t>
        </is>
      </c>
      <c r="P69" s="47" t="inlineStr">
        <is>
          <t>Generic Drug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7</v>
      </c>
      <c r="F70" s="47" t="n">
        <v>1</v>
      </c>
      <c r="G70" s="47" t="n">
        <v>5</v>
      </c>
      <c r="H70" s="47" t="n">
        <v>7</v>
      </c>
      <c r="I70" s="47" t="n">
        <v>7</v>
      </c>
      <c r="J70" s="47" t="n">
        <v>6</v>
      </c>
      <c r="K70" s="47" t="n">
        <v>7</v>
      </c>
      <c r="L70" s="47" t="n">
        <v>6</v>
      </c>
      <c r="M70" s="47" t="n">
        <v>7</v>
      </c>
      <c r="N70" s="45" t="n">
        <v>1</v>
      </c>
      <c r="O70" s="48" t="inlineStr">
        <is>
          <t> </t>
        </is>
      </c>
      <c r="P70" s="47" t="inlineStr">
        <is>
          <t>Generic Drug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10</v>
      </c>
      <c r="F71" s="47" t="n">
        <v>8</v>
      </c>
      <c r="G71" s="47" t="n">
        <v>10</v>
      </c>
      <c r="H71" s="47" t="n">
        <v>10</v>
      </c>
      <c r="I71" s="47" t="n">
        <v>10</v>
      </c>
      <c r="J71" s="47" t="n">
        <v>3</v>
      </c>
      <c r="K71" s="47" t="n">
        <v>10</v>
      </c>
      <c r="L71" s="47" t="n">
        <v>10</v>
      </c>
      <c r="M71" s="47" t="n">
        <v>10</v>
      </c>
      <c r="N71" s="45" t="n">
        <v>3</v>
      </c>
      <c r="O71" s="48" t="inlineStr">
        <is>
          <t> </t>
        </is>
      </c>
      <c r="P71" s="47" t="inlineStr">
        <is>
          <t>Generic Drug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2</v>
      </c>
      <c r="F72" s="47" t="n">
        <v>1.82</v>
      </c>
      <c r="G72" s="47" t="n">
        <v>2</v>
      </c>
      <c r="H72" s="47" t="n">
        <v>2</v>
      </c>
      <c r="I72" s="47" t="n">
        <v>2</v>
      </c>
      <c r="J72" s="47" t="n">
        <v>1.62</v>
      </c>
      <c r="K72" s="47" t="n">
        <v>2</v>
      </c>
      <c r="L72" s="47" t="n">
        <v>2</v>
      </c>
      <c r="M72" s="47" t="n">
        <v>2</v>
      </c>
      <c r="N72" s="45" t="n">
        <v>1.62</v>
      </c>
      <c r="O72" s="48" t="inlineStr">
        <is>
          <t> </t>
        </is>
      </c>
      <c r="P72" s="47" t="inlineStr">
        <is>
          <t>Generic Drug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2</v>
      </c>
      <c r="F73" s="47" t="n">
        <v>0.5</v>
      </c>
      <c r="G73" s="47" t="n">
        <v>1.7</v>
      </c>
      <c r="H73" s="47" t="n">
        <v>2</v>
      </c>
      <c r="I73" s="47" t="n">
        <v>2</v>
      </c>
      <c r="J73" s="47" t="n">
        <v>1.58</v>
      </c>
      <c r="K73" s="47" t="n">
        <v>1.79</v>
      </c>
      <c r="L73" s="47" t="n">
        <v>2</v>
      </c>
      <c r="M73" s="47" t="n">
        <v>2</v>
      </c>
      <c r="N73" s="45" t="n">
        <v>0.5</v>
      </c>
      <c r="O73" s="48" t="inlineStr">
        <is>
          <t> </t>
        </is>
      </c>
      <c r="P73" s="47" t="inlineStr">
        <is>
          <t>Generic Drug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20</v>
      </c>
      <c r="F74" s="47" t="n">
        <v>4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7" t="n">
        <v>20</v>
      </c>
      <c r="M74" s="47" t="n">
        <v>20</v>
      </c>
      <c r="N74" s="45" t="n">
        <v>4</v>
      </c>
      <c r="O74" s="48" t="inlineStr">
        <is>
          <t> </t>
        </is>
      </c>
      <c r="P74" s="47" t="inlineStr">
        <is>
          <t>Branded Drug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24</v>
      </c>
      <c r="F75" s="47" t="n">
        <v>11</v>
      </c>
      <c r="G75" s="47" t="n">
        <v>21</v>
      </c>
      <c r="H75" s="47" t="n">
        <v>24</v>
      </c>
      <c r="I75" s="47" t="n">
        <v>24</v>
      </c>
      <c r="J75" s="47" t="n">
        <v>24</v>
      </c>
      <c r="K75" s="47" t="n">
        <v>24</v>
      </c>
      <c r="L75" s="47" t="n">
        <v>24</v>
      </c>
      <c r="M75" s="47" t="n">
        <v>24</v>
      </c>
      <c r="N75" s="45" t="n">
        <v>11</v>
      </c>
      <c r="O75" s="48" t="inlineStr">
        <is>
          <t> </t>
        </is>
      </c>
      <c r="P75" s="47" t="inlineStr">
        <is>
          <t>Branded Drug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10</v>
      </c>
      <c r="F76" s="47" t="n">
        <v>6</v>
      </c>
      <c r="G76" s="47" t="n">
        <v>11</v>
      </c>
      <c r="H76" s="47" t="n">
        <v>12</v>
      </c>
      <c r="I76" s="47" t="n">
        <v>12</v>
      </c>
      <c r="J76" s="47" t="n">
        <v>12</v>
      </c>
      <c r="K76" s="47" t="n">
        <v>12</v>
      </c>
      <c r="L76" s="47" t="n">
        <v>9</v>
      </c>
      <c r="M76" s="47" t="n">
        <v>12</v>
      </c>
      <c r="N76" s="45" t="n">
        <v>6</v>
      </c>
      <c r="O76" s="48" t="inlineStr">
        <is>
          <t> </t>
        </is>
      </c>
      <c r="P76" s="47" t="inlineStr">
        <is>
          <t>Branded Drug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44</v>
      </c>
      <c r="F77" s="47" t="n">
        <v>8</v>
      </c>
      <c r="G77" s="47" t="n">
        <v>35</v>
      </c>
      <c r="H77" s="47" t="n">
        <v>44</v>
      </c>
      <c r="I77" s="47" t="n">
        <v>43</v>
      </c>
      <c r="J77" s="47" t="n">
        <v>32</v>
      </c>
      <c r="K77" s="47" t="n">
        <v>44</v>
      </c>
      <c r="L77" s="47" t="n">
        <v>44</v>
      </c>
      <c r="M77" s="47" t="n">
        <v>44</v>
      </c>
      <c r="N77" s="45" t="n">
        <v>8</v>
      </c>
      <c r="O77" s="48" t="inlineStr">
        <is>
          <t> </t>
        </is>
      </c>
      <c r="P77" s="47" t="inlineStr">
        <is>
          <t>Branded Drug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63</v>
      </c>
      <c r="F78" s="47" t="n">
        <v>17</v>
      </c>
      <c r="G78" s="47" t="n">
        <v>59</v>
      </c>
      <c r="H78" s="47" t="n">
        <v>63</v>
      </c>
      <c r="I78" s="47" t="n">
        <v>61</v>
      </c>
      <c r="J78" s="47" t="n">
        <v>54</v>
      </c>
      <c r="K78" s="47" t="n">
        <v>63</v>
      </c>
      <c r="L78" s="47" t="n">
        <v>63</v>
      </c>
      <c r="M78" s="47" t="n">
        <v>63</v>
      </c>
      <c r="N78" s="45" t="n">
        <v>17</v>
      </c>
      <c r="O78" s="48" t="inlineStr">
        <is>
          <t> </t>
        </is>
      </c>
      <c r="P78" s="47" t="inlineStr">
        <is>
          <t>Branded Drug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2</v>
      </c>
      <c r="J79" s="47" t="n">
        <v>2</v>
      </c>
      <c r="K79" s="47" t="n">
        <v>1</v>
      </c>
      <c r="L79" s="47" t="n">
        <v>2</v>
      </c>
      <c r="M79" s="47" t="n">
        <v>2</v>
      </c>
      <c r="N79" s="45" t="n">
        <v>1</v>
      </c>
      <c r="O79" s="48" t="inlineStr">
        <is>
          <t> </t>
        </is>
      </c>
      <c r="P79" s="47" t="inlineStr">
        <is>
          <t>Branded Drug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10</v>
      </c>
      <c r="F80" s="47" t="n">
        <v>7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7" t="n">
        <v>10</v>
      </c>
      <c r="M80" s="47" t="n">
        <v>10</v>
      </c>
      <c r="N80" s="45" t="n">
        <v>7</v>
      </c>
      <c r="O80" s="48" t="inlineStr">
        <is>
          <t> </t>
        </is>
      </c>
      <c r="P80" s="47" t="inlineStr">
        <is>
          <t>Branded Drug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5</v>
      </c>
      <c r="G81" s="47" t="n">
        <v>4</v>
      </c>
      <c r="H81" s="47" t="n">
        <v>5</v>
      </c>
      <c r="I81" s="47" t="n">
        <v>5</v>
      </c>
      <c r="J81" s="47" t="n">
        <v>5</v>
      </c>
      <c r="K81" s="47" t="n">
        <v>5</v>
      </c>
      <c r="L81" s="47" t="n">
        <v>5</v>
      </c>
      <c r="M81" s="47" t="n">
        <v>5</v>
      </c>
      <c r="N81" s="45" t="n">
        <v>4</v>
      </c>
      <c r="O81" s="48" t="inlineStr">
        <is>
          <t> </t>
        </is>
      </c>
      <c r="P81" s="47" t="inlineStr">
        <is>
          <t>Generic Drug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5</v>
      </c>
      <c r="I82" s="47" t="n">
        <v>5</v>
      </c>
      <c r="J82" s="47" t="n">
        <v>1</v>
      </c>
      <c r="K82" s="47" t="n">
        <v>5</v>
      </c>
      <c r="L82" s="47" t="n">
        <v>5</v>
      </c>
      <c r="M82" s="47" t="n">
        <v>5</v>
      </c>
      <c r="N82" s="45" t="n">
        <v>1</v>
      </c>
      <c r="O82" s="48" t="inlineStr">
        <is>
          <t> </t>
        </is>
      </c>
      <c r="P82" s="47" t="inlineStr">
        <is>
          <t>Generic Drug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4</v>
      </c>
      <c r="I83" s="47" t="n">
        <v>4</v>
      </c>
      <c r="J83" s="47" t="n">
        <v>2</v>
      </c>
      <c r="K83" s="47" t="n">
        <v>4</v>
      </c>
      <c r="L83" s="47" t="n">
        <v>4</v>
      </c>
      <c r="M83" s="47" t="n">
        <v>4</v>
      </c>
      <c r="N83" s="45" t="n">
        <v>2</v>
      </c>
      <c r="O83" s="48" t="inlineStr">
        <is>
          <t> </t>
        </is>
      </c>
      <c r="P83" s="47" t="inlineStr">
        <is>
          <t>Generic Drug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5</v>
      </c>
      <c r="F84" s="47" t="n">
        <v>4</v>
      </c>
      <c r="G84" s="47" t="n">
        <v>5</v>
      </c>
      <c r="H84" s="47" t="n">
        <v>5</v>
      </c>
      <c r="I84" s="47" t="n">
        <v>5</v>
      </c>
      <c r="J84" s="47" t="n">
        <v>4</v>
      </c>
      <c r="K84" s="47" t="n">
        <v>5</v>
      </c>
      <c r="L84" s="47" t="n">
        <v>5</v>
      </c>
      <c r="M84" s="47" t="n">
        <v>5</v>
      </c>
      <c r="N84" s="45" t="n">
        <v>4</v>
      </c>
      <c r="O84" s="48" t="inlineStr">
        <is>
          <t> </t>
        </is>
      </c>
      <c r="P84" s="47" t="inlineStr">
        <is>
          <t>Generic Drug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10</v>
      </c>
      <c r="F85" s="47" t="n">
        <v>8.800000000000001</v>
      </c>
      <c r="G85" s="47" t="n">
        <v>4.6</v>
      </c>
      <c r="H85" s="47" t="n">
        <v>10</v>
      </c>
      <c r="I85" s="47" t="n">
        <v>10</v>
      </c>
      <c r="J85" s="47" t="n">
        <v>10</v>
      </c>
      <c r="K85" s="47" t="n">
        <v>10</v>
      </c>
      <c r="L85" s="47" t="n">
        <v>10</v>
      </c>
      <c r="M85" s="47" t="n">
        <v>10</v>
      </c>
      <c r="N85" s="45" t="n">
        <v>4.6</v>
      </c>
      <c r="O85" s="48" t="inlineStr">
        <is>
          <t> </t>
        </is>
      </c>
      <c r="P85" s="47" t="inlineStr">
        <is>
          <t>Generic Drug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44</v>
      </c>
      <c r="F86" s="47" t="n">
        <v>3</v>
      </c>
      <c r="G86" s="47" t="n">
        <v>42</v>
      </c>
      <c r="H86" s="47" t="n">
        <v>44</v>
      </c>
      <c r="I86" s="47" t="n">
        <v>33</v>
      </c>
      <c r="J86" s="47" t="n">
        <v>31</v>
      </c>
      <c r="K86" s="47" t="n">
        <v>44</v>
      </c>
      <c r="L86" s="47" t="n">
        <v>44</v>
      </c>
      <c r="M86" s="47" t="n">
        <v>44</v>
      </c>
      <c r="N86" s="45" t="n">
        <v>3</v>
      </c>
      <c r="O86" s="48" t="inlineStr">
        <is>
          <t> </t>
        </is>
      </c>
      <c r="P86" s="47" t="inlineStr">
        <is>
          <t>Generic Drug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2</v>
      </c>
      <c r="F87" s="47" t="n">
        <v>1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7" t="n">
        <v>2</v>
      </c>
      <c r="M87" s="47" t="n">
        <v>2</v>
      </c>
      <c r="N87" s="45" t="n">
        <v>1</v>
      </c>
      <c r="O87" s="48" t="inlineStr">
        <is>
          <t> </t>
        </is>
      </c>
      <c r="P87" s="47" t="inlineStr">
        <is>
          <t>Generic Drug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0.91</v>
      </c>
      <c r="K88" s="47" t="n">
        <v>1</v>
      </c>
      <c r="L88" s="47" t="n">
        <v>1</v>
      </c>
      <c r="M88" s="47" t="n">
        <v>1</v>
      </c>
      <c r="N88" s="45" t="n">
        <v>0.91</v>
      </c>
      <c r="O88" s="48" t="inlineStr">
        <is>
          <t> </t>
        </is>
      </c>
      <c r="P88" s="47" t="inlineStr">
        <is>
          <t>Generic Drug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12</v>
      </c>
      <c r="F89" s="47" t="n">
        <v>6</v>
      </c>
      <c r="G89" s="47" t="n">
        <v>11</v>
      </c>
      <c r="H89" s="47" t="n">
        <v>12</v>
      </c>
      <c r="I89" s="47" t="n">
        <v>12</v>
      </c>
      <c r="J89" s="47" t="n">
        <v>8</v>
      </c>
      <c r="K89" s="47" t="n">
        <v>12</v>
      </c>
      <c r="L89" s="47" t="n">
        <v>12</v>
      </c>
      <c r="M89" s="47" t="n">
        <v>12</v>
      </c>
      <c r="N89" s="45" t="n">
        <v>6</v>
      </c>
      <c r="O89" s="48" t="inlineStr">
        <is>
          <t> </t>
        </is>
      </c>
      <c r="P89" s="47" t="inlineStr">
        <is>
          <t>Branded Drug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2</v>
      </c>
      <c r="F90" s="47" t="n">
        <v>1.64</v>
      </c>
      <c r="G90" s="47" t="n">
        <v>1.82</v>
      </c>
      <c r="H90" s="47" t="n">
        <v>2</v>
      </c>
      <c r="I90" s="47" t="n">
        <v>2</v>
      </c>
      <c r="J90" s="47" t="n">
        <v>1.7</v>
      </c>
      <c r="K90" s="47" t="n">
        <v>1.94</v>
      </c>
      <c r="L90" s="47" t="n">
        <v>2</v>
      </c>
      <c r="M90" s="47" t="n">
        <v>2</v>
      </c>
      <c r="N90" s="45" t="n">
        <v>1.64</v>
      </c>
      <c r="O90" s="48" t="inlineStr">
        <is>
          <t> </t>
        </is>
      </c>
      <c r="P90" s="47" t="inlineStr">
        <is>
          <t>Generic Drug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2</v>
      </c>
      <c r="F91" s="47" t="n">
        <v>1.94</v>
      </c>
      <c r="G91" s="47" t="n">
        <v>2</v>
      </c>
      <c r="H91" s="47" t="n">
        <v>2</v>
      </c>
      <c r="I91" s="47" t="n">
        <v>1.64</v>
      </c>
      <c r="J91" s="47" t="n">
        <v>1.7</v>
      </c>
      <c r="K91" s="47" t="n">
        <v>2</v>
      </c>
      <c r="L91" s="47" t="n">
        <v>2</v>
      </c>
      <c r="M91" s="47" t="n">
        <v>2</v>
      </c>
      <c r="N91" s="45" t="n">
        <v>1.64</v>
      </c>
      <c r="O91" s="48" t="inlineStr">
        <is>
          <t> </t>
        </is>
      </c>
      <c r="P91" s="47" t="inlineStr">
        <is>
          <t>Generic Drug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7</v>
      </c>
      <c r="F92" s="47" t="n">
        <v>2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7" t="n">
        <v>7</v>
      </c>
      <c r="M92" s="47" t="n">
        <v>7</v>
      </c>
      <c r="N92" s="45" t="n">
        <v>2</v>
      </c>
      <c r="O92" s="48" t="inlineStr">
        <is>
          <t> </t>
        </is>
      </c>
      <c r="P92" s="47" t="inlineStr">
        <is>
          <t>Branded Drug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4</v>
      </c>
      <c r="F93" s="47" t="n">
        <v>3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7" t="n">
        <v>4</v>
      </c>
      <c r="M93" s="47" t="n">
        <v>4</v>
      </c>
      <c r="N93" s="45" t="n">
        <v>3</v>
      </c>
      <c r="O93" s="48" t="inlineStr">
        <is>
          <t> </t>
        </is>
      </c>
      <c r="P93" s="47" t="inlineStr">
        <is>
          <t>Branded Drug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1</v>
      </c>
      <c r="F94" s="47" t="n">
        <v>0.91</v>
      </c>
      <c r="G94" s="47" t="n">
        <v>1</v>
      </c>
      <c r="H94" s="47" t="n">
        <v>1</v>
      </c>
      <c r="I94" s="47" t="n">
        <v>1</v>
      </c>
      <c r="J94" s="47" t="n">
        <v>0.9399999999999999</v>
      </c>
      <c r="K94" s="47" t="n">
        <v>1</v>
      </c>
      <c r="L94" s="47" t="n">
        <v>1</v>
      </c>
      <c r="M94" s="47" t="n">
        <v>1</v>
      </c>
      <c r="N94" s="45" t="n">
        <v>0.91</v>
      </c>
      <c r="O94" s="48" t="inlineStr">
        <is>
          <t> </t>
        </is>
      </c>
      <c r="P94" s="47" t="inlineStr">
        <is>
          <t>Generic Drug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5</v>
      </c>
      <c r="G95" s="47" t="n">
        <v>4.75</v>
      </c>
      <c r="H95" s="47" t="n">
        <v>5</v>
      </c>
      <c r="I95" s="47" t="n">
        <v>5</v>
      </c>
      <c r="J95" s="47" t="n">
        <v>0.5</v>
      </c>
      <c r="K95" s="47" t="n">
        <v>5</v>
      </c>
      <c r="L95" s="47" t="n">
        <v>5</v>
      </c>
      <c r="M95" s="47" t="n">
        <v>5</v>
      </c>
      <c r="N95" s="45" t="n">
        <v>0.5</v>
      </c>
      <c r="O95" s="48" t="inlineStr">
        <is>
          <t> </t>
        </is>
      </c>
      <c r="P95" s="47" t="inlineStr">
        <is>
          <t>OTC Drug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4</v>
      </c>
      <c r="F96" s="47" t="n">
        <v>1</v>
      </c>
      <c r="G96" s="47" t="n">
        <v>3</v>
      </c>
      <c r="H96" s="47" t="n">
        <v>4</v>
      </c>
      <c r="I96" s="47" t="n">
        <v>4</v>
      </c>
      <c r="J96" s="47" t="n">
        <v>4</v>
      </c>
      <c r="K96" s="47" t="n">
        <v>4</v>
      </c>
      <c r="L96" s="47" t="n">
        <v>4</v>
      </c>
      <c r="M96" s="47" t="n">
        <v>4</v>
      </c>
      <c r="N96" s="45" t="n">
        <v>1</v>
      </c>
      <c r="O96" s="48" t="inlineStr">
        <is>
          <t> </t>
        </is>
      </c>
      <c r="P96" s="47" t="inlineStr">
        <is>
          <t>Generic Drug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0.7</v>
      </c>
      <c r="M97" s="47" t="n">
        <v>1</v>
      </c>
      <c r="N97" s="45" t="n">
        <v>0.7</v>
      </c>
      <c r="O97" s="48" t="inlineStr">
        <is>
          <t> </t>
        </is>
      </c>
      <c r="P97" s="47" t="inlineStr">
        <is>
          <t>Generic Drug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2.88</v>
      </c>
      <c r="F98" s="47" t="n">
        <v>0.87</v>
      </c>
      <c r="G98" s="47" t="n">
        <v>2.76</v>
      </c>
      <c r="H98" s="47" t="n">
        <v>3</v>
      </c>
      <c r="I98" s="47" t="n">
        <v>2.82</v>
      </c>
      <c r="J98" s="47" t="n">
        <v>2.31</v>
      </c>
      <c r="K98" s="47" t="n">
        <v>2.97</v>
      </c>
      <c r="L98" s="47" t="n">
        <v>3</v>
      </c>
      <c r="M98" s="47" t="n">
        <v>3</v>
      </c>
      <c r="N98" s="45" t="n">
        <v>0.87</v>
      </c>
      <c r="O98" s="48" t="inlineStr">
        <is>
          <t> </t>
        </is>
      </c>
      <c r="P98" s="47" t="inlineStr">
        <is>
          <t>Generic Drug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2</v>
      </c>
      <c r="F99" s="47" t="n">
        <v>0.5600000000000001</v>
      </c>
      <c r="G99" s="47" t="n">
        <v>1.73</v>
      </c>
      <c r="H99" s="47" t="n">
        <v>2</v>
      </c>
      <c r="I99" s="47" t="n">
        <v>1.82</v>
      </c>
      <c r="J99" s="47" t="n">
        <v>1.1</v>
      </c>
      <c r="K99" s="47" t="n">
        <v>1.73</v>
      </c>
      <c r="L99" s="47" t="n">
        <v>2</v>
      </c>
      <c r="M99" s="47" t="n">
        <v>2</v>
      </c>
      <c r="N99" s="45" t="n">
        <v>0.5600000000000001</v>
      </c>
      <c r="O99" s="48" t="inlineStr">
        <is>
          <t> </t>
        </is>
      </c>
      <c r="P99" s="47" t="inlineStr">
        <is>
          <t>Generic Drug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3</v>
      </c>
      <c r="F100" s="47" t="n">
        <v>2.1</v>
      </c>
      <c r="G100" s="47" t="n">
        <v>3</v>
      </c>
      <c r="H100" s="47" t="n">
        <v>3</v>
      </c>
      <c r="I100" s="47" t="n">
        <v>3</v>
      </c>
      <c r="J100" s="47" t="n">
        <v>2.52</v>
      </c>
      <c r="K100" s="47" t="n">
        <v>2.64</v>
      </c>
      <c r="L100" s="47" t="n">
        <v>3</v>
      </c>
      <c r="M100" s="47" t="n">
        <v>3</v>
      </c>
      <c r="N100" s="45" t="n">
        <v>2.1</v>
      </c>
      <c r="O100" s="48" t="inlineStr">
        <is>
          <t> </t>
        </is>
      </c>
      <c r="P100" s="47" t="inlineStr">
        <is>
          <t>Generic Drug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3</v>
      </c>
      <c r="F101" s="47" t="n">
        <v>2.1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7" t="n">
        <v>3</v>
      </c>
      <c r="M101" s="47" t="n">
        <v>3</v>
      </c>
      <c r="N101" s="45" t="n">
        <v>2.1</v>
      </c>
      <c r="O101" s="48" t="inlineStr">
        <is>
          <t> </t>
        </is>
      </c>
      <c r="P101" s="47" t="inlineStr">
        <is>
          <t>Generic Drug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2</v>
      </c>
      <c r="G102" s="47" t="n">
        <v>1.1</v>
      </c>
      <c r="H102" s="47" t="n">
        <v>2</v>
      </c>
      <c r="I102" s="47" t="n">
        <v>2</v>
      </c>
      <c r="J102" s="47" t="n">
        <v>2</v>
      </c>
      <c r="K102" s="47" t="n">
        <v>2</v>
      </c>
      <c r="L102" s="47" t="n">
        <v>2</v>
      </c>
      <c r="M102" s="47" t="n">
        <v>2</v>
      </c>
      <c r="N102" s="45" t="n">
        <v>1.1</v>
      </c>
      <c r="O102" s="48" t="inlineStr">
        <is>
          <t> </t>
        </is>
      </c>
      <c r="P102" s="47" t="inlineStr">
        <is>
          <t>Generic Drug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1</v>
      </c>
      <c r="G103" s="47" t="n">
        <v>0.5</v>
      </c>
      <c r="H103" s="47" t="n">
        <v>1</v>
      </c>
      <c r="I103" s="47" t="n">
        <v>1</v>
      </c>
      <c r="J103" s="47" t="n">
        <v>1</v>
      </c>
      <c r="K103" s="47" t="n">
        <v>1</v>
      </c>
      <c r="L103" s="47" t="n">
        <v>1</v>
      </c>
      <c r="M103" s="47" t="n">
        <v>1</v>
      </c>
      <c r="N103" s="45" t="n">
        <v>0.5</v>
      </c>
      <c r="O103" s="48" t="inlineStr">
        <is>
          <t> </t>
        </is>
      </c>
      <c r="P103" s="47" t="inlineStr">
        <is>
          <t>Generic Drug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1.88</v>
      </c>
      <c r="F104" s="47" t="n">
        <v>1.64</v>
      </c>
      <c r="G104" s="47" t="n">
        <v>1.28</v>
      </c>
      <c r="H104" s="47" t="n">
        <v>2</v>
      </c>
      <c r="I104" s="47" t="n">
        <v>1.82</v>
      </c>
      <c r="J104" s="47" t="n">
        <v>1.94</v>
      </c>
      <c r="K104" s="47" t="n">
        <v>2</v>
      </c>
      <c r="L104" s="47" t="n">
        <v>2</v>
      </c>
      <c r="M104" s="47" t="n">
        <v>2</v>
      </c>
      <c r="N104" s="45" t="n">
        <v>1.28</v>
      </c>
      <c r="O104" s="48" t="inlineStr">
        <is>
          <t> </t>
        </is>
      </c>
      <c r="P104" s="47" t="inlineStr">
        <is>
          <t>Generic Drug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4</v>
      </c>
      <c r="F105" s="47" t="n">
        <v>2.68</v>
      </c>
      <c r="G105" s="47" t="n">
        <v>3.82</v>
      </c>
      <c r="H105" s="47" t="n">
        <v>4</v>
      </c>
      <c r="I105" s="47" t="n">
        <v>3.82</v>
      </c>
      <c r="J105" s="47" t="n">
        <v>3.46</v>
      </c>
      <c r="K105" s="47" t="n">
        <v>3.94</v>
      </c>
      <c r="L105" s="47" t="n">
        <v>4</v>
      </c>
      <c r="M105" s="47" t="n">
        <v>4</v>
      </c>
      <c r="N105" s="45" t="n">
        <v>2.68</v>
      </c>
      <c r="O105" s="48" t="inlineStr">
        <is>
          <t> </t>
        </is>
      </c>
      <c r="P105" s="47" t="inlineStr">
        <is>
          <t>Generic Drug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20</v>
      </c>
      <c r="F106" s="47" t="n">
        <v>3</v>
      </c>
      <c r="G106" s="47" t="n">
        <v>20</v>
      </c>
      <c r="H106" s="47" t="n">
        <v>20</v>
      </c>
      <c r="I106" s="47" t="n">
        <v>20</v>
      </c>
      <c r="J106" s="47" t="n">
        <v>18</v>
      </c>
      <c r="K106" s="47" t="n">
        <v>20</v>
      </c>
      <c r="L106" s="47" t="n">
        <v>20</v>
      </c>
      <c r="M106" s="47" t="n">
        <v>20</v>
      </c>
      <c r="N106" s="45" t="n">
        <v>3</v>
      </c>
      <c r="O106" s="48" t="inlineStr">
        <is>
          <t> </t>
        </is>
      </c>
      <c r="P106" s="47" t="inlineStr">
        <is>
          <t>Branded Drug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1</v>
      </c>
      <c r="G107" s="47" t="n">
        <v>0.4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5" t="n">
        <v>0.4</v>
      </c>
      <c r="O107" s="48" t="inlineStr">
        <is>
          <t> </t>
        </is>
      </c>
      <c r="P107" s="47" t="inlineStr">
        <is>
          <t>Generic Drug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3</v>
      </c>
      <c r="F108" s="47" t="n">
        <v>1</v>
      </c>
      <c r="G108" s="47" t="n">
        <v>3</v>
      </c>
      <c r="H108" s="47" t="n">
        <v>3</v>
      </c>
      <c r="I108" s="47" t="n">
        <v>3</v>
      </c>
      <c r="J108" s="47" t="n">
        <v>1</v>
      </c>
      <c r="K108" s="47" t="n">
        <v>3</v>
      </c>
      <c r="L108" s="47" t="n">
        <v>3</v>
      </c>
      <c r="M108" s="47" t="n">
        <v>3</v>
      </c>
      <c r="N108" s="45" t="n">
        <v>1</v>
      </c>
      <c r="O108" s="48" t="inlineStr">
        <is>
          <t> </t>
        </is>
      </c>
      <c r="P108" s="47" t="inlineStr">
        <is>
          <t>Branded Drug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14</v>
      </c>
      <c r="F109" s="47" t="n">
        <v>1</v>
      </c>
      <c r="G109" s="47" t="n">
        <v>13</v>
      </c>
      <c r="H109" s="47" t="n">
        <v>14</v>
      </c>
      <c r="I109" s="47" t="n">
        <v>14</v>
      </c>
      <c r="J109" s="47" t="n">
        <v>10</v>
      </c>
      <c r="K109" s="47" t="n">
        <v>14</v>
      </c>
      <c r="L109" s="47" t="n">
        <v>14</v>
      </c>
      <c r="M109" s="47" t="n">
        <v>14</v>
      </c>
      <c r="N109" s="45" t="n">
        <v>1</v>
      </c>
      <c r="O109" s="48" t="inlineStr">
        <is>
          <t> </t>
        </is>
      </c>
      <c r="P109" s="47" t="inlineStr">
        <is>
          <t>Branded Drug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21</v>
      </c>
      <c r="F110" s="47" t="n">
        <v>17</v>
      </c>
      <c r="G110" s="47" t="n">
        <v>21</v>
      </c>
      <c r="H110" s="47" t="n">
        <v>21</v>
      </c>
      <c r="I110" s="47" t="n">
        <v>20</v>
      </c>
      <c r="J110" s="47" t="n">
        <v>20</v>
      </c>
      <c r="K110" s="47" t="n">
        <v>21</v>
      </c>
      <c r="L110" s="47" t="n">
        <v>21</v>
      </c>
      <c r="M110" s="47" t="n">
        <v>21</v>
      </c>
      <c r="N110" s="45" t="n">
        <v>17</v>
      </c>
      <c r="O110" s="48" t="inlineStr">
        <is>
          <t> </t>
        </is>
      </c>
      <c r="P110" s="47" t="inlineStr">
        <is>
          <t>Branded Drug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3</v>
      </c>
      <c r="F111" s="47" t="n">
        <v>1</v>
      </c>
      <c r="G111" s="47" t="n">
        <v>3</v>
      </c>
      <c r="H111" s="47" t="n">
        <v>3</v>
      </c>
      <c r="I111" s="47" t="n">
        <v>3</v>
      </c>
      <c r="J111" s="47" t="n">
        <v>1</v>
      </c>
      <c r="K111" s="47" t="n">
        <v>3</v>
      </c>
      <c r="L111" s="47" t="n">
        <v>3</v>
      </c>
      <c r="M111" s="47" t="n">
        <v>3</v>
      </c>
      <c r="N111" s="45" t="n">
        <v>1</v>
      </c>
      <c r="O111" s="48" t="inlineStr">
        <is>
          <t> </t>
        </is>
      </c>
      <c r="P111" s="47" t="inlineStr">
        <is>
          <t>Generic Drug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3</v>
      </c>
      <c r="F112" s="47" t="n">
        <v>2.72</v>
      </c>
      <c r="G112" s="47" t="n">
        <v>2.8</v>
      </c>
      <c r="H112" s="47" t="n">
        <v>3</v>
      </c>
      <c r="I112" s="47" t="n">
        <v>3</v>
      </c>
      <c r="J112" s="47" t="n">
        <v>2.72</v>
      </c>
      <c r="K112" s="47" t="n">
        <v>3</v>
      </c>
      <c r="L112" s="47" t="n">
        <v>3</v>
      </c>
      <c r="M112" s="47" t="n">
        <v>3</v>
      </c>
      <c r="N112" s="45" t="n">
        <v>2.72</v>
      </c>
      <c r="O112" s="48" t="inlineStr">
        <is>
          <t> </t>
        </is>
      </c>
      <c r="P112" s="47" t="inlineStr">
        <is>
          <t>Generic Drug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3</v>
      </c>
      <c r="F113" s="47" t="n">
        <v>2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7" t="n">
        <v>3</v>
      </c>
      <c r="M113" s="47" t="n">
        <v>3</v>
      </c>
      <c r="N113" s="45" t="n">
        <v>2</v>
      </c>
      <c r="O113" s="48" t="inlineStr">
        <is>
          <t> </t>
        </is>
      </c>
      <c r="P113" s="47" t="inlineStr">
        <is>
          <t>Generic Drug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6</v>
      </c>
      <c r="F114" s="47" t="n">
        <v>2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7" t="n">
        <v>6</v>
      </c>
      <c r="M114" s="47" t="n">
        <v>6</v>
      </c>
      <c r="N114" s="45" t="n">
        <v>2</v>
      </c>
      <c r="O114" s="48" t="inlineStr">
        <is>
          <t> </t>
        </is>
      </c>
      <c r="P114" s="47" t="inlineStr">
        <is>
          <t>OTC Drug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2</v>
      </c>
      <c r="F115" s="47" t="n">
        <v>1.52</v>
      </c>
      <c r="G115" s="47" t="n">
        <v>2</v>
      </c>
      <c r="H115" s="47" t="n">
        <v>2</v>
      </c>
      <c r="I115" s="47" t="n">
        <v>1.9</v>
      </c>
      <c r="J115" s="47" t="n">
        <v>1.9</v>
      </c>
      <c r="K115" s="47" t="n">
        <v>2</v>
      </c>
      <c r="L115" s="47" t="n">
        <v>2</v>
      </c>
      <c r="M115" s="47" t="n">
        <v>2</v>
      </c>
      <c r="N115" s="45" t="n">
        <v>1.52</v>
      </c>
      <c r="O115" s="48" t="inlineStr">
        <is>
          <t> </t>
        </is>
      </c>
      <c r="P115" s="47" t="inlineStr">
        <is>
          <t>Generic Drug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2</v>
      </c>
      <c r="F116" s="47" t="n">
        <v>1.67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1</v>
      </c>
      <c r="M116" s="47" t="n">
        <v>2</v>
      </c>
      <c r="N116" s="45" t="n">
        <v>1</v>
      </c>
      <c r="O116" s="48" t="inlineStr">
        <is>
          <t> </t>
        </is>
      </c>
      <c r="P116" s="47" t="inlineStr">
        <is>
          <t>Generic Drug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4</v>
      </c>
      <c r="F117" s="47" t="n">
        <v>2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7" t="n">
        <v>4</v>
      </c>
      <c r="M117" s="47" t="n">
        <v>4</v>
      </c>
      <c r="N117" s="45" t="n">
        <v>2</v>
      </c>
      <c r="O117" s="48" t="inlineStr">
        <is>
          <t> </t>
        </is>
      </c>
      <c r="P117" s="47" t="inlineStr">
        <is>
          <t>Generic Drug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2</v>
      </c>
      <c r="F118" s="47" t="n">
        <v>1.88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1.88</v>
      </c>
      <c r="O118" s="48" t="inlineStr">
        <is>
          <t> </t>
        </is>
      </c>
      <c r="P118" s="47" t="inlineStr">
        <is>
          <t>Generic Drug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3</v>
      </c>
      <c r="I119" s="47" t="n">
        <v>3</v>
      </c>
      <c r="J119" s="47" t="n">
        <v>2</v>
      </c>
      <c r="K119" s="47" t="n">
        <v>3</v>
      </c>
      <c r="L119" s="47" t="n">
        <v>3</v>
      </c>
      <c r="M119" s="47" t="n">
        <v>3</v>
      </c>
      <c r="N119" s="45" t="n">
        <v>2</v>
      </c>
      <c r="O119" s="48" t="inlineStr">
        <is>
          <t> </t>
        </is>
      </c>
      <c r="P119" s="47" t="inlineStr">
        <is>
          <t>Generic Drug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24</v>
      </c>
      <c r="F120" s="47" t="n">
        <v>18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7" t="n">
        <v>24</v>
      </c>
      <c r="M120" s="47" t="n">
        <v>24</v>
      </c>
      <c r="N120" s="45" t="n">
        <v>18</v>
      </c>
      <c r="O120" s="48" t="inlineStr">
        <is>
          <t> </t>
        </is>
      </c>
      <c r="P120" s="47" t="inlineStr">
        <is>
          <t>Home Health Care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6</v>
      </c>
      <c r="F121" s="47" t="n">
        <v>4.8</v>
      </c>
      <c r="G121" s="47" t="n">
        <v>5.1</v>
      </c>
      <c r="H121" s="47" t="n">
        <v>6</v>
      </c>
      <c r="I121" s="47" t="n">
        <v>6</v>
      </c>
      <c r="J121" s="47" t="n">
        <v>3.76</v>
      </c>
      <c r="K121" s="47" t="n">
        <v>6</v>
      </c>
      <c r="L121" s="47" t="n">
        <v>6</v>
      </c>
      <c r="M121" s="47" t="n">
        <v>6</v>
      </c>
      <c r="N121" s="45" t="n">
        <v>3.76</v>
      </c>
      <c r="O121" s="48" t="inlineStr">
        <is>
          <t> </t>
        </is>
      </c>
      <c r="P121" s="47" t="inlineStr">
        <is>
          <t>Generic Drug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8</v>
      </c>
      <c r="F122" s="47" t="n">
        <v>4.7</v>
      </c>
      <c r="G122" s="47" t="n">
        <v>6.5</v>
      </c>
      <c r="H122" s="47" t="n">
        <v>8</v>
      </c>
      <c r="I122" s="47" t="n">
        <v>7.1</v>
      </c>
      <c r="J122" s="47" t="n">
        <v>4.03</v>
      </c>
      <c r="K122" s="47" t="n">
        <v>8</v>
      </c>
      <c r="L122" s="47" t="n">
        <v>8</v>
      </c>
      <c r="M122" s="47" t="n">
        <v>8</v>
      </c>
      <c r="N122" s="45" t="n">
        <v>4.03</v>
      </c>
      <c r="O122" s="48" t="inlineStr">
        <is>
          <t> </t>
        </is>
      </c>
      <c r="P122" s="47" t="inlineStr">
        <is>
          <t>Generic Drug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4</v>
      </c>
      <c r="F123" s="47" t="n">
        <v>2.63</v>
      </c>
      <c r="G123" s="47" t="n">
        <v>3.04</v>
      </c>
      <c r="H123" s="47" t="n">
        <v>4</v>
      </c>
      <c r="I123" s="47" t="n">
        <v>3.46</v>
      </c>
      <c r="J123" s="47" t="n">
        <v>2.67</v>
      </c>
      <c r="K123" s="47" t="n">
        <v>3.82</v>
      </c>
      <c r="L123" s="47" t="n">
        <v>4</v>
      </c>
      <c r="M123" s="47" t="n">
        <v>4</v>
      </c>
      <c r="N123" s="45" t="n">
        <v>2.63</v>
      </c>
      <c r="O123" s="48" t="inlineStr">
        <is>
          <t> </t>
        </is>
      </c>
      <c r="P123" s="47" t="inlineStr">
        <is>
          <t>Generic Drug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26</v>
      </c>
      <c r="F124" s="47" t="n">
        <v>4</v>
      </c>
      <c r="G124" s="47" t="n">
        <v>24</v>
      </c>
      <c r="H124" s="47" t="n">
        <v>26</v>
      </c>
      <c r="I124" s="47" t="n">
        <v>24</v>
      </c>
      <c r="J124" s="47" t="n">
        <v>18</v>
      </c>
      <c r="K124" s="47" t="n">
        <v>26</v>
      </c>
      <c r="L124" s="47" t="n">
        <v>25</v>
      </c>
      <c r="M124" s="47" t="n">
        <v>26</v>
      </c>
      <c r="N124" s="45" t="n">
        <v>4</v>
      </c>
      <c r="O124" s="48" t="inlineStr">
        <is>
          <t> </t>
        </is>
      </c>
      <c r="P124" s="47" t="inlineStr">
        <is>
          <t>Branded Drug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22</v>
      </c>
      <c r="F125" s="47" t="n">
        <v>2</v>
      </c>
      <c r="G125" s="47" t="n">
        <v>22</v>
      </c>
      <c r="H125" s="47" t="n">
        <v>22</v>
      </c>
      <c r="I125" s="47" t="n">
        <v>21</v>
      </c>
      <c r="J125" s="47" t="n">
        <v>18</v>
      </c>
      <c r="K125" s="47" t="n">
        <v>22</v>
      </c>
      <c r="L125" s="47" t="n">
        <v>22</v>
      </c>
      <c r="M125" s="47" t="n">
        <v>22</v>
      </c>
      <c r="N125" s="45" t="n">
        <v>2</v>
      </c>
      <c r="O125" s="48" t="inlineStr">
        <is>
          <t> </t>
        </is>
      </c>
      <c r="P125" s="47" t="inlineStr">
        <is>
          <t>Branded Drug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17</v>
      </c>
      <c r="F126" s="47" t="n">
        <v>10</v>
      </c>
      <c r="G126" s="47" t="n">
        <v>15</v>
      </c>
      <c r="H126" s="47" t="n">
        <v>17</v>
      </c>
      <c r="I126" s="47" t="n">
        <v>17</v>
      </c>
      <c r="J126" s="47" t="n">
        <v>14</v>
      </c>
      <c r="K126" s="47" t="n">
        <v>17</v>
      </c>
      <c r="L126" s="47" t="n">
        <v>17</v>
      </c>
      <c r="M126" s="47" t="n">
        <v>17</v>
      </c>
      <c r="N126" s="45" t="n">
        <v>10</v>
      </c>
      <c r="O126" s="48" t="inlineStr">
        <is>
          <t> </t>
        </is>
      </c>
      <c r="P126" s="47" t="inlineStr">
        <is>
          <t>Branded Drug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2</v>
      </c>
      <c r="F127" s="47" t="n">
        <v>0.84</v>
      </c>
      <c r="G127" s="47" t="n">
        <v>1.85</v>
      </c>
      <c r="H127" s="47" t="n">
        <v>2</v>
      </c>
      <c r="I127" s="47" t="n">
        <v>1.91</v>
      </c>
      <c r="J127" s="47" t="n">
        <v>1.61</v>
      </c>
      <c r="K127" s="47" t="n">
        <v>1.76</v>
      </c>
      <c r="L127" s="47" t="n">
        <v>2</v>
      </c>
      <c r="M127" s="47" t="n">
        <v>1.99</v>
      </c>
      <c r="N127" s="45" t="n">
        <v>0.84</v>
      </c>
      <c r="O127" s="48" t="inlineStr">
        <is>
          <t> </t>
        </is>
      </c>
      <c r="P127" s="47" t="inlineStr">
        <is>
          <t>Generic Drug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3</v>
      </c>
      <c r="I128" s="47" t="n">
        <v>3</v>
      </c>
      <c r="J128" s="47" t="n">
        <v>2</v>
      </c>
      <c r="K128" s="47" t="n">
        <v>3</v>
      </c>
      <c r="L128" s="47" t="n">
        <v>3</v>
      </c>
      <c r="M128" s="47" t="n">
        <v>3</v>
      </c>
      <c r="N128" s="45" t="n">
        <v>2</v>
      </c>
      <c r="O128" s="48" t="inlineStr">
        <is>
          <t> </t>
        </is>
      </c>
      <c r="P128" s="47" t="inlineStr">
        <is>
          <t>Health and Beauty Aid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1</v>
      </c>
      <c r="F129" s="47" t="n">
        <v>0.64</v>
      </c>
      <c r="G129" s="47" t="n">
        <v>0.82</v>
      </c>
      <c r="H129" s="47" t="n">
        <v>1</v>
      </c>
      <c r="I129" s="47" t="n">
        <v>1</v>
      </c>
      <c r="J129" s="47" t="n">
        <v>0.82</v>
      </c>
      <c r="K129" s="47" t="n">
        <v>0.9399999999999999</v>
      </c>
      <c r="L129" s="47" t="n">
        <v>1</v>
      </c>
      <c r="M129" s="47" t="n">
        <v>1</v>
      </c>
      <c r="N129" s="45" t="n">
        <v>0.64</v>
      </c>
      <c r="O129" s="48" t="inlineStr">
        <is>
          <t> </t>
        </is>
      </c>
      <c r="P129" s="47" t="inlineStr">
        <is>
          <t>Generic Drug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1</v>
      </c>
      <c r="F130" s="47" t="n">
        <v>0.9399999999999999</v>
      </c>
      <c r="G130" s="47" t="n">
        <v>1</v>
      </c>
      <c r="H130" s="47" t="n">
        <v>1</v>
      </c>
      <c r="I130" s="47" t="n">
        <v>1</v>
      </c>
      <c r="J130" s="47" t="n">
        <v>0.97</v>
      </c>
      <c r="K130" s="47" t="n">
        <v>1</v>
      </c>
      <c r="L130" s="47" t="n">
        <v>1</v>
      </c>
      <c r="M130" s="47" t="n">
        <v>1</v>
      </c>
      <c r="N130" s="45" t="n">
        <v>0.9399999999999999</v>
      </c>
      <c r="O130" s="48" t="inlineStr">
        <is>
          <t> </t>
        </is>
      </c>
      <c r="P130" s="47" t="inlineStr">
        <is>
          <t>Generic Drug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8</v>
      </c>
      <c r="F131" s="47" t="n">
        <v>3</v>
      </c>
      <c r="G131" s="47" t="n">
        <v>6</v>
      </c>
      <c r="H131" s="47" t="n">
        <v>8</v>
      </c>
      <c r="I131" s="47" t="n">
        <v>8</v>
      </c>
      <c r="J131" s="47" t="n">
        <v>8</v>
      </c>
      <c r="K131" s="47" t="n">
        <v>7</v>
      </c>
      <c r="L131" s="47" t="n">
        <v>8</v>
      </c>
      <c r="M131" s="47" t="n">
        <v>8</v>
      </c>
      <c r="N131" s="45" t="n">
        <v>3</v>
      </c>
      <c r="O131" s="48" t="inlineStr">
        <is>
          <t> </t>
        </is>
      </c>
      <c r="P131" s="47" t="inlineStr">
        <is>
          <t>Generic Drug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2</v>
      </c>
      <c r="I132" s="47" t="n">
        <v>2</v>
      </c>
      <c r="J132" s="47" t="n">
        <v>0.2</v>
      </c>
      <c r="K132" s="47" t="n">
        <v>2</v>
      </c>
      <c r="L132" s="47" t="n">
        <v>2</v>
      </c>
      <c r="M132" s="47" t="n">
        <v>2</v>
      </c>
      <c r="N132" s="45" t="n">
        <v>0.2</v>
      </c>
      <c r="O132" s="48" t="inlineStr">
        <is>
          <t> </t>
        </is>
      </c>
      <c r="P132" s="47" t="inlineStr">
        <is>
          <t>Generic Drug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5</v>
      </c>
      <c r="I133" s="47" t="n">
        <v>5</v>
      </c>
      <c r="J133" s="47" t="n">
        <v>2</v>
      </c>
      <c r="K133" s="47" t="n">
        <v>5</v>
      </c>
      <c r="L133" s="47" t="n">
        <v>5</v>
      </c>
      <c r="M133" s="47" t="n">
        <v>5</v>
      </c>
      <c r="N133" s="45" t="n">
        <v>2</v>
      </c>
      <c r="O133" s="48" t="inlineStr">
        <is>
          <t> </t>
        </is>
      </c>
      <c r="P133" s="47" t="inlineStr">
        <is>
          <t>Generic Drug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3</v>
      </c>
      <c r="I134" s="47" t="n">
        <v>3</v>
      </c>
      <c r="J134" s="47" t="n">
        <v>2.5</v>
      </c>
      <c r="K134" s="47" t="n">
        <v>3</v>
      </c>
      <c r="L134" s="47" t="n">
        <v>3</v>
      </c>
      <c r="M134" s="47" t="n">
        <v>3</v>
      </c>
      <c r="N134" s="45" t="n">
        <v>2.5</v>
      </c>
      <c r="O134" s="48" t="inlineStr">
        <is>
          <t> </t>
        </is>
      </c>
      <c r="P134" s="47" t="inlineStr">
        <is>
          <t>OTC Drug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5</v>
      </c>
      <c r="F135" s="47" t="n">
        <v>2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7" t="n">
        <v>5</v>
      </c>
      <c r="M135" s="47" t="n">
        <v>5</v>
      </c>
      <c r="N135" s="45" t="n">
        <v>2</v>
      </c>
      <c r="O135" s="48" t="inlineStr">
        <is>
          <t> </t>
        </is>
      </c>
      <c r="P135" s="47" t="inlineStr">
        <is>
          <t>Generic Drug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6</v>
      </c>
      <c r="I136" s="47" t="n">
        <v>6</v>
      </c>
      <c r="J136" s="47" t="n">
        <v>2</v>
      </c>
      <c r="K136" s="47" t="n">
        <v>6</v>
      </c>
      <c r="L136" s="47" t="n">
        <v>6</v>
      </c>
      <c r="M136" s="47" t="n">
        <v>6</v>
      </c>
      <c r="N136" s="45" t="n">
        <v>2</v>
      </c>
      <c r="O136" s="48" t="inlineStr">
        <is>
          <t> </t>
        </is>
      </c>
      <c r="P136" s="47" t="inlineStr">
        <is>
          <t>OTC Drug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2</v>
      </c>
      <c r="I137" s="47" t="n">
        <v>2</v>
      </c>
      <c r="J137" s="47" t="n">
        <v>1</v>
      </c>
      <c r="K137" s="47" t="n">
        <v>2</v>
      </c>
      <c r="L137" s="47" t="n">
        <v>2</v>
      </c>
      <c r="M137" s="47" t="n">
        <v>2</v>
      </c>
      <c r="N137" s="45" t="n">
        <v>1</v>
      </c>
      <c r="O137" s="48" t="inlineStr">
        <is>
          <t> </t>
        </is>
      </c>
      <c r="P137" s="47" t="inlineStr">
        <is>
          <t>OTC Drug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10</v>
      </c>
      <c r="I138" s="47" t="n">
        <v>10</v>
      </c>
      <c r="J138" s="47" t="n">
        <v>2</v>
      </c>
      <c r="K138" s="47" t="n">
        <v>10</v>
      </c>
      <c r="L138" s="47" t="n">
        <v>10</v>
      </c>
      <c r="M138" s="47" t="n">
        <v>10</v>
      </c>
      <c r="N138" s="45" t="n">
        <v>2</v>
      </c>
      <c r="O138" s="48" t="inlineStr">
        <is>
          <t> </t>
        </is>
      </c>
      <c r="P138" s="47" t="inlineStr">
        <is>
          <t>OTC Drug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1</v>
      </c>
      <c r="I139" s="47" t="n">
        <v>1</v>
      </c>
      <c r="J139" s="47" t="n">
        <v>0.7</v>
      </c>
      <c r="K139" s="47" t="n">
        <v>1</v>
      </c>
      <c r="L139" s="47" t="n">
        <v>1</v>
      </c>
      <c r="M139" s="47" t="n">
        <v>1</v>
      </c>
      <c r="N139" s="45" t="n">
        <v>0.7</v>
      </c>
      <c r="O139" s="48" t="inlineStr">
        <is>
          <t> </t>
        </is>
      </c>
      <c r="P139" s="47" t="inlineStr">
        <is>
          <t>OTC Drug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32</v>
      </c>
      <c r="F140" s="47" t="n">
        <v>7</v>
      </c>
      <c r="G140" s="47" t="n">
        <v>31</v>
      </c>
      <c r="H140" s="47" t="n">
        <v>32</v>
      </c>
      <c r="I140" s="47" t="n">
        <v>32</v>
      </c>
      <c r="J140" s="47" t="n">
        <v>23</v>
      </c>
      <c r="K140" s="47" t="n">
        <v>30</v>
      </c>
      <c r="L140" s="47" t="n">
        <v>32</v>
      </c>
      <c r="M140" s="47" t="n">
        <v>32</v>
      </c>
      <c r="N140" s="45" t="n">
        <v>7</v>
      </c>
      <c r="O140" s="48" t="inlineStr">
        <is>
          <t> </t>
        </is>
      </c>
      <c r="P140" s="47" t="inlineStr">
        <is>
          <t>Branded Drug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4</v>
      </c>
      <c r="F141" s="47" t="n">
        <v>2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7" t="n">
        <v>4</v>
      </c>
      <c r="M141" s="47" t="n">
        <v>4</v>
      </c>
      <c r="N141" s="45" t="n">
        <v>2</v>
      </c>
      <c r="O141" s="48" t="inlineStr">
        <is>
          <t> </t>
        </is>
      </c>
      <c r="P141" s="47" t="inlineStr">
        <is>
          <t>Branded Drug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2</v>
      </c>
      <c r="F142" s="47" t="n">
        <v>1.37</v>
      </c>
      <c r="G142" s="47" t="n">
        <v>1.97</v>
      </c>
      <c r="H142" s="47" t="n">
        <v>2</v>
      </c>
      <c r="I142" s="47" t="n">
        <v>2</v>
      </c>
      <c r="J142" s="47" t="n">
        <v>1.91</v>
      </c>
      <c r="K142" s="47" t="n">
        <v>2</v>
      </c>
      <c r="L142" s="47" t="n">
        <v>2</v>
      </c>
      <c r="M142" s="47" t="n">
        <v>2</v>
      </c>
      <c r="N142" s="45" t="n">
        <v>1.37</v>
      </c>
      <c r="O142" s="48" t="inlineStr">
        <is>
          <t> </t>
        </is>
      </c>
      <c r="P142" s="47" t="inlineStr">
        <is>
          <t>Generic Drug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7</v>
      </c>
      <c r="F143" s="47" t="n">
        <v>3</v>
      </c>
      <c r="G143" s="47" t="n">
        <v>6</v>
      </c>
      <c r="H143" s="47" t="n">
        <v>7</v>
      </c>
      <c r="I143" s="47" t="n">
        <v>4</v>
      </c>
      <c r="J143" s="47" t="n">
        <v>7</v>
      </c>
      <c r="K143" s="47" t="n">
        <v>7</v>
      </c>
      <c r="L143" s="47" t="n">
        <v>7</v>
      </c>
      <c r="M143" s="47" t="n">
        <v>7</v>
      </c>
      <c r="N143" s="45" t="n">
        <v>3</v>
      </c>
      <c r="O143" s="48" t="inlineStr">
        <is>
          <t> </t>
        </is>
      </c>
      <c r="P143" s="47" t="inlineStr">
        <is>
          <t>Branded Drug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6</v>
      </c>
      <c r="F144" s="47" t="n">
        <v>3</v>
      </c>
      <c r="G144" s="47" t="n">
        <v>6</v>
      </c>
      <c r="H144" s="47" t="n">
        <v>6</v>
      </c>
      <c r="I144" s="47" t="n">
        <v>6</v>
      </c>
      <c r="J144" s="47" t="n">
        <v>6</v>
      </c>
      <c r="K144" s="47" t="n">
        <v>5</v>
      </c>
      <c r="L144" s="47" t="n">
        <v>6</v>
      </c>
      <c r="M144" s="47" t="n">
        <v>6</v>
      </c>
      <c r="N144" s="45" t="n">
        <v>3</v>
      </c>
      <c r="O144" s="48" t="inlineStr">
        <is>
          <t> </t>
        </is>
      </c>
      <c r="P144" s="47" t="inlineStr">
        <is>
          <t>Generic Drug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4</v>
      </c>
      <c r="F145" s="47" t="n">
        <v>3</v>
      </c>
      <c r="G145" s="47" t="n">
        <v>1.75</v>
      </c>
      <c r="H145" s="47" t="n">
        <v>4</v>
      </c>
      <c r="I145" s="47" t="n">
        <v>4</v>
      </c>
      <c r="J145" s="47" t="n">
        <v>4</v>
      </c>
      <c r="K145" s="47" t="n">
        <v>4</v>
      </c>
      <c r="L145" s="47" t="n">
        <v>4</v>
      </c>
      <c r="M145" s="47" t="n">
        <v>4</v>
      </c>
      <c r="N145" s="45" t="n">
        <v>1.75</v>
      </c>
      <c r="O145" s="48" t="inlineStr">
        <is>
          <t> </t>
        </is>
      </c>
      <c r="P145" s="47" t="inlineStr">
        <is>
          <t>Generic Drug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2</v>
      </c>
      <c r="I146" s="47" t="n">
        <v>2</v>
      </c>
      <c r="J146" s="47" t="n">
        <v>0.37</v>
      </c>
      <c r="K146" s="47" t="n">
        <v>2</v>
      </c>
      <c r="L146" s="47" t="n">
        <v>2</v>
      </c>
      <c r="M146" s="47" t="n">
        <v>2</v>
      </c>
      <c r="N146" s="45" t="n">
        <v>0.37</v>
      </c>
      <c r="O146" s="48" t="inlineStr">
        <is>
          <t> </t>
        </is>
      </c>
      <c r="P146" s="47" t="inlineStr">
        <is>
          <t>OTC Drug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2</v>
      </c>
      <c r="F147" s="47" t="n">
        <v>1.61</v>
      </c>
      <c r="G147" s="47" t="n">
        <v>1.94</v>
      </c>
      <c r="H147" s="47" t="n">
        <v>2</v>
      </c>
      <c r="I147" s="47" t="n">
        <v>2</v>
      </c>
      <c r="J147" s="47" t="n">
        <v>1.64</v>
      </c>
      <c r="K147" s="47" t="n">
        <v>2</v>
      </c>
      <c r="L147" s="47" t="n">
        <v>2</v>
      </c>
      <c r="M147" s="47" t="n">
        <v>2</v>
      </c>
      <c r="N147" s="45" t="n">
        <v>1.61</v>
      </c>
      <c r="O147" s="48" t="inlineStr">
        <is>
          <t> </t>
        </is>
      </c>
      <c r="P147" s="47" t="inlineStr">
        <is>
          <t>Generic Drug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1</v>
      </c>
      <c r="F148" s="47" t="n">
        <v>0.8</v>
      </c>
      <c r="G148" s="47" t="n">
        <v>1</v>
      </c>
      <c r="H148" s="47" t="n">
        <v>1</v>
      </c>
      <c r="I148" s="47" t="n">
        <v>1</v>
      </c>
      <c r="J148" s="47" t="n">
        <v>0.72</v>
      </c>
      <c r="K148" s="47" t="n">
        <v>1</v>
      </c>
      <c r="L148" s="47" t="n">
        <v>1</v>
      </c>
      <c r="M148" s="47" t="n">
        <v>1</v>
      </c>
      <c r="N148" s="45" t="n">
        <v>0.72</v>
      </c>
      <c r="O148" s="48" t="inlineStr">
        <is>
          <t> </t>
        </is>
      </c>
      <c r="P148" s="47" t="inlineStr">
        <is>
          <t>Generic Drug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5</v>
      </c>
      <c r="K149" s="47" t="n">
        <v>5</v>
      </c>
      <c r="L149" s="47" t="n">
        <v>3.5</v>
      </c>
      <c r="M149" s="47" t="n">
        <v>5</v>
      </c>
      <c r="N149" s="45" t="n">
        <v>3.5</v>
      </c>
      <c r="O149" s="48" t="inlineStr">
        <is>
          <t> </t>
        </is>
      </c>
      <c r="P149" s="47" t="inlineStr">
        <is>
          <t>Branded Drug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1</v>
      </c>
      <c r="F150" s="47" t="n">
        <v>0.67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5" t="n">
        <v>0.67</v>
      </c>
      <c r="O150" s="48" t="inlineStr">
        <is>
          <t> </t>
        </is>
      </c>
      <c r="P150" s="47" t="inlineStr">
        <is>
          <t>Branded Drug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3</v>
      </c>
      <c r="F151" s="47" t="n">
        <v>2</v>
      </c>
      <c r="G151" s="47" t="n">
        <v>3</v>
      </c>
      <c r="H151" s="47" t="n">
        <v>3</v>
      </c>
      <c r="I151" s="47" t="n">
        <v>3</v>
      </c>
      <c r="J151" s="47" t="n">
        <v>2</v>
      </c>
      <c r="K151" s="47" t="n">
        <v>3</v>
      </c>
      <c r="L151" s="47" t="n">
        <v>3</v>
      </c>
      <c r="M151" s="47" t="n">
        <v>3</v>
      </c>
      <c r="N151" s="45" t="n">
        <v>2</v>
      </c>
      <c r="O151" s="48" t="inlineStr">
        <is>
          <t> </t>
        </is>
      </c>
      <c r="P151" s="47" t="inlineStr">
        <is>
          <t>Generic Drug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10</v>
      </c>
      <c r="F152" s="47" t="n">
        <v>3</v>
      </c>
      <c r="G152" s="47" t="n">
        <v>10</v>
      </c>
      <c r="H152" s="47" t="n">
        <v>10</v>
      </c>
      <c r="I152" s="47" t="n">
        <v>10</v>
      </c>
      <c r="J152" s="47" t="n">
        <v>9</v>
      </c>
      <c r="K152" s="47" t="n">
        <v>10</v>
      </c>
      <c r="L152" s="47" t="n">
        <v>10</v>
      </c>
      <c r="M152" s="47" t="n">
        <v>10</v>
      </c>
      <c r="N152" s="45" t="n">
        <v>3</v>
      </c>
      <c r="O152" s="48" t="inlineStr">
        <is>
          <t> </t>
        </is>
      </c>
      <c r="P152" s="47" t="inlineStr">
        <is>
          <t>Generic Drug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6</v>
      </c>
      <c r="F153" s="47" t="n">
        <v>4</v>
      </c>
      <c r="G153" s="47" t="n">
        <v>5</v>
      </c>
      <c r="H153" s="47" t="n">
        <v>6</v>
      </c>
      <c r="I153" s="47" t="n">
        <v>6</v>
      </c>
      <c r="J153" s="47" t="n">
        <v>6</v>
      </c>
      <c r="K153" s="47" t="n">
        <v>6</v>
      </c>
      <c r="L153" s="47" t="n">
        <v>6</v>
      </c>
      <c r="M153" s="47" t="n">
        <v>6</v>
      </c>
      <c r="N153" s="45" t="n">
        <v>4</v>
      </c>
      <c r="O153" s="48" t="inlineStr">
        <is>
          <t> </t>
        </is>
      </c>
      <c r="P153" s="47" t="inlineStr">
        <is>
          <t>Generic Drug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10</v>
      </c>
      <c r="F154" s="47" t="n">
        <v>4</v>
      </c>
      <c r="G154" s="47" t="n">
        <v>7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7" t="n">
        <v>10</v>
      </c>
      <c r="M154" s="47" t="n">
        <v>10</v>
      </c>
      <c r="N154" s="45" t="n">
        <v>4</v>
      </c>
      <c r="O154" s="48" t="inlineStr">
        <is>
          <t> </t>
        </is>
      </c>
      <c r="P154" s="47" t="inlineStr">
        <is>
          <t>Branded Drug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6</v>
      </c>
      <c r="F155" s="47" t="n">
        <v>5</v>
      </c>
      <c r="G155" s="47" t="n">
        <v>5</v>
      </c>
      <c r="H155" s="47" t="n">
        <v>6</v>
      </c>
      <c r="I155" s="47" t="n">
        <v>6</v>
      </c>
      <c r="J155" s="47" t="n">
        <v>5</v>
      </c>
      <c r="K155" s="47" t="n">
        <v>6</v>
      </c>
      <c r="L155" s="47" t="n">
        <v>6</v>
      </c>
      <c r="M155" s="47" t="n">
        <v>6</v>
      </c>
      <c r="N155" s="45" t="n">
        <v>5</v>
      </c>
      <c r="O155" s="48" t="inlineStr">
        <is>
          <t> </t>
        </is>
      </c>
      <c r="P155" s="47" t="inlineStr">
        <is>
          <t>Generic Drug</t>
        </is>
      </c>
    </row>
    <row r="156" ht="20" customHeight="1">
      <c r="A156" s="45" t="inlineStr">
        <is>
          <t>33342033315</t>
        </is>
      </c>
      <c r="B156" s="46" t="inlineStr">
        <is>
          <t>TRIAMCINOLONE ACETONIDE 0.1 % EXTERNAL OINTMENT</t>
        </is>
      </c>
      <c r="C156" s="45" t="n">
        <v>15</v>
      </c>
      <c r="D156" s="47" t="n">
        <v>3</v>
      </c>
      <c r="E156" s="47" t="n">
        <v>3</v>
      </c>
      <c r="F156" s="47" t="n">
        <v>3</v>
      </c>
      <c r="G156" s="47" t="n">
        <v>3</v>
      </c>
      <c r="H156" s="47" t="n">
        <v>3</v>
      </c>
      <c r="I156" s="47" t="n">
        <v>3</v>
      </c>
      <c r="J156" s="47" t="n">
        <v>1</v>
      </c>
      <c r="K156" s="47" t="n">
        <v>3</v>
      </c>
      <c r="L156" s="47" t="n">
        <v>3</v>
      </c>
      <c r="M156" s="47" t="n">
        <v>3</v>
      </c>
      <c r="N156" s="45" t="n">
        <v>1</v>
      </c>
      <c r="O156" s="48" t="inlineStr">
        <is>
          <t> </t>
        </is>
      </c>
      <c r="P156" s="47" t="inlineStr">
        <is>
          <t>Generic Drug</t>
        </is>
      </c>
    </row>
    <row r="157" ht="20" customHeight="1">
      <c r="A157" s="45" t="inlineStr">
        <is>
          <t>33342033380</t>
        </is>
      </c>
      <c r="B157" s="46" t="inlineStr">
        <is>
          <t>TRIAMCINOLONE ACETONIDE 0.1 % EXTERNAL OINTMENT</t>
        </is>
      </c>
      <c r="C157" s="45" t="n">
        <v>80</v>
      </c>
      <c r="D157" s="47" t="n">
        <v>8</v>
      </c>
      <c r="E157" s="47" t="n">
        <v>8</v>
      </c>
      <c r="F157" s="47" t="n">
        <v>5</v>
      </c>
      <c r="G157" s="47" t="n">
        <v>7</v>
      </c>
      <c r="H157" s="47" t="n">
        <v>8</v>
      </c>
      <c r="I157" s="47" t="n">
        <v>8</v>
      </c>
      <c r="J157" s="47" t="n">
        <v>2</v>
      </c>
      <c r="K157" s="47" t="n">
        <v>8</v>
      </c>
      <c r="L157" s="47" t="n">
        <v>8</v>
      </c>
      <c r="M157" s="47" t="n">
        <v>8</v>
      </c>
      <c r="N157" s="45" t="n">
        <v>2</v>
      </c>
      <c r="O157" s="48" t="inlineStr">
        <is>
          <t> </t>
        </is>
      </c>
      <c r="P157" s="47" t="inlineStr">
        <is>
          <t>Generic Drug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6</v>
      </c>
      <c r="I158" s="47" t="n">
        <v>6</v>
      </c>
      <c r="J158" s="47" t="n">
        <v>5</v>
      </c>
      <c r="K158" s="47" t="n">
        <v>6</v>
      </c>
      <c r="L158" s="47" t="n">
        <v>6</v>
      </c>
      <c r="M158" s="47" t="n">
        <v>6</v>
      </c>
      <c r="N158" s="45" t="n">
        <v>5</v>
      </c>
      <c r="O158" s="48" t="inlineStr">
        <is>
          <t> </t>
        </is>
      </c>
      <c r="P158" s="47" t="inlineStr">
        <is>
          <t>Generic Drug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10</v>
      </c>
      <c r="F159" s="47" t="n">
        <v>4</v>
      </c>
      <c r="G159" s="47" t="n">
        <v>10</v>
      </c>
      <c r="H159" s="47" t="n">
        <v>10</v>
      </c>
      <c r="I159" s="47" t="n">
        <v>10</v>
      </c>
      <c r="J159" s="47" t="n">
        <v>9</v>
      </c>
      <c r="K159" s="47" t="n">
        <v>10</v>
      </c>
      <c r="L159" s="47" t="n">
        <v>10</v>
      </c>
      <c r="M159" s="47" t="n">
        <v>10</v>
      </c>
      <c r="N159" s="45" t="n">
        <v>4</v>
      </c>
      <c r="O159" s="48" t="inlineStr">
        <is>
          <t> </t>
        </is>
      </c>
      <c r="P159" s="47" t="inlineStr">
        <is>
          <t>Branded Drug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2</v>
      </c>
      <c r="F160" s="47" t="n">
        <v>1</v>
      </c>
      <c r="G160" s="47" t="n">
        <v>2</v>
      </c>
      <c r="H160" s="47" t="n">
        <v>2</v>
      </c>
      <c r="I160" s="47" t="n">
        <v>2</v>
      </c>
      <c r="J160" s="47" t="n">
        <v>1</v>
      </c>
      <c r="K160" s="47" t="n">
        <v>2</v>
      </c>
      <c r="L160" s="47" t="n">
        <v>2</v>
      </c>
      <c r="M160" s="47" t="n">
        <v>2</v>
      </c>
      <c r="N160" s="45" t="n">
        <v>1</v>
      </c>
      <c r="O160" s="48" t="inlineStr">
        <is>
          <t> </t>
        </is>
      </c>
      <c r="P160" s="47" t="inlineStr">
        <is>
          <t>Branded Drug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2</v>
      </c>
      <c r="F161" s="47" t="n">
        <v>1</v>
      </c>
      <c r="G161" s="47" t="n">
        <v>1.67</v>
      </c>
      <c r="H161" s="47" t="n">
        <v>2</v>
      </c>
      <c r="I161" s="47" t="n">
        <v>2</v>
      </c>
      <c r="J161" s="47" t="n">
        <v>2</v>
      </c>
      <c r="K161" s="47" t="n">
        <v>2</v>
      </c>
      <c r="L161" s="47" t="n">
        <v>2</v>
      </c>
      <c r="M161" s="47" t="n">
        <v>2</v>
      </c>
      <c r="N161" s="45" t="n">
        <v>1</v>
      </c>
      <c r="O161" s="48" t="inlineStr">
        <is>
          <t> </t>
        </is>
      </c>
      <c r="P161" s="47" t="inlineStr">
        <is>
          <t>Generic Drug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2</v>
      </c>
      <c r="I162" s="47" t="n">
        <v>2</v>
      </c>
      <c r="J162" s="47" t="n">
        <v>1</v>
      </c>
      <c r="K162" s="47" t="n">
        <v>2</v>
      </c>
      <c r="L162" s="47" t="n">
        <v>2</v>
      </c>
      <c r="M162" s="47" t="n">
        <v>2</v>
      </c>
      <c r="N162" s="45" t="n">
        <v>1</v>
      </c>
      <c r="O162" s="48" t="inlineStr">
        <is>
          <t> </t>
        </is>
      </c>
      <c r="P162" s="47" t="inlineStr">
        <is>
          <t>Generic Drug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6</v>
      </c>
      <c r="F163" s="47" t="n">
        <v>2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7" t="n">
        <v>6</v>
      </c>
      <c r="M163" s="47" t="n">
        <v>6</v>
      </c>
      <c r="N163" s="45" t="n">
        <v>2</v>
      </c>
      <c r="O163" s="48" t="inlineStr">
        <is>
          <t> </t>
        </is>
      </c>
      <c r="P163" s="47" t="inlineStr">
        <is>
          <t>Branded Drug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2</v>
      </c>
      <c r="F164" s="47" t="n">
        <v>1.12</v>
      </c>
      <c r="G164" s="47" t="n">
        <v>1.8</v>
      </c>
      <c r="H164" s="47" t="n">
        <v>2</v>
      </c>
      <c r="I164" s="47" t="n">
        <v>2</v>
      </c>
      <c r="J164" s="47" t="n">
        <v>0.14</v>
      </c>
      <c r="K164" s="47" t="n">
        <v>1.92</v>
      </c>
      <c r="L164" s="47" t="n">
        <v>1.88</v>
      </c>
      <c r="M164" s="47" t="n">
        <v>2</v>
      </c>
      <c r="N164" s="45" t="n">
        <v>0.14</v>
      </c>
      <c r="O164" s="48" t="inlineStr">
        <is>
          <t> </t>
        </is>
      </c>
      <c r="P164" s="47" t="inlineStr">
        <is>
          <t>Generic Drug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2</v>
      </c>
      <c r="I165" s="47" t="n">
        <v>2</v>
      </c>
      <c r="J165" s="47" t="n">
        <v>1.1</v>
      </c>
      <c r="K165" s="47" t="n">
        <v>2</v>
      </c>
      <c r="L165" s="47" t="n">
        <v>2</v>
      </c>
      <c r="M165" s="47" t="n">
        <v>2</v>
      </c>
      <c r="N165" s="45" t="n">
        <v>1.1</v>
      </c>
      <c r="O165" s="48" t="inlineStr">
        <is>
          <t> </t>
        </is>
      </c>
      <c r="P165" s="47" t="inlineStr">
        <is>
          <t>Generic Drug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1</v>
      </c>
      <c r="F166" s="47" t="n">
        <v>0.5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5" t="n">
        <v>0.5</v>
      </c>
      <c r="O166" s="48" t="inlineStr">
        <is>
          <t> </t>
        </is>
      </c>
      <c r="P166" s="47" t="inlineStr">
        <is>
          <t>Generic Drug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1</v>
      </c>
      <c r="I167" s="47" t="n">
        <v>1</v>
      </c>
      <c r="J167" s="47" t="n">
        <v>0.4</v>
      </c>
      <c r="K167" s="47" t="n">
        <v>1</v>
      </c>
      <c r="L167" s="47" t="n">
        <v>1</v>
      </c>
      <c r="M167" s="47" t="n">
        <v>1</v>
      </c>
      <c r="N167" s="45" t="n">
        <v>0.4</v>
      </c>
      <c r="O167" s="48" t="inlineStr">
        <is>
          <t> </t>
        </is>
      </c>
      <c r="P167" s="47" t="inlineStr">
        <is>
          <t>Generic Drug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2</v>
      </c>
      <c r="I168" s="47" t="n">
        <v>2</v>
      </c>
      <c r="J168" s="47" t="n">
        <v>0.5</v>
      </c>
      <c r="K168" s="47" t="n">
        <v>2</v>
      </c>
      <c r="L168" s="47" t="n">
        <v>2</v>
      </c>
      <c r="M168" s="47" t="n">
        <v>2</v>
      </c>
      <c r="N168" s="45" t="n">
        <v>0.5</v>
      </c>
      <c r="O168" s="48" t="inlineStr">
        <is>
          <t> </t>
        </is>
      </c>
      <c r="P168" s="47" t="inlineStr">
        <is>
          <t>Generic Drug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24</v>
      </c>
      <c r="F169" s="47" t="n">
        <v>18</v>
      </c>
      <c r="G169" s="47" t="n">
        <v>21</v>
      </c>
      <c r="H169" s="47" t="n">
        <v>24</v>
      </c>
      <c r="I169" s="47" t="n">
        <v>21</v>
      </c>
      <c r="J169" s="47" t="n">
        <v>22</v>
      </c>
      <c r="K169" s="47" t="n">
        <v>24</v>
      </c>
      <c r="L169" s="47" t="n">
        <v>24</v>
      </c>
      <c r="M169" s="47" t="n">
        <v>24</v>
      </c>
      <c r="N169" s="45" t="n">
        <v>18</v>
      </c>
      <c r="O169" s="48" t="inlineStr">
        <is>
          <t> </t>
        </is>
      </c>
      <c r="P169" s="47" t="inlineStr">
        <is>
          <t>Branded Drug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2</v>
      </c>
      <c r="J170" s="47" t="n">
        <v>2</v>
      </c>
      <c r="K170" s="47" t="n">
        <v>1</v>
      </c>
      <c r="L170" s="47" t="n">
        <v>2</v>
      </c>
      <c r="M170" s="47" t="n">
        <v>2</v>
      </c>
      <c r="N170" s="45" t="n">
        <v>1</v>
      </c>
      <c r="O170" s="48" t="inlineStr">
        <is>
          <t> </t>
        </is>
      </c>
      <c r="P170" s="47" t="inlineStr">
        <is>
          <t>Branded Drug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1</v>
      </c>
      <c r="K171" s="47" t="n">
        <v>4</v>
      </c>
      <c r="L171" s="47" t="n">
        <v>4</v>
      </c>
      <c r="M171" s="47" t="n">
        <v>4</v>
      </c>
      <c r="N171" s="45" t="n">
        <v>1</v>
      </c>
      <c r="O171" s="48" t="inlineStr">
        <is>
          <t> </t>
        </is>
      </c>
      <c r="P171" s="47" t="inlineStr">
        <is>
          <t>OTC Drug</t>
        </is>
      </c>
    </row>
  </sheetData>
  <autoFilter ref="A2:P171"/>
  <mergeCells count="1">
    <mergeCell ref="A1:P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Trial 20 (Feb 2026 -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51672130005</t>
        </is>
      </c>
      <c r="C37" s="45" t="n">
        <v>225</v>
      </c>
      <c r="D37" s="45" t="n">
        <v>0</v>
      </c>
      <c r="E37" s="47" t="n">
        <v>5.78</v>
      </c>
    </row>
    <row r="38" ht="20" customHeight="1">
      <c r="A38" s="46" t="inlineStr">
        <is>
          <t>AMMONIUM LACTATE 12 % EXTERNAL LOTION</t>
        </is>
      </c>
      <c r="B38" s="45" t="inlineStr">
        <is>
          <t>51672130009</t>
        </is>
      </c>
      <c r="C38" s="45" t="n">
        <v>400</v>
      </c>
      <c r="D38" s="45" t="n">
        <v>0</v>
      </c>
      <c r="E38" s="47" t="n">
        <v>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61314014310</t>
        </is>
      </c>
      <c r="C76" s="45" t="n">
        <v>10</v>
      </c>
      <c r="D76" s="45" t="n">
        <v>0</v>
      </c>
      <c r="E76" s="47" t="n">
        <v>2</v>
      </c>
    </row>
    <row r="77" ht="20" customHeight="1">
      <c r="A77" s="46" t="inlineStr">
        <is>
          <t>BRIMONIDINE TARTRATE 0.2% SOLUTION</t>
        </is>
      </c>
      <c r="B77" s="45" t="inlineStr">
        <is>
          <t>61314014305</t>
        </is>
      </c>
      <c r="C77" s="45" t="n">
        <v>5</v>
      </c>
      <c r="D77" s="45" t="n">
        <v>0</v>
      </c>
      <c r="E77" s="47" t="n">
        <v>9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70069065201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68462028132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00472037945</t>
        </is>
      </c>
      <c r="C129" s="45" t="n">
        <v>45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00168025815</t>
        </is>
      </c>
      <c r="C130" s="45" t="n">
        <v>15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76204010030</t>
        </is>
      </c>
      <c r="C250" s="45" t="n">
        <v>75</v>
      </c>
      <c r="D250" s="45" t="n">
        <v>0</v>
      </c>
      <c r="E250" s="47" t="n">
        <v>4</v>
      </c>
    </row>
    <row r="251" ht="20" customHeight="1">
      <c r="A251" s="46" t="inlineStr">
        <is>
          <t>IPRATROPIUM BROMIDE 0.02 % INHALATION SOLUTION</t>
        </is>
      </c>
      <c r="B251" s="45" t="inlineStr">
        <is>
          <t>00378797052</t>
        </is>
      </c>
      <c r="C251" s="45" t="n">
        <v>62.5</v>
      </c>
      <c r="D251" s="45" t="n">
        <v>0</v>
      </c>
      <c r="E251" s="47" t="n">
        <v>2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30MG TABLET</t>
        </is>
      </c>
      <c r="B303" s="45" t="inlineStr">
        <is>
          <t>68180098202</t>
        </is>
      </c>
      <c r="C303" s="45" t="n">
        <v>500</v>
      </c>
      <c r="D303" s="45" t="n">
        <v>0</v>
      </c>
      <c r="E303" s="47" t="n">
        <v>0.18</v>
      </c>
    </row>
    <row r="304" ht="20" customHeight="1">
      <c r="A304" s="46" t="inlineStr">
        <is>
          <t>LISINOPRIL 40MG TABLET</t>
        </is>
      </c>
      <c r="B304" s="45" t="inlineStr">
        <is>
          <t>68180097903</t>
        </is>
      </c>
      <c r="C304" s="45" t="n">
        <v>1000</v>
      </c>
      <c r="D304" s="45" t="n">
        <v>0</v>
      </c>
      <c r="E304" s="47" t="n">
        <v>0.33</v>
      </c>
    </row>
    <row r="305" ht="20" customHeight="1">
      <c r="A305" s="46" t="inlineStr">
        <is>
          <t>LISINOPRIL 5MG TABLET</t>
        </is>
      </c>
      <c r="B305" s="45" t="inlineStr">
        <is>
          <t>68180051303</t>
        </is>
      </c>
      <c r="C305" s="45" t="n">
        <v>1000</v>
      </c>
      <c r="D305" s="45" t="n">
        <v>0</v>
      </c>
      <c r="E305" s="47" t="n">
        <v>0.45</v>
      </c>
    </row>
    <row r="306" ht="20" customHeight="1">
      <c r="A306" s="46" t="inlineStr">
        <is>
          <t xml:space="preserve">LISINOPRIL-HCTZ 20-12.5MG TAB </t>
        </is>
      </c>
      <c r="B306" s="45" t="inlineStr">
        <is>
          <t>68180051902</t>
        </is>
      </c>
      <c r="C306" s="45" t="n">
        <v>500</v>
      </c>
      <c r="D306" s="45" t="n">
        <v>0</v>
      </c>
      <c r="E306" s="47" t="n">
        <v>0.42</v>
      </c>
    </row>
    <row r="307" ht="20" customHeight="1">
      <c r="A307" s="46" t="inlineStr">
        <is>
          <t xml:space="preserve">LITHIUM CARBONATE 300MG CAP </t>
        </is>
      </c>
      <c r="B307" s="45" t="inlineStr">
        <is>
          <t>31722054501</t>
        </is>
      </c>
      <c r="C307" s="45" t="n">
        <v>100</v>
      </c>
      <c r="D307" s="45" t="n">
        <v>0</v>
      </c>
      <c r="E307" s="47" t="n">
        <v>1.2</v>
      </c>
    </row>
    <row r="308" ht="20" customHeight="1">
      <c r="A308" s="46" t="inlineStr">
        <is>
          <t>LITHIUM CARBONATE 600MG CAPSULE</t>
        </is>
      </c>
      <c r="B308" s="45" t="inlineStr">
        <is>
          <t>00054253125</t>
        </is>
      </c>
      <c r="C308" s="45" t="n">
        <v>100</v>
      </c>
      <c r="D308" s="45" t="n">
        <v>0</v>
      </c>
      <c r="E308" s="47" t="n">
        <v>0.6</v>
      </c>
    </row>
    <row r="309" ht="20" customHeight="1">
      <c r="A309" s="46" t="inlineStr">
        <is>
          <t>LO LOESTRIN FE 1 MG-10 MCG / 10 MCG ORAL TABLET</t>
        </is>
      </c>
      <c r="B309" s="45" t="inlineStr">
        <is>
          <t>00430042014</t>
        </is>
      </c>
      <c r="C309" s="45" t="n">
        <v>140</v>
      </c>
      <c r="D309" s="45" t="n">
        <v>0</v>
      </c>
      <c r="E309" s="47" t="n">
        <v>0.6</v>
      </c>
    </row>
    <row r="310" ht="20" customHeight="1">
      <c r="A310" s="46" t="inlineStr">
        <is>
          <t>LO-ZUMANDIMINE 3-0.02 MG ORAL TABLET</t>
        </is>
      </c>
      <c r="B310" s="45" t="inlineStr">
        <is>
          <t>59651002988</t>
        </is>
      </c>
      <c r="C310" s="45" t="n">
        <v>84</v>
      </c>
      <c r="D310" s="45" t="n">
        <v>0</v>
      </c>
      <c r="E310" s="47" t="n">
        <v>2.33</v>
      </c>
    </row>
    <row r="311" ht="20" customHeight="1">
      <c r="A311" s="46" t="inlineStr">
        <is>
          <t xml:space="preserve">LOPERAMIDE 2MG CAP </t>
        </is>
      </c>
      <c r="B311" s="45" t="inlineStr">
        <is>
          <t>00378210005</t>
        </is>
      </c>
      <c r="C311" s="45" t="n">
        <v>500</v>
      </c>
      <c r="D311" s="45" t="n">
        <v>0</v>
      </c>
      <c r="E311" s="47" t="n">
        <v>0.11</v>
      </c>
    </row>
    <row r="312" ht="20" customHeight="1">
      <c r="A312" s="46" t="inlineStr">
        <is>
          <t>LOSARTAN 100MG TABLET</t>
        </is>
      </c>
      <c r="B312" s="45" t="inlineStr">
        <is>
          <t>65862020399</t>
        </is>
      </c>
      <c r="C312" s="45" t="n">
        <v>1000</v>
      </c>
      <c r="D312" s="45" t="n">
        <v>0</v>
      </c>
      <c r="E312" s="47" t="n">
        <v>1.29</v>
      </c>
    </row>
    <row r="313" ht="20" customHeight="1">
      <c r="A313" s="46" t="inlineStr">
        <is>
          <t>LOSARTAN 50MG TABLET</t>
        </is>
      </c>
      <c r="B313" s="45" t="inlineStr">
        <is>
          <t>65862020299</t>
        </is>
      </c>
      <c r="C313" s="45" t="n">
        <v>1000</v>
      </c>
      <c r="D313" s="45" t="n">
        <v>0</v>
      </c>
      <c r="E313" s="47" t="n">
        <v>1.08</v>
      </c>
    </row>
    <row r="314" ht="20" customHeight="1">
      <c r="A314" s="46" t="inlineStr">
        <is>
          <t>LOSARTAN HCTZ 100-25MG TABLET</t>
        </is>
      </c>
      <c r="B314" s="45" t="inlineStr">
        <is>
          <t>00093736810</t>
        </is>
      </c>
      <c r="C314" s="45" t="n">
        <v>1000</v>
      </c>
      <c r="D314" s="45" t="n">
        <v>0</v>
      </c>
      <c r="E314" s="47" t="n">
        <v>0.54</v>
      </c>
    </row>
    <row r="315" ht="20" customHeight="1">
      <c r="A315" s="46" t="inlineStr">
        <is>
          <t>LOSARTAN POTASSIUM 25MG TABLET</t>
        </is>
      </c>
      <c r="B315" s="45" t="inlineStr">
        <is>
          <t>68180037603</t>
        </is>
      </c>
      <c r="C315" s="45" t="n">
        <v>1000</v>
      </c>
      <c r="D315" s="45" t="n">
        <v>0</v>
      </c>
      <c r="E315" s="47" t="n">
        <v>1.02</v>
      </c>
    </row>
    <row r="316" ht="20" customHeight="1">
      <c r="A316" s="46" t="inlineStr">
        <is>
          <t>LOSARTANHCTZ 100-12.5 MG TABLET</t>
        </is>
      </c>
      <c r="B316" s="45" t="inlineStr">
        <is>
          <t>33342005144</t>
        </is>
      </c>
      <c r="C316" s="45" t="n">
        <v>1000</v>
      </c>
      <c r="D316" s="45" t="n">
        <v>0</v>
      </c>
      <c r="E316" s="47" t="n">
        <v>0.39</v>
      </c>
    </row>
    <row r="317" ht="20" customHeight="1">
      <c r="A317" s="46" t="inlineStr">
        <is>
          <t xml:space="preserve">LOVASTATIN 20MG TAB </t>
        </is>
      </c>
      <c r="B317" s="45" t="inlineStr">
        <is>
          <t>68180046801</t>
        </is>
      </c>
      <c r="C317" s="45" t="n">
        <v>100</v>
      </c>
      <c r="D317" s="45" t="n">
        <v>0</v>
      </c>
      <c r="E317" s="47" t="n">
        <v>0.9</v>
      </c>
    </row>
    <row r="318" ht="20" customHeight="1">
      <c r="A318" s="46" t="inlineStr">
        <is>
          <t>MECLIZINE 25MG TABLET</t>
        </is>
      </c>
      <c r="B318" s="45" t="inlineStr">
        <is>
          <t>65162044210</t>
        </is>
      </c>
      <c r="C318" s="45" t="n">
        <v>100</v>
      </c>
      <c r="D318" s="45" t="n">
        <v>0</v>
      </c>
      <c r="E318" s="47" t="n">
        <v>1.2</v>
      </c>
    </row>
    <row r="319" ht="20" customHeight="1">
      <c r="A319" s="46" t="inlineStr">
        <is>
          <t>MECLIZINE HCL 25MG TABLET</t>
        </is>
      </c>
      <c r="B319" s="45" t="inlineStr">
        <is>
          <t>59746012110</t>
        </is>
      </c>
      <c r="C319" s="45" t="n">
        <v>1000</v>
      </c>
      <c r="D319" s="45" t="n">
        <v>0</v>
      </c>
      <c r="E319" s="47" t="n">
        <v>0.41</v>
      </c>
    </row>
    <row r="320" ht="20" customHeight="1">
      <c r="A320" s="46" t="inlineStr">
        <is>
          <t xml:space="preserve">MELOXICAM 15MG TAB </t>
        </is>
      </c>
      <c r="B320" s="45" t="inlineStr">
        <is>
          <t>69097015912</t>
        </is>
      </c>
      <c r="C320" s="45" t="n">
        <v>500</v>
      </c>
      <c r="D320" s="45" t="n">
        <v>0</v>
      </c>
      <c r="E320" s="47" t="n">
        <v>1.07</v>
      </c>
    </row>
    <row r="321" ht="20" customHeight="1">
      <c r="A321" s="46" t="inlineStr">
        <is>
          <t>MELOXICAM 15MG TABLET</t>
        </is>
      </c>
      <c r="B321" s="45" t="inlineStr">
        <is>
          <t>69097015915</t>
        </is>
      </c>
      <c r="C321" s="45" t="n">
        <v>1000</v>
      </c>
      <c r="D321" s="45" t="n">
        <v>0</v>
      </c>
      <c r="E321" s="47" t="n">
        <v>0.03</v>
      </c>
    </row>
    <row r="322" ht="20" customHeight="1">
      <c r="A322" s="46" t="inlineStr">
        <is>
          <t xml:space="preserve">MELOXICAM 7.5MG TAB </t>
        </is>
      </c>
      <c r="B322" s="45" t="inlineStr">
        <is>
          <t>69097015815</t>
        </is>
      </c>
      <c r="C322" s="45" t="n">
        <v>1000</v>
      </c>
      <c r="D322" s="45" t="n">
        <v>0</v>
      </c>
      <c r="E322" s="47" t="n">
        <v>0.06</v>
      </c>
    </row>
    <row r="323" ht="20" customHeight="1">
      <c r="A323" s="46" t="inlineStr">
        <is>
          <t>MEMANTINE 10MG TABLET</t>
        </is>
      </c>
      <c r="B323" s="45" t="inlineStr">
        <is>
          <t>33342029815</t>
        </is>
      </c>
      <c r="C323" s="45" t="n">
        <v>500</v>
      </c>
      <c r="D323" s="45" t="n">
        <v>0</v>
      </c>
      <c r="E323" s="47" t="n">
        <v>0.54</v>
      </c>
    </row>
    <row r="324" ht="20" customHeight="1">
      <c r="A324" s="46" t="inlineStr">
        <is>
          <t>MEMANTINE 28MG CAPSULE ER</t>
        </is>
      </c>
      <c r="B324" s="45" t="inlineStr">
        <is>
          <t>70436005704</t>
        </is>
      </c>
      <c r="C324" s="45" t="n">
        <v>30</v>
      </c>
      <c r="D324" s="45" t="n">
        <v>0</v>
      </c>
      <c r="E324" s="47" t="n">
        <v>1</v>
      </c>
    </row>
    <row r="325" ht="20" customHeight="1">
      <c r="A325" s="46" t="inlineStr">
        <is>
          <t>MEMANTINE 5MG TABLET</t>
        </is>
      </c>
      <c r="B325" s="45" t="inlineStr">
        <is>
          <t>61442019205</t>
        </is>
      </c>
      <c r="C325" s="45" t="n">
        <v>500</v>
      </c>
      <c r="D325" s="45" t="n">
        <v>0</v>
      </c>
      <c r="E325" s="47" t="n">
        <v>0.54</v>
      </c>
    </row>
    <row r="326" ht="20" customHeight="1">
      <c r="A326" s="46" t="inlineStr">
        <is>
          <t>METFORMIN 850 MG TABLET</t>
        </is>
      </c>
      <c r="B326" s="45" t="inlineStr">
        <is>
          <t>70010006410</t>
        </is>
      </c>
      <c r="C326" s="45" t="n">
        <v>1000</v>
      </c>
      <c r="D326" s="45" t="n">
        <v>0</v>
      </c>
      <c r="E326" s="47" t="n">
        <v>0.36</v>
      </c>
    </row>
    <row r="327" ht="20" customHeight="1">
      <c r="A327" s="46" t="inlineStr">
        <is>
          <t xml:space="preserve">METFORMIN ER 500MG TAB </t>
        </is>
      </c>
      <c r="B327" s="45" t="inlineStr">
        <is>
          <t>62756014202</t>
        </is>
      </c>
      <c r="C327" s="45" t="n">
        <v>500</v>
      </c>
      <c r="D327" s="45" t="n">
        <v>0</v>
      </c>
      <c r="E327" s="47" t="n">
        <v>0.66</v>
      </c>
    </row>
    <row r="328" ht="20" customHeight="1">
      <c r="A328" s="46" t="inlineStr">
        <is>
          <t xml:space="preserve">METFORMIN ER 500MG TABLET </t>
        </is>
      </c>
      <c r="B328" s="45" t="inlineStr">
        <is>
          <t>67877015905</t>
        </is>
      </c>
      <c r="C328" s="45" t="n">
        <v>500</v>
      </c>
      <c r="D328" s="45" t="n">
        <v>0</v>
      </c>
      <c r="E328" s="47" t="n">
        <v>0.6</v>
      </c>
    </row>
    <row r="329" ht="20" customHeight="1">
      <c r="A329" s="46" t="inlineStr">
        <is>
          <t>METHENAMINE HIPPURATE 1GM TABLET</t>
        </is>
      </c>
      <c r="B329" s="45" t="inlineStr">
        <is>
          <t>65862078201</t>
        </is>
      </c>
      <c r="C329" s="45" t="n">
        <v>100</v>
      </c>
      <c r="D329" s="45" t="n">
        <v>0</v>
      </c>
      <c r="E329" s="47" t="n">
        <v>1.2</v>
      </c>
    </row>
    <row r="330" ht="20" customHeight="1">
      <c r="A330" s="46" t="inlineStr">
        <is>
          <t xml:space="preserve">METHIMAZOLE 10MG TAB </t>
        </is>
      </c>
      <c r="B330" s="45" t="inlineStr">
        <is>
          <t>23155007101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 xml:space="preserve">METHOCARBAMOL 500MG TAB </t>
        </is>
      </c>
      <c r="B331" s="45" t="inlineStr">
        <is>
          <t>70010075401</t>
        </is>
      </c>
      <c r="C331" s="45" t="n">
        <v>100</v>
      </c>
      <c r="D331" s="45" t="n">
        <v>0</v>
      </c>
      <c r="E331" s="47" t="n">
        <v>0.9</v>
      </c>
    </row>
    <row r="332" ht="20" customHeight="1">
      <c r="A332" s="46" t="inlineStr">
        <is>
          <t>METHOCARBAMOL 750 MG ORAL TABLET</t>
        </is>
      </c>
      <c r="B332" s="45" t="inlineStr">
        <is>
          <t>70010077001</t>
        </is>
      </c>
      <c r="C332" s="45" t="n">
        <v>100</v>
      </c>
      <c r="D332" s="45" t="n">
        <v>0</v>
      </c>
      <c r="E332" s="47" t="n">
        <v>0.28</v>
      </c>
    </row>
    <row r="333" ht="20" customHeight="1">
      <c r="A333" s="46" t="inlineStr">
        <is>
          <t xml:space="preserve">METHOTREXATE 2.5MG TAB </t>
        </is>
      </c>
      <c r="B333" s="45" t="inlineStr">
        <is>
          <t>68382077501</t>
        </is>
      </c>
      <c r="C333" s="45" t="n">
        <v>100</v>
      </c>
      <c r="D333" s="45" t="n">
        <v>0</v>
      </c>
      <c r="E333" s="47" t="n">
        <v>0.5600000000000001</v>
      </c>
    </row>
    <row r="334" ht="20" customHeight="1">
      <c r="A334" s="46" t="inlineStr">
        <is>
          <t>METHYLIN 5 MG/5ML ORAL SOLUTION</t>
        </is>
      </c>
      <c r="B334" s="45" t="inlineStr">
        <is>
          <t>59630075050</t>
        </is>
      </c>
      <c r="C334" s="45" t="n">
        <v>500</v>
      </c>
      <c r="D334" s="45" t="n">
        <v>0</v>
      </c>
      <c r="E334" s="47" t="n">
        <v>0.6</v>
      </c>
    </row>
    <row r="335" ht="20" customHeight="1">
      <c r="A335" s="46" t="inlineStr">
        <is>
          <t xml:space="preserve">METHYLPREDNISOLONE 4MG (MEDROL) </t>
        </is>
      </c>
      <c r="B335" s="45" t="inlineStr">
        <is>
          <t>59746000103</t>
        </is>
      </c>
      <c r="C335" s="45" t="n">
        <v>21</v>
      </c>
      <c r="D335" s="45" t="n">
        <v>0</v>
      </c>
      <c r="E335" s="47" t="n">
        <v>2</v>
      </c>
    </row>
    <row r="336" ht="20" customHeight="1">
      <c r="A336" s="46" t="inlineStr">
        <is>
          <t>METHYLPREDNISOLONE 8MG TABLET</t>
        </is>
      </c>
      <c r="B336" s="45" t="inlineStr">
        <is>
          <t>59762004901</t>
        </is>
      </c>
      <c r="C336" s="45" t="n">
        <v>25</v>
      </c>
      <c r="D336" s="45" t="n">
        <v>0</v>
      </c>
      <c r="E336" s="47" t="n">
        <v>0.4</v>
      </c>
    </row>
    <row r="337" ht="20" customHeight="1">
      <c r="A337" s="46" t="inlineStr">
        <is>
          <t xml:space="preserve">METOCLOPRAMIDE 10MG TAB </t>
        </is>
      </c>
      <c r="B337" s="45" t="inlineStr">
        <is>
          <t>00093220305</t>
        </is>
      </c>
      <c r="C337" s="45" t="n">
        <v>500</v>
      </c>
      <c r="D337" s="45" t="n">
        <v>0</v>
      </c>
      <c r="E337" s="47" t="n">
        <v>0.02</v>
      </c>
    </row>
    <row r="338" ht="20" customHeight="1">
      <c r="A338" s="46" t="inlineStr">
        <is>
          <t>METOCLOPRAMIDE 5MG TABLET</t>
        </is>
      </c>
      <c r="B338" s="45" t="inlineStr">
        <is>
          <t>00093220405</t>
        </is>
      </c>
      <c r="C338" s="45" t="n">
        <v>500</v>
      </c>
      <c r="D338" s="45" t="n">
        <v>0</v>
      </c>
      <c r="E338" s="47" t="n">
        <v>0.24</v>
      </c>
    </row>
    <row r="339" ht="20" customHeight="1">
      <c r="A339" s="46" t="inlineStr">
        <is>
          <t>METOLAZONE 5 MG TABLET</t>
        </is>
      </c>
      <c r="B339" s="45" t="inlineStr">
        <is>
          <t>00185005501</t>
        </is>
      </c>
      <c r="C339" s="45" t="n">
        <v>100</v>
      </c>
      <c r="D339" s="45" t="n">
        <v>0</v>
      </c>
      <c r="E339" s="47" t="n">
        <v>0.3</v>
      </c>
    </row>
    <row r="340" ht="20" customHeight="1">
      <c r="A340" s="46" t="inlineStr">
        <is>
          <t>METOPROLOL SUCCINATE 50MG TABLET ER</t>
        </is>
      </c>
      <c r="B340" s="45" t="inlineStr">
        <is>
          <t>45963067696</t>
        </is>
      </c>
      <c r="C340" s="45" t="n">
        <v>1000</v>
      </c>
      <c r="D340" s="45" t="n">
        <v>0</v>
      </c>
      <c r="E340" s="47" t="n">
        <v>1.41</v>
      </c>
    </row>
    <row r="341" ht="20" customHeight="1">
      <c r="A341" s="46" t="inlineStr">
        <is>
          <t>METOPROLOL SUCCINATE ER 200MG TABLET</t>
        </is>
      </c>
      <c r="B341" s="45" t="inlineStr">
        <is>
          <t>70010078305</t>
        </is>
      </c>
      <c r="C341" s="45" t="n">
        <v>500</v>
      </c>
      <c r="D341" s="45" t="n">
        <v>0</v>
      </c>
      <c r="E341" s="47" t="n">
        <v>0.66</v>
      </c>
    </row>
    <row r="342" ht="20" customHeight="1">
      <c r="A342" s="46" t="inlineStr">
        <is>
          <t>METOPROLOL TARTRATE 25MG TABLET</t>
        </is>
      </c>
      <c r="B342" s="45" t="inlineStr">
        <is>
          <t>57237010099</t>
        </is>
      </c>
      <c r="C342" s="45" t="n">
        <v>1000</v>
      </c>
      <c r="D342" s="45" t="n">
        <v>0</v>
      </c>
      <c r="E342" s="47" t="n">
        <v>0.15</v>
      </c>
    </row>
    <row r="343" ht="20" customHeight="1">
      <c r="A343" s="46" t="inlineStr">
        <is>
          <t>METOPROLOL TARTRATE 50MG TABLET</t>
        </is>
      </c>
      <c r="B343" s="45" t="inlineStr">
        <is>
          <t>57237010199</t>
        </is>
      </c>
      <c r="C343" s="45" t="n">
        <v>1000</v>
      </c>
      <c r="D343" s="45" t="n">
        <v>0</v>
      </c>
      <c r="E343" s="47" t="n">
        <v>0.24</v>
      </c>
    </row>
    <row r="344" ht="20" customHeight="1">
      <c r="A344" s="46" t="inlineStr">
        <is>
          <t>METRONIDAZOLE 0.75 % EXTERNAL GEL</t>
        </is>
      </c>
      <c r="B344" s="45" t="inlineStr">
        <is>
          <t>00713063737</t>
        </is>
      </c>
      <c r="C344" s="45" t="n">
        <v>45</v>
      </c>
      <c r="D344" s="45" t="n">
        <v>0</v>
      </c>
      <c r="E344" s="47" t="n">
        <v>1</v>
      </c>
    </row>
    <row r="345" ht="20" customHeight="1">
      <c r="A345" s="46" t="inlineStr">
        <is>
          <t>METRONIDAZOLE 0.75% VAGINAL GEL</t>
        </is>
      </c>
      <c r="B345" s="45" t="inlineStr">
        <is>
          <t>73473030370</t>
        </is>
      </c>
      <c r="C345" s="45" t="n">
        <v>70</v>
      </c>
      <c r="D345" s="45" t="n">
        <v>0</v>
      </c>
      <c r="E345" s="47" t="n">
        <v>2</v>
      </c>
    </row>
    <row r="346" ht="20" customHeight="1">
      <c r="A346" s="46" t="inlineStr">
        <is>
          <t>METRONIDAZOLE 500MG TABLET</t>
        </is>
      </c>
      <c r="B346" s="45" t="inlineStr">
        <is>
          <t>72578000805</t>
        </is>
      </c>
      <c r="C346" s="45" t="n">
        <v>500</v>
      </c>
      <c r="D346" s="45" t="n">
        <v>0</v>
      </c>
      <c r="E346" s="47" t="n">
        <v>0.13</v>
      </c>
    </row>
    <row r="347" ht="20" customHeight="1">
      <c r="A347" s="46" t="inlineStr">
        <is>
          <t>METRONIDAZOLE TOPICAL 0.75% CREAM</t>
        </is>
      </c>
      <c r="B347" s="45" t="inlineStr">
        <is>
          <t>00168032346</t>
        </is>
      </c>
      <c r="C347" s="45" t="n">
        <v>45</v>
      </c>
      <c r="D347" s="45" t="n">
        <v>0</v>
      </c>
      <c r="E347" s="47" t="n">
        <v>1</v>
      </c>
    </row>
    <row r="348" ht="20" customHeight="1">
      <c r="A348" s="46" t="inlineStr">
        <is>
          <t>MIDODRINE 5MG TABLET</t>
        </is>
      </c>
      <c r="B348" s="45" t="inlineStr">
        <is>
          <t>64980043401</t>
        </is>
      </c>
      <c r="C348" s="45" t="n">
        <v>100</v>
      </c>
      <c r="D348" s="45" t="n">
        <v>0</v>
      </c>
      <c r="E348" s="47" t="n">
        <v>0.12</v>
      </c>
    </row>
    <row r="349" ht="20" customHeight="1">
      <c r="A349" s="46" t="inlineStr">
        <is>
          <t>MINOXIDIL 2.5MG TABLET</t>
        </is>
      </c>
      <c r="B349" s="45" t="inlineStr">
        <is>
          <t>53489038601</t>
        </is>
      </c>
      <c r="C349" s="45" t="n">
        <v>100</v>
      </c>
      <c r="D349" s="45" t="n">
        <v>0</v>
      </c>
      <c r="E349" s="47" t="n">
        <v>0.3</v>
      </c>
    </row>
    <row r="350" ht="20" customHeight="1">
      <c r="A350" s="46" t="inlineStr">
        <is>
          <t>MIRTAZAPINE 15MG TABLET</t>
        </is>
      </c>
      <c r="B350" s="45" t="inlineStr">
        <is>
          <t>13107003105</t>
        </is>
      </c>
      <c r="C350" s="45" t="n">
        <v>500</v>
      </c>
      <c r="D350" s="45" t="n">
        <v>0</v>
      </c>
      <c r="E350" s="47" t="n">
        <v>0.6</v>
      </c>
    </row>
    <row r="351" ht="20" customHeight="1">
      <c r="A351" s="46" t="inlineStr">
        <is>
          <t>MIRTAZAPINE 45 MG TABLET DISINTEGRATING</t>
        </is>
      </c>
      <c r="B351" s="45" t="inlineStr">
        <is>
          <t>65862002306</t>
        </is>
      </c>
      <c r="C351" s="45" t="n">
        <v>30</v>
      </c>
      <c r="D351" s="45" t="n">
        <v>0</v>
      </c>
      <c r="E351" s="47" t="n">
        <v>1</v>
      </c>
    </row>
    <row r="352" ht="20" customHeight="1">
      <c r="A352" s="46" t="inlineStr">
        <is>
          <t>MISOPROSTOL 200 MCG ORAL TABLET</t>
        </is>
      </c>
      <c r="B352" s="45" t="inlineStr">
        <is>
          <t>70954044420</t>
        </is>
      </c>
      <c r="C352" s="45" t="n">
        <v>100</v>
      </c>
      <c r="D352" s="45" t="n">
        <v>0</v>
      </c>
      <c r="E352" s="47" t="n">
        <v>0.02</v>
      </c>
    </row>
    <row r="353" ht="20" customHeight="1">
      <c r="A353" s="46" t="inlineStr">
        <is>
          <t>MOMETASONE FUROATE 0.1 % EXTERNAL CREAM</t>
        </is>
      </c>
      <c r="B353" s="45" t="inlineStr">
        <is>
          <t>00713063437</t>
        </is>
      </c>
      <c r="C353" s="45" t="n">
        <v>45</v>
      </c>
      <c r="D353" s="45" t="n">
        <v>0</v>
      </c>
      <c r="E353" s="47" t="n">
        <v>3</v>
      </c>
    </row>
    <row r="354" ht="20" customHeight="1">
      <c r="A354" s="46" t="inlineStr">
        <is>
          <t>MOMETASONE FUROATE 50MCG/ACT SUSPENSION</t>
        </is>
      </c>
      <c r="B354" s="45" t="inlineStr">
        <is>
          <t>60505083001</t>
        </is>
      </c>
      <c r="C354" s="45" t="n">
        <v>17</v>
      </c>
      <c r="D354" s="45" t="n">
        <v>0</v>
      </c>
      <c r="E354" s="47" t="n">
        <v>3</v>
      </c>
    </row>
    <row r="355" ht="20" customHeight="1">
      <c r="A355" s="46" t="inlineStr">
        <is>
          <t xml:space="preserve">MONTELUKAST 10MG TAB </t>
        </is>
      </c>
      <c r="B355" s="45" t="inlineStr">
        <is>
          <t>29300022010</t>
        </is>
      </c>
      <c r="C355" s="45" t="n">
        <v>1000</v>
      </c>
      <c r="D355" s="45" t="n">
        <v>0</v>
      </c>
      <c r="E355" s="47" t="n">
        <v>1.32</v>
      </c>
    </row>
    <row r="356" ht="20" customHeight="1">
      <c r="A356" s="46" t="inlineStr">
        <is>
          <t>MORPHINE SULFATE ER 10 MG CAPSULE</t>
        </is>
      </c>
      <c r="B356" s="45" t="inlineStr">
        <is>
          <t>00832022500</t>
        </is>
      </c>
      <c r="C356" s="45" t="n">
        <v>100</v>
      </c>
      <c r="D356" s="45" t="n">
        <v>0</v>
      </c>
      <c r="E356" s="47" t="n">
        <v>0.3</v>
      </c>
    </row>
    <row r="357" ht="20" customHeight="1">
      <c r="A357" s="46" t="inlineStr">
        <is>
          <t>MOXIFLOXACIN HCL 0.5 % OPHTHALMIC SOLUTION</t>
        </is>
      </c>
      <c r="B357" s="45" t="inlineStr">
        <is>
          <t>70069008101</t>
        </is>
      </c>
      <c r="C357" s="45" t="n">
        <v>3</v>
      </c>
      <c r="D357" s="45" t="n">
        <v>0</v>
      </c>
      <c r="E357" s="47" t="n">
        <v>2</v>
      </c>
    </row>
    <row r="358" ht="20" customHeight="1">
      <c r="A358" s="46" t="inlineStr">
        <is>
          <t>MOXIFLOXACIN HCL 400 MG ORAL TABLET</t>
        </is>
      </c>
      <c r="B358" s="45" t="inlineStr">
        <is>
          <t>72205000130</t>
        </is>
      </c>
      <c r="C358" s="45" t="n">
        <v>30</v>
      </c>
      <c r="D358" s="45" t="n">
        <v>0</v>
      </c>
      <c r="E358" s="47" t="n">
        <v>0.23</v>
      </c>
    </row>
    <row r="359" ht="20" customHeight="1">
      <c r="A359" s="46" t="inlineStr">
        <is>
          <t>MUPIROCIN 2% OINTMENT</t>
        </is>
      </c>
      <c r="B359" s="45" t="inlineStr">
        <is>
          <t>51672131200</t>
        </is>
      </c>
      <c r="C359" s="45" t="n">
        <v>22</v>
      </c>
      <c r="D359" s="45" t="n">
        <v>0</v>
      </c>
      <c r="E359" s="47" t="n">
        <v>4</v>
      </c>
    </row>
    <row r="360" ht="20" customHeight="1">
      <c r="A360" s="46" t="inlineStr">
        <is>
          <t>MURO 128 2% SOLUTION</t>
        </is>
      </c>
      <c r="B360" s="45" t="inlineStr">
        <is>
          <t>24208027615</t>
        </is>
      </c>
      <c r="C360" s="45" t="n">
        <v>15</v>
      </c>
      <c r="D360" s="45" t="n">
        <v>0</v>
      </c>
      <c r="E360" s="47" t="n">
        <v>1</v>
      </c>
    </row>
    <row r="361" ht="20" customHeight="1">
      <c r="A361" s="46" t="inlineStr">
        <is>
          <t>MURO 128 5% OINTMENT</t>
        </is>
      </c>
      <c r="B361" s="45" t="inlineStr">
        <is>
          <t>24208038555</t>
        </is>
      </c>
      <c r="C361" s="45" t="n">
        <v>3.5</v>
      </c>
      <c r="D361" s="45" t="n">
        <v>0</v>
      </c>
      <c r="E361" s="47" t="n">
        <v>1</v>
      </c>
    </row>
    <row r="362" ht="20" customHeight="1">
      <c r="A362" s="46" t="inlineStr">
        <is>
          <t>MYCOPHENOLATE MOFETIL 500MG TABLET</t>
        </is>
      </c>
      <c r="B362" s="45" t="inlineStr">
        <is>
          <t>64380072507</t>
        </is>
      </c>
      <c r="C362" s="45" t="n">
        <v>500</v>
      </c>
      <c r="D362" s="45" t="n">
        <v>0</v>
      </c>
      <c r="E362" s="47" t="n">
        <v>0.36</v>
      </c>
    </row>
    <row r="363" ht="20" customHeight="1">
      <c r="A363" s="46" t="inlineStr">
        <is>
          <t>NABUMETONE 500MG TABLET</t>
        </is>
      </c>
      <c r="B363" s="45" t="inlineStr">
        <is>
          <t>69367024101</t>
        </is>
      </c>
      <c r="C363" s="45" t="n">
        <v>100</v>
      </c>
      <c r="D363" s="45" t="n">
        <v>0</v>
      </c>
      <c r="E363" s="47" t="n">
        <v>1.18</v>
      </c>
    </row>
    <row r="364" ht="20" customHeight="1">
      <c r="A364" s="46" t="inlineStr">
        <is>
          <t>NADOLOL 20MG TABLET</t>
        </is>
      </c>
      <c r="B364" s="45" t="inlineStr">
        <is>
          <t>69238112309</t>
        </is>
      </c>
      <c r="C364" s="45" t="n">
        <v>90</v>
      </c>
      <c r="D364" s="45" t="n">
        <v>0</v>
      </c>
      <c r="E364" s="47" t="n">
        <v>0.67</v>
      </c>
    </row>
    <row r="365" ht="20" customHeight="1">
      <c r="A365" s="46" t="inlineStr">
        <is>
          <t>NALTREXONE 50MG TABLET</t>
        </is>
      </c>
      <c r="B365" s="45" t="inlineStr">
        <is>
          <t>00406117001</t>
        </is>
      </c>
      <c r="C365" s="45" t="n">
        <v>100</v>
      </c>
      <c r="D365" s="45" t="n">
        <v>0</v>
      </c>
      <c r="E365" s="47" t="n">
        <v>0.6</v>
      </c>
    </row>
    <row r="366" ht="20" customHeight="1">
      <c r="A366" s="46" t="inlineStr">
        <is>
          <t>NAPROXEN 250MG TABLET</t>
        </is>
      </c>
      <c r="B366" s="45" t="inlineStr">
        <is>
          <t>68462018801</t>
        </is>
      </c>
      <c r="C366" s="45" t="n">
        <v>100</v>
      </c>
      <c r="D366" s="45" t="n">
        <v>0</v>
      </c>
      <c r="E366" s="47" t="n">
        <v>0.2</v>
      </c>
    </row>
    <row r="367" ht="20" customHeight="1">
      <c r="A367" s="46" t="inlineStr">
        <is>
          <t>NAPROXEN 500MG TABLET</t>
        </is>
      </c>
      <c r="B367" s="45" t="inlineStr">
        <is>
          <t>65862052205</t>
        </is>
      </c>
      <c r="C367" s="45" t="n">
        <v>500</v>
      </c>
      <c r="D367" s="45" t="n">
        <v>0</v>
      </c>
      <c r="E367" s="47" t="n">
        <v>1.99</v>
      </c>
    </row>
    <row r="368" ht="20" customHeight="1">
      <c r="A368" s="46" t="inlineStr">
        <is>
          <t>NEBIVOLOL 5MG TABLET</t>
        </is>
      </c>
      <c r="B368" s="45" t="inlineStr">
        <is>
          <t>72241003304</t>
        </is>
      </c>
      <c r="C368" s="45" t="n">
        <v>90</v>
      </c>
      <c r="D368" s="45" t="n">
        <v>0</v>
      </c>
      <c r="E368" s="47" t="n">
        <v>1</v>
      </c>
    </row>
    <row r="369" ht="20" customHeight="1">
      <c r="A369" s="46" t="inlineStr">
        <is>
          <t>NEOMYCIN SULFATE 500 MG ORAL TABLET</t>
        </is>
      </c>
      <c r="B369" s="45" t="inlineStr">
        <is>
          <t>00093117701</t>
        </is>
      </c>
      <c r="C369" s="45" t="n">
        <v>100</v>
      </c>
      <c r="D369" s="45" t="n">
        <v>0</v>
      </c>
      <c r="E369" s="47" t="n">
        <v>0.06</v>
      </c>
    </row>
    <row r="370" ht="20" customHeight="1">
      <c r="A370" s="46" t="inlineStr">
        <is>
          <t>NEOMYCIN-POLYMYXIN-DEXAMETH 3.5-10000-0.1 OPHTHALMIC OINTMENT</t>
        </is>
      </c>
      <c r="B370" s="45" t="inlineStr">
        <is>
          <t>24208079535</t>
        </is>
      </c>
      <c r="C370" s="45" t="n">
        <v>3.5</v>
      </c>
      <c r="D370" s="45" t="n">
        <v>0</v>
      </c>
      <c r="E370" s="47" t="n">
        <v>1</v>
      </c>
    </row>
    <row r="371" ht="20" customHeight="1">
      <c r="A371" s="46" t="inlineStr">
        <is>
          <t>NIFEDIPINE 30MG TABLET ER</t>
        </is>
      </c>
      <c r="B371" s="45" t="inlineStr">
        <is>
          <t>50742026003</t>
        </is>
      </c>
      <c r="C371" s="45" t="n">
        <v>300</v>
      </c>
      <c r="D371" s="45" t="n">
        <v>0</v>
      </c>
      <c r="E371" s="47" t="n">
        <v>0.4</v>
      </c>
    </row>
    <row r="372" ht="20" customHeight="1">
      <c r="A372" s="46" t="inlineStr">
        <is>
          <t>NIFEDIPINE 60MG TABLET ER</t>
        </is>
      </c>
      <c r="B372" s="45" t="inlineStr">
        <is>
          <t>50742026103</t>
        </is>
      </c>
      <c r="C372" s="45" t="n">
        <v>300</v>
      </c>
      <c r="D372" s="45" t="n">
        <v>0</v>
      </c>
      <c r="E372" s="47" t="n">
        <v>1</v>
      </c>
    </row>
    <row r="373" ht="20" customHeight="1">
      <c r="A373" s="46" t="inlineStr">
        <is>
          <t>NIFEDIPINE 90MG TABLET ER</t>
        </is>
      </c>
      <c r="B373" s="45" t="inlineStr">
        <is>
          <t>59651029701</t>
        </is>
      </c>
      <c r="C373" s="45" t="n">
        <v>100</v>
      </c>
      <c r="D373" s="45" t="n">
        <v>0</v>
      </c>
      <c r="E373" s="47" t="n">
        <v>1.2</v>
      </c>
    </row>
    <row r="374" ht="20" customHeight="1">
      <c r="A374" s="46" t="inlineStr">
        <is>
          <t>NITROGLYCERIN 0.4 MG SUBLINGUAL TAB 25X4</t>
        </is>
      </c>
      <c r="B374" s="45" t="inlineStr">
        <is>
          <t>59762330403</t>
        </is>
      </c>
      <c r="C374" s="45" t="n">
        <v>100</v>
      </c>
      <c r="D374" s="45" t="n">
        <v>0</v>
      </c>
      <c r="E374" s="47" t="n">
        <v>1.25</v>
      </c>
    </row>
    <row r="375" ht="20" customHeight="1">
      <c r="A375" s="46" t="inlineStr">
        <is>
          <t>NORTRIPTYLINE 10MG CAPSULE</t>
        </is>
      </c>
      <c r="B375" s="45" t="inlineStr">
        <is>
          <t>51672400101</t>
        </is>
      </c>
      <c r="C375" s="45" t="n">
        <v>100</v>
      </c>
      <c r="D375" s="45" t="n">
        <v>0</v>
      </c>
      <c r="E375" s="47" t="n">
        <v>0.3</v>
      </c>
    </row>
    <row r="376" ht="20" customHeight="1">
      <c r="A376" s="46" t="inlineStr">
        <is>
          <t>NORTRIPTYLINE 50MG CAPSULE</t>
        </is>
      </c>
      <c r="B376" s="45" t="inlineStr">
        <is>
          <t>51672400301</t>
        </is>
      </c>
      <c r="C376" s="45" t="n">
        <v>100</v>
      </c>
      <c r="D376" s="45" t="n">
        <v>0</v>
      </c>
      <c r="E376" s="47" t="n">
        <v>0.3</v>
      </c>
    </row>
    <row r="377" ht="20" customHeight="1">
      <c r="A377" s="46" t="inlineStr">
        <is>
          <t>NOVOLOG FLEXPEN 100UNIT/ML INJECTION</t>
        </is>
      </c>
      <c r="B377" s="45" t="inlineStr">
        <is>
          <t>00169633910</t>
        </is>
      </c>
      <c r="C377" s="45" t="n">
        <v>15</v>
      </c>
      <c r="D377" s="45" t="n">
        <v>0</v>
      </c>
      <c r="E377" s="47" t="n">
        <v>4.2</v>
      </c>
    </row>
    <row r="378" ht="20" customHeight="1">
      <c r="A378" s="46" t="inlineStr">
        <is>
          <t>NYSTATIN 100000 UNIT/GM EXTERNAL POWDER</t>
        </is>
      </c>
      <c r="B378" s="45" t="inlineStr">
        <is>
          <t>69315030660</t>
        </is>
      </c>
      <c r="C378" s="45" t="n">
        <v>60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CREAM</t>
        </is>
      </c>
      <c r="B379" s="45" t="inlineStr">
        <is>
          <t>45802005911</t>
        </is>
      </c>
      <c r="C379" s="45" t="n">
        <v>30</v>
      </c>
      <c r="D379" s="45" t="n">
        <v>0</v>
      </c>
      <c r="E379" s="47" t="n">
        <v>1</v>
      </c>
    </row>
    <row r="380" ht="20" customHeight="1">
      <c r="A380" s="46" t="inlineStr">
        <is>
          <t>NYSTATIN 100000UNIT/GM OINTMENT</t>
        </is>
      </c>
      <c r="B380" s="45" t="inlineStr">
        <is>
          <t>00713068631</t>
        </is>
      </c>
      <c r="C380" s="45" t="n">
        <v>30</v>
      </c>
      <c r="D380" s="45" t="n">
        <v>0</v>
      </c>
      <c r="E380" s="47" t="n">
        <v>1</v>
      </c>
    </row>
    <row r="381" ht="20" customHeight="1">
      <c r="A381" s="46" t="inlineStr">
        <is>
          <t>NYSTATIN 100000UNIT/GM POWDER</t>
        </is>
      </c>
      <c r="B381" s="45" t="inlineStr">
        <is>
          <t>00832046530</t>
        </is>
      </c>
      <c r="C381" s="45" t="n">
        <v>30</v>
      </c>
      <c r="D381" s="45" t="n">
        <v>0</v>
      </c>
      <c r="E381" s="47" t="n">
        <v>4</v>
      </c>
    </row>
    <row r="382" ht="20" customHeight="1">
      <c r="A382" s="46" t="inlineStr">
        <is>
          <t>NYSTATIN-TRIAMCINOLONE 100000-0.1 U/GM OINTMENT</t>
        </is>
      </c>
      <c r="B382" s="45" t="inlineStr">
        <is>
          <t>45802024494</t>
        </is>
      </c>
      <c r="C382" s="45" t="n">
        <v>30</v>
      </c>
      <c r="D382" s="45" t="n">
        <v>0</v>
      </c>
      <c r="E382" s="47" t="n">
        <v>2</v>
      </c>
    </row>
    <row r="383" ht="20" customHeight="1">
      <c r="A383" s="46" t="inlineStr">
        <is>
          <t xml:space="preserve">OFLOXACIN 0.3% SOL (EYE) </t>
        </is>
      </c>
      <c r="B383" s="45" t="inlineStr">
        <is>
          <t>64980051505</t>
        </is>
      </c>
      <c r="C383" s="45" t="n">
        <v>5</v>
      </c>
      <c r="D383" s="45" t="n">
        <v>0</v>
      </c>
      <c r="E383" s="47" t="n">
        <v>2</v>
      </c>
    </row>
    <row r="384" ht="20" customHeight="1">
      <c r="A384" s="46" t="inlineStr">
        <is>
          <t>OLANZAPINE 10MG TABLET</t>
        </is>
      </c>
      <c r="B384" s="45" t="inlineStr">
        <is>
          <t>43598016630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OLANZAPINE 15MG TABLET</t>
        </is>
      </c>
      <c r="B385" s="45" t="inlineStr">
        <is>
          <t>55111016730</t>
        </is>
      </c>
      <c r="C385" s="45" t="n">
        <v>30</v>
      </c>
      <c r="D385" s="45" t="n">
        <v>0</v>
      </c>
      <c r="E385" s="47" t="n">
        <v>2</v>
      </c>
    </row>
    <row r="386" ht="20" customHeight="1">
      <c r="A386" s="46" t="inlineStr">
        <is>
          <t>OLANZAPINE 20MG TABLET</t>
        </is>
      </c>
      <c r="B386" s="45" t="inlineStr">
        <is>
          <t>55111016830</t>
        </is>
      </c>
      <c r="C386" s="45" t="n">
        <v>30</v>
      </c>
      <c r="D386" s="45" t="n">
        <v>0</v>
      </c>
      <c r="E386" s="47" t="n">
        <v>1</v>
      </c>
    </row>
    <row r="387" ht="20" customHeight="1">
      <c r="A387" s="46" t="inlineStr">
        <is>
          <t>OLMESARTAN 20MG TABLET</t>
        </is>
      </c>
      <c r="B387" s="45" t="inlineStr">
        <is>
          <t>68462043790</t>
        </is>
      </c>
      <c r="C387" s="45" t="n">
        <v>90</v>
      </c>
      <c r="D387" s="45" t="n">
        <v>0</v>
      </c>
      <c r="E387" s="47" t="n">
        <v>1</v>
      </c>
    </row>
    <row r="388" ht="20" customHeight="1">
      <c r="A388" s="46" t="inlineStr">
        <is>
          <t>OLMESARTAN 5MG TABLET</t>
        </is>
      </c>
      <c r="B388" s="45" t="inlineStr">
        <is>
          <t>68462043630</t>
        </is>
      </c>
      <c r="C388" s="45" t="n">
        <v>30</v>
      </c>
      <c r="D388" s="45" t="n">
        <v>0</v>
      </c>
      <c r="E388" s="47" t="n">
        <v>3</v>
      </c>
    </row>
    <row r="389" ht="20" customHeight="1">
      <c r="A389" s="46" t="inlineStr">
        <is>
          <t>OLMESARTAN-AMLODIPINE-HCTZ 40-10-12.5 MG ORAL TABLET</t>
        </is>
      </c>
      <c r="B389" s="45" t="inlineStr">
        <is>
          <t>49884078909</t>
        </is>
      </c>
      <c r="C389" s="45" t="n">
        <v>90</v>
      </c>
      <c r="D389" s="45" t="n">
        <v>0</v>
      </c>
      <c r="E389" s="47" t="n">
        <v>0.33</v>
      </c>
    </row>
    <row r="390" ht="20" customHeight="1">
      <c r="A390" s="46" t="inlineStr">
        <is>
          <t>OLMESARTAN-AMLODIPINE-HCTZ 40-10-25MG TABLET</t>
        </is>
      </c>
      <c r="B390" s="45" t="inlineStr">
        <is>
          <t>49884079009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OLMESARTAN-AMLODIPINE-HCTZ 40-5-12.5 MG ORAL TABLET</t>
        </is>
      </c>
      <c r="B391" s="45" t="inlineStr">
        <is>
          <t>49884078711</t>
        </is>
      </c>
      <c r="C391" s="45" t="n">
        <v>30</v>
      </c>
      <c r="D391" s="45" t="n">
        <v>0</v>
      </c>
      <c r="E391" s="47" t="n">
        <v>3</v>
      </c>
    </row>
    <row r="392" ht="20" customHeight="1">
      <c r="A392" s="46" t="inlineStr">
        <is>
          <t>OLMESARTAN-HCTZ 40-25 MG TABLET</t>
        </is>
      </c>
      <c r="B392" s="45" t="inlineStr">
        <is>
          <t>65862078190</t>
        </is>
      </c>
      <c r="C392" s="45" t="n">
        <v>90</v>
      </c>
      <c r="D392" s="45" t="n">
        <v>0</v>
      </c>
      <c r="E392" s="47" t="n">
        <v>1</v>
      </c>
    </row>
    <row r="393" ht="20" customHeight="1">
      <c r="A393" s="46" t="inlineStr">
        <is>
          <t>OMEGA-3-ACID ETHYL ESTERS 1 GM ORAL CAPSULE</t>
        </is>
      </c>
      <c r="B393" s="45" t="inlineStr">
        <is>
          <t>65162003416</t>
        </is>
      </c>
      <c r="C393" s="45" t="n">
        <v>120</v>
      </c>
      <c r="D393" s="45" t="n">
        <v>0</v>
      </c>
      <c r="E393" s="47" t="n">
        <v>9.25</v>
      </c>
    </row>
    <row r="394" ht="20" customHeight="1">
      <c r="A394" s="46" t="inlineStr">
        <is>
          <t>OMEPRAZOLE 20MG CAPSULE DR</t>
        </is>
      </c>
      <c r="B394" s="45" t="inlineStr">
        <is>
          <t>00781286810</t>
        </is>
      </c>
      <c r="C394" s="45" t="n">
        <v>1000</v>
      </c>
      <c r="D394" s="45" t="n">
        <v>0</v>
      </c>
      <c r="E394" s="47" t="n">
        <v>1.32</v>
      </c>
    </row>
    <row r="395" ht="20" customHeight="1">
      <c r="A395" s="46" t="inlineStr">
        <is>
          <t xml:space="preserve">ONDANSETRON 4MG TAB </t>
        </is>
      </c>
      <c r="B395" s="45" t="inlineStr">
        <is>
          <t>65862018730</t>
        </is>
      </c>
      <c r="C395" s="45" t="n">
        <v>30</v>
      </c>
      <c r="D395" s="45" t="n">
        <v>0</v>
      </c>
      <c r="E395" s="47" t="n">
        <v>0.83</v>
      </c>
    </row>
    <row r="396" ht="20" customHeight="1">
      <c r="A396" s="46" t="inlineStr">
        <is>
          <t xml:space="preserve">ONDANSETRON 8MG TAB </t>
        </is>
      </c>
      <c r="B396" s="45" t="inlineStr">
        <is>
          <t>65862018830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 xml:space="preserve">ONDANSETRON ODT  4MG TAB </t>
        </is>
      </c>
      <c r="B397" s="45" t="inlineStr">
        <is>
          <t>68462015713</t>
        </is>
      </c>
      <c r="C397" s="45" t="n">
        <v>30</v>
      </c>
      <c r="D397" s="45" t="n">
        <v>0</v>
      </c>
      <c r="E397" s="47" t="n">
        <v>2</v>
      </c>
    </row>
    <row r="398" ht="20" customHeight="1">
      <c r="A398" s="46" t="inlineStr">
        <is>
          <t xml:space="preserve">ONDANSETRON ODT 8MG TAB </t>
        </is>
      </c>
      <c r="B398" s="45" t="inlineStr">
        <is>
          <t>62756035664</t>
        </is>
      </c>
      <c r="C398" s="45" t="n">
        <v>30</v>
      </c>
      <c r="D398" s="45" t="n">
        <v>0</v>
      </c>
      <c r="E398" s="47" t="n">
        <v>1</v>
      </c>
    </row>
    <row r="399" ht="20" customHeight="1">
      <c r="A399" s="46" t="inlineStr">
        <is>
          <t>OPZELURA 1.5 % EXTERNAL CREAM</t>
        </is>
      </c>
      <c r="B399" s="45" t="inlineStr">
        <is>
          <t>50881000705</t>
        </is>
      </c>
      <c r="C399" s="45" t="n">
        <v>60</v>
      </c>
      <c r="D399" s="45" t="n">
        <v>0</v>
      </c>
      <c r="E399" s="47" t="n">
        <v>1</v>
      </c>
    </row>
    <row r="400" ht="20" customHeight="1">
      <c r="A400" s="46" t="inlineStr">
        <is>
          <t>OXYBUTYNIN 10MG TABLET ER</t>
        </is>
      </c>
      <c r="B400" s="45" t="inlineStr">
        <is>
          <t>27241015608</t>
        </is>
      </c>
      <c r="C400" s="45" t="n">
        <v>500</v>
      </c>
      <c r="D400" s="45" t="n">
        <v>0</v>
      </c>
      <c r="E400" s="47" t="n">
        <v>0.18</v>
      </c>
    </row>
    <row r="401" ht="20" customHeight="1">
      <c r="A401" s="46" t="inlineStr">
        <is>
          <t>OXYBUTYNIN CHLORIDE 5MG TABLET</t>
        </is>
      </c>
      <c r="B401" s="45" t="inlineStr">
        <is>
          <t>70954000530</t>
        </is>
      </c>
      <c r="C401" s="45" t="n">
        <v>1000</v>
      </c>
      <c r="D401" s="45" t="n">
        <v>0</v>
      </c>
      <c r="E401" s="47" t="n">
        <v>0.03</v>
      </c>
    </row>
    <row r="402" ht="20" customHeight="1">
      <c r="A402" s="46" t="inlineStr">
        <is>
          <t xml:space="preserve">OXYCODONE 15 MG TABLET </t>
        </is>
      </c>
      <c r="B402" s="45" t="inlineStr">
        <is>
          <t>47781026405</t>
        </is>
      </c>
      <c r="C402" s="45" t="n">
        <v>500</v>
      </c>
      <c r="D402" s="45" t="n">
        <v>0</v>
      </c>
      <c r="E402" s="47" t="n">
        <v>0.36</v>
      </c>
    </row>
    <row r="403" ht="20" customHeight="1">
      <c r="A403" s="46" t="inlineStr">
        <is>
          <t>OXYCODONE 30MG TABLET</t>
        </is>
      </c>
      <c r="B403" s="45" t="inlineStr">
        <is>
          <t>10702000950</t>
        </is>
      </c>
      <c r="C403" s="45" t="n">
        <v>500</v>
      </c>
      <c r="D403" s="45" t="n">
        <v>0</v>
      </c>
      <c r="E403" s="47" t="n">
        <v>0.24</v>
      </c>
    </row>
    <row r="404" ht="20" customHeight="1">
      <c r="A404" s="46" t="inlineStr">
        <is>
          <t>OXYCODONE HCL 5 MG TABLET</t>
        </is>
      </c>
      <c r="B404" s="45" t="inlineStr">
        <is>
          <t>47781026305</t>
        </is>
      </c>
      <c r="C404" s="45" t="n">
        <v>500</v>
      </c>
      <c r="D404" s="45" t="n">
        <v>0</v>
      </c>
      <c r="E404" s="47" t="n">
        <v>0.06</v>
      </c>
    </row>
    <row r="405" ht="20" customHeight="1">
      <c r="A405" s="46" t="inlineStr">
        <is>
          <t>OXYCODONE-ACETAMINOPHEN 5-325 MG ORAL TABLET</t>
        </is>
      </c>
      <c r="B405" s="45" t="inlineStr">
        <is>
          <t>47781019601</t>
        </is>
      </c>
      <c r="C405" s="45" t="n">
        <v>100</v>
      </c>
      <c r="D405" s="45" t="n">
        <v>0</v>
      </c>
      <c r="E405" s="47" t="n">
        <v>2.25</v>
      </c>
    </row>
    <row r="406" ht="20" customHeight="1">
      <c r="A406" s="46" t="inlineStr">
        <is>
          <t xml:space="preserve">PANTOPRAZOLE 20MG TAB </t>
        </is>
      </c>
      <c r="B406" s="45" t="inlineStr">
        <is>
          <t>13668009690</t>
        </is>
      </c>
      <c r="C406" s="45" t="n">
        <v>90</v>
      </c>
      <c r="D406" s="45" t="n">
        <v>0</v>
      </c>
      <c r="E406" s="47" t="n">
        <v>1</v>
      </c>
    </row>
    <row r="407" ht="20" customHeight="1">
      <c r="A407" s="46" t="inlineStr">
        <is>
          <t>PAROXETINE 10MG TABLET</t>
        </is>
      </c>
      <c r="B407" s="45" t="inlineStr">
        <is>
          <t>13107015430</t>
        </is>
      </c>
      <c r="C407" s="45" t="n">
        <v>30</v>
      </c>
      <c r="D407" s="45" t="n">
        <v>0</v>
      </c>
      <c r="E407" s="47" t="n">
        <v>3</v>
      </c>
    </row>
    <row r="408" ht="20" customHeight="1">
      <c r="A408" s="46" t="inlineStr">
        <is>
          <t xml:space="preserve">PAROXETINE 20MG TABLET </t>
        </is>
      </c>
      <c r="B408" s="45" t="inlineStr">
        <is>
          <t>13107015530</t>
        </is>
      </c>
      <c r="C408" s="45" t="n">
        <v>30</v>
      </c>
      <c r="D408" s="45" t="n">
        <v>0</v>
      </c>
      <c r="E408" s="47" t="n">
        <v>1</v>
      </c>
    </row>
    <row r="409" ht="20" customHeight="1">
      <c r="A409" s="46" t="inlineStr">
        <is>
          <t>PAROXETINE 30MG TABLET</t>
        </is>
      </c>
      <c r="B409" s="45" t="inlineStr">
        <is>
          <t>13107015630</t>
        </is>
      </c>
      <c r="C409" s="45" t="n">
        <v>30</v>
      </c>
      <c r="D409" s="45" t="n">
        <v>0</v>
      </c>
      <c r="E409" s="47" t="n">
        <v>1</v>
      </c>
    </row>
    <row r="410" ht="20" customHeight="1">
      <c r="A410" s="46" t="inlineStr">
        <is>
          <t>PAROXETINE 40MG TABLET</t>
        </is>
      </c>
      <c r="B410" s="45" t="inlineStr">
        <is>
          <t>60505010104</t>
        </is>
      </c>
      <c r="C410" s="45" t="n">
        <v>1000</v>
      </c>
      <c r="D410" s="45" t="n">
        <v>0</v>
      </c>
      <c r="E410" s="47" t="n">
        <v>0.09</v>
      </c>
    </row>
    <row r="411" ht="20" customHeight="1">
      <c r="A411" s="46" t="inlineStr">
        <is>
          <t>PEN NEEDLES 32G X 4 MM</t>
        </is>
      </c>
      <c r="B411" s="45" t="inlineStr">
        <is>
          <t>56151211401</t>
        </is>
      </c>
      <c r="C411" s="45" t="n">
        <v>100</v>
      </c>
      <c r="D411" s="45" t="n">
        <v>0</v>
      </c>
      <c r="E411" s="47" t="n">
        <v>6</v>
      </c>
    </row>
    <row r="412" ht="20" customHeight="1">
      <c r="A412" s="46" t="inlineStr">
        <is>
          <t>PEN NEEDLES ALL</t>
        </is>
      </c>
      <c r="B412" s="45" t="inlineStr">
        <is>
          <t>08290320122</t>
        </is>
      </c>
      <c r="C412" s="45" t="n">
        <v>100</v>
      </c>
      <c r="D412" s="45" t="n">
        <v>0</v>
      </c>
      <c r="E412" s="47" t="n">
        <v>29</v>
      </c>
    </row>
    <row r="413" ht="20" customHeight="1">
      <c r="A413" s="46" t="inlineStr">
        <is>
          <t>PENICILLIN V POTASSIUM 250MG TABLET</t>
        </is>
      </c>
      <c r="B413" s="45" t="inlineStr">
        <is>
          <t>65862017501</t>
        </is>
      </c>
      <c r="C413" s="45" t="n">
        <v>100</v>
      </c>
      <c r="D413" s="45" t="n">
        <v>0</v>
      </c>
      <c r="E413" s="47" t="n">
        <v>0.6</v>
      </c>
    </row>
    <row r="414" ht="20" customHeight="1">
      <c r="A414" s="46" t="inlineStr">
        <is>
          <t>PENTASA 250 MG ORAL CAPSULE EXTENDED RELEASE</t>
        </is>
      </c>
      <c r="B414" s="45" t="inlineStr">
        <is>
          <t>54092018981</t>
        </is>
      </c>
      <c r="C414" s="45" t="n">
        <v>240</v>
      </c>
      <c r="D414" s="45" t="n">
        <v>0</v>
      </c>
      <c r="E414" s="47" t="n">
        <v>0.12</v>
      </c>
    </row>
    <row r="415" ht="20" customHeight="1">
      <c r="A415" s="46" t="inlineStr">
        <is>
          <t>PERMETHRIN 5 % EXTERNAL CREAM</t>
        </is>
      </c>
      <c r="B415" s="45" t="inlineStr">
        <is>
          <t>21922002107</t>
        </is>
      </c>
      <c r="C415" s="45" t="n">
        <v>60</v>
      </c>
      <c r="D415" s="45" t="n">
        <v>0</v>
      </c>
      <c r="E415" s="47" t="n">
        <v>1</v>
      </c>
    </row>
    <row r="416" ht="20" customHeight="1">
      <c r="A416" s="46" t="inlineStr">
        <is>
          <t>PHENAZOPYRIDINE HCL 100MG TABLET</t>
        </is>
      </c>
      <c r="B416" s="45" t="inlineStr">
        <is>
          <t>69367061101</t>
        </is>
      </c>
      <c r="C416" s="45" t="n">
        <v>100</v>
      </c>
      <c r="D416" s="45" t="n">
        <v>0</v>
      </c>
      <c r="E416" s="47" t="n">
        <v>0.15</v>
      </c>
    </row>
    <row r="417" ht="20" customHeight="1">
      <c r="A417" s="46" t="inlineStr">
        <is>
          <t>PHENOBARBITAL 32.4 MG TABLET</t>
        </is>
      </c>
      <c r="B417" s="45" t="inlineStr">
        <is>
          <t>00603516632</t>
        </is>
      </c>
      <c r="C417" s="45" t="n">
        <v>1000</v>
      </c>
      <c r="D417" s="45" t="n">
        <v>0</v>
      </c>
      <c r="E417" s="47" t="n">
        <v>0.06</v>
      </c>
    </row>
    <row r="418" ht="20" customHeight="1">
      <c r="A418" s="46" t="inlineStr">
        <is>
          <t>PHENTERMINE 37.5MG TABLET</t>
        </is>
      </c>
      <c r="B418" s="45" t="inlineStr">
        <is>
          <t>10702002501</t>
        </is>
      </c>
      <c r="C418" s="45" t="n">
        <v>100</v>
      </c>
      <c r="D418" s="45" t="n">
        <v>0</v>
      </c>
      <c r="E418" s="47" t="n">
        <v>0.3</v>
      </c>
    </row>
    <row r="419" ht="20" customHeight="1">
      <c r="A419" s="46" t="inlineStr">
        <is>
          <t>PIOGLITAZONE 15MG TABLET</t>
        </is>
      </c>
      <c r="B419" s="45" t="inlineStr">
        <is>
          <t>57237021905</t>
        </is>
      </c>
      <c r="C419" s="45" t="n">
        <v>500</v>
      </c>
      <c r="D419" s="45" t="n">
        <v>0</v>
      </c>
      <c r="E419" s="47" t="n">
        <v>0.48</v>
      </c>
    </row>
    <row r="420" ht="20" customHeight="1">
      <c r="A420" s="46" t="inlineStr">
        <is>
          <t>PIOGLITAZONE 45MG TABLET</t>
        </is>
      </c>
      <c r="B420" s="45" t="inlineStr">
        <is>
          <t>57237022105</t>
        </is>
      </c>
      <c r="C420" s="45" t="n">
        <v>500</v>
      </c>
      <c r="D420" s="45" t="n">
        <v>0</v>
      </c>
      <c r="E420" s="47" t="n">
        <v>0.36</v>
      </c>
    </row>
    <row r="421" ht="20" customHeight="1">
      <c r="A421" s="46" t="inlineStr">
        <is>
          <t>POTASSIUM CHLORIDE 10MEQ TABLET ER</t>
        </is>
      </c>
      <c r="B421" s="45" t="inlineStr">
        <is>
          <t>00832532411</t>
        </is>
      </c>
      <c r="C421" s="45" t="n">
        <v>100</v>
      </c>
      <c r="D421" s="45" t="n">
        <v>0</v>
      </c>
      <c r="E421" s="47" t="n">
        <v>0.3</v>
      </c>
    </row>
    <row r="422" ht="20" customHeight="1">
      <c r="A422" s="46" t="inlineStr">
        <is>
          <t>POTASSIUM CITRATE 15MEQ TABLET EXTENDED RELEASE</t>
        </is>
      </c>
      <c r="B422" s="45" t="inlineStr">
        <is>
          <t>71930005012</t>
        </is>
      </c>
      <c r="C422" s="45" t="n">
        <v>100</v>
      </c>
      <c r="D422" s="45" t="n">
        <v>0</v>
      </c>
      <c r="E422" s="47" t="n">
        <v>1.8</v>
      </c>
    </row>
    <row r="423" ht="20" customHeight="1">
      <c r="A423" s="46" t="inlineStr">
        <is>
          <t>PRAVASTATIN 20MG TABLET</t>
        </is>
      </c>
      <c r="B423" s="45" t="inlineStr">
        <is>
          <t>00093720110</t>
        </is>
      </c>
      <c r="C423" s="45" t="n">
        <v>1000</v>
      </c>
      <c r="D423" s="45" t="n">
        <v>0</v>
      </c>
      <c r="E423" s="47" t="n">
        <v>0.18</v>
      </c>
    </row>
    <row r="424" ht="20" customHeight="1">
      <c r="A424" s="46" t="inlineStr">
        <is>
          <t>PRAVASTATIN 40MG TABLET</t>
        </is>
      </c>
      <c r="B424" s="45" t="inlineStr">
        <is>
          <t>00093720210</t>
        </is>
      </c>
      <c r="C424" s="45" t="n">
        <v>1000</v>
      </c>
      <c r="D424" s="45" t="n">
        <v>0</v>
      </c>
      <c r="E424" s="47" t="n">
        <v>0.18</v>
      </c>
    </row>
    <row r="425" ht="20" customHeight="1">
      <c r="A425" s="46" t="inlineStr">
        <is>
          <t>PRAVASTATIN 80MG TABLET</t>
        </is>
      </c>
      <c r="B425" s="45" t="inlineStr">
        <is>
          <t>70377004812</t>
        </is>
      </c>
      <c r="C425" s="45" t="n">
        <v>90</v>
      </c>
      <c r="D425" s="45" t="n">
        <v>0</v>
      </c>
      <c r="E425" s="47" t="n">
        <v>0.67</v>
      </c>
    </row>
    <row r="426" ht="20" customHeight="1">
      <c r="A426" s="46" t="inlineStr">
        <is>
          <t>PRAZOSIN HCL 1 MG ORAL CAPSULE</t>
        </is>
      </c>
      <c r="B426" s="45" t="inlineStr">
        <is>
          <t>70377006611</t>
        </is>
      </c>
      <c r="C426" s="45" t="n">
        <v>100</v>
      </c>
      <c r="D426" s="45" t="n">
        <v>0</v>
      </c>
      <c r="E426" s="47" t="n">
        <v>0.9</v>
      </c>
    </row>
    <row r="427" ht="20" customHeight="1">
      <c r="A427" s="46" t="inlineStr">
        <is>
          <t>PRAZOSIN HCL 2 MG ORAL CAPSULE</t>
        </is>
      </c>
      <c r="B427" s="45" t="inlineStr">
        <is>
          <t>70377006711</t>
        </is>
      </c>
      <c r="C427" s="45" t="n">
        <v>100</v>
      </c>
      <c r="D427" s="45" t="n">
        <v>0</v>
      </c>
      <c r="E427" s="47" t="n">
        <v>0.9</v>
      </c>
    </row>
    <row r="428" ht="20" customHeight="1">
      <c r="A428" s="46" t="inlineStr">
        <is>
          <t>PRAZOSIN HCL 5 MG ORAL CAPSULE</t>
        </is>
      </c>
      <c r="B428" s="45" t="inlineStr">
        <is>
          <t>70756044011</t>
        </is>
      </c>
      <c r="C428" s="45" t="n">
        <v>100</v>
      </c>
      <c r="D428" s="45" t="n">
        <v>0</v>
      </c>
      <c r="E428" s="47" t="n">
        <v>0.3</v>
      </c>
    </row>
    <row r="429" ht="20" customHeight="1">
      <c r="A429" s="46" t="inlineStr">
        <is>
          <t>PREDNISOLONE ACETATE 1% SUSPENSION</t>
        </is>
      </c>
      <c r="B429" s="45" t="inlineStr">
        <is>
          <t>61314063705</t>
        </is>
      </c>
      <c r="C429" s="45" t="n">
        <v>5</v>
      </c>
      <c r="D429" s="45" t="n">
        <v>0</v>
      </c>
      <c r="E429" s="47" t="n">
        <v>10</v>
      </c>
    </row>
    <row r="430" ht="20" customHeight="1">
      <c r="A430" s="46" t="inlineStr">
        <is>
          <t>PREDNISOLONE ACETATE 1% SUSPENSION</t>
        </is>
      </c>
      <c r="B430" s="45" t="inlineStr">
        <is>
          <t>61314063715</t>
        </is>
      </c>
      <c r="C430" s="45" t="n">
        <v>15</v>
      </c>
      <c r="D430" s="45" t="n">
        <v>0</v>
      </c>
      <c r="E430" s="47" t="n">
        <v>2</v>
      </c>
    </row>
    <row r="431" ht="20" customHeight="1">
      <c r="A431" s="46" t="inlineStr">
        <is>
          <t>PREDNISONE 10MG TABLET</t>
        </is>
      </c>
      <c r="B431" s="45" t="inlineStr">
        <is>
          <t>59746017306</t>
        </is>
      </c>
      <c r="C431" s="45" t="n">
        <v>100</v>
      </c>
      <c r="D431" s="45" t="n">
        <v>0</v>
      </c>
      <c r="E431" s="47" t="n">
        <v>0.41</v>
      </c>
    </row>
    <row r="432" ht="20" customHeight="1">
      <c r="A432" s="46" t="inlineStr">
        <is>
          <t>PREDNISONE 20MG TABLET</t>
        </is>
      </c>
      <c r="B432" s="45" t="inlineStr">
        <is>
          <t>64380078508</t>
        </is>
      </c>
      <c r="C432" s="45" t="n">
        <v>1000</v>
      </c>
      <c r="D432" s="45" t="n">
        <v>0</v>
      </c>
      <c r="E432" s="47" t="n">
        <v>0.05</v>
      </c>
    </row>
    <row r="433" ht="20" customHeight="1">
      <c r="A433" s="46" t="inlineStr">
        <is>
          <t>PREDNISONE 50MG TABLET</t>
        </is>
      </c>
      <c r="B433" s="45" t="inlineStr">
        <is>
          <t>64380094906</t>
        </is>
      </c>
      <c r="C433" s="45" t="n">
        <v>100</v>
      </c>
      <c r="D433" s="45" t="n">
        <v>0</v>
      </c>
      <c r="E433" s="47" t="n">
        <v>0.05</v>
      </c>
    </row>
    <row r="434" ht="20" customHeight="1">
      <c r="A434" s="46" t="inlineStr">
        <is>
          <t>PREDNISONE 5MG TABLET</t>
        </is>
      </c>
      <c r="B434" s="45" t="inlineStr">
        <is>
          <t>64380078306</t>
        </is>
      </c>
      <c r="C434" s="45" t="n">
        <v>100</v>
      </c>
      <c r="D434" s="45" t="n">
        <v>0</v>
      </c>
      <c r="E434" s="47" t="n">
        <v>0.3</v>
      </c>
    </row>
    <row r="435" ht="20" customHeight="1">
      <c r="A435" s="46" t="inlineStr">
        <is>
          <t>PREGABALIN 150 MG ORAL CAPSULE</t>
        </is>
      </c>
      <c r="B435" s="45" t="inlineStr">
        <is>
          <t>82619012601</t>
        </is>
      </c>
      <c r="C435" s="45" t="n">
        <v>90</v>
      </c>
      <c r="D435" s="45" t="n">
        <v>0</v>
      </c>
      <c r="E435" s="47" t="n">
        <v>0.67</v>
      </c>
    </row>
    <row r="436" ht="20" customHeight="1">
      <c r="A436" s="46" t="inlineStr">
        <is>
          <t>PREVNAR 20 0.5 ML INTRAMUSCULAR SUSPENSION PREFILLED SYRINGE</t>
        </is>
      </c>
      <c r="B436" s="45" t="inlineStr">
        <is>
          <t>00005200002</t>
        </is>
      </c>
      <c r="C436" s="45" t="n">
        <v>0.5</v>
      </c>
      <c r="D436" s="45" t="n">
        <v>0</v>
      </c>
      <c r="E436" s="47" t="n">
        <v>1</v>
      </c>
    </row>
    <row r="437" ht="20" customHeight="1">
      <c r="A437" s="46" t="inlineStr">
        <is>
          <t>PREVNAR 20 0.5 ML PREFILLED SYRINGE</t>
        </is>
      </c>
      <c r="B437" s="45" t="inlineStr">
        <is>
          <t>00005200010</t>
        </is>
      </c>
      <c r="C437" s="45" t="n">
        <v>5</v>
      </c>
      <c r="D437" s="45" t="n">
        <v>0</v>
      </c>
      <c r="E437" s="47" t="n">
        <v>0.2</v>
      </c>
    </row>
    <row r="438" ht="20" customHeight="1">
      <c r="A438" s="46" t="inlineStr">
        <is>
          <t>PROCTOZONE-HC 2.5% CREAM</t>
        </is>
      </c>
      <c r="B438" s="45" t="inlineStr">
        <is>
          <t>64980032430</t>
        </is>
      </c>
      <c r="C438" s="45" t="n">
        <v>30</v>
      </c>
      <c r="D438" s="45" t="n">
        <v>0</v>
      </c>
      <c r="E438" s="47" t="n">
        <v>2</v>
      </c>
    </row>
    <row r="439" ht="20" customHeight="1">
      <c r="A439" s="46" t="inlineStr">
        <is>
          <t>PROGESTERONE 100 MG CAPSULE</t>
        </is>
      </c>
      <c r="B439" s="45" t="inlineStr">
        <is>
          <t>59651015201</t>
        </is>
      </c>
      <c r="C439" s="45" t="n">
        <v>100</v>
      </c>
      <c r="D439" s="45" t="n">
        <v>0</v>
      </c>
      <c r="E439" s="47" t="n">
        <v>0.3</v>
      </c>
    </row>
    <row r="440" ht="20" customHeight="1">
      <c r="A440" s="46" t="inlineStr">
        <is>
          <t>PROGESTERONE 200 MG ORAL CAPSULE</t>
        </is>
      </c>
      <c r="B440" s="45" t="inlineStr">
        <is>
          <t>59651015301</t>
        </is>
      </c>
      <c r="C440" s="45" t="n">
        <v>100</v>
      </c>
      <c r="D440" s="45" t="n">
        <v>0</v>
      </c>
      <c r="E440" s="47" t="n">
        <v>0.12</v>
      </c>
    </row>
    <row r="441" ht="20" customHeight="1">
      <c r="A441" s="46" t="inlineStr">
        <is>
          <t>PROMETHAZINE HCL 6.25 MG/5ML ORAL SOLUTION</t>
        </is>
      </c>
      <c r="B441" s="45" t="inlineStr">
        <is>
          <t>70752013812</t>
        </is>
      </c>
      <c r="C441" s="45" t="n">
        <v>473</v>
      </c>
      <c r="D441" s="45" t="n">
        <v>0</v>
      </c>
      <c r="E441" s="47" t="n">
        <v>1.56</v>
      </c>
    </row>
    <row r="442" ht="20" customHeight="1">
      <c r="A442" s="46" t="inlineStr">
        <is>
          <t>PROMETHAZINE-DM 6.25-15 MG/5ML ORAL SYRUP</t>
        </is>
      </c>
      <c r="B442" s="45" t="inlineStr">
        <is>
          <t>70436015542</t>
        </is>
      </c>
      <c r="C442" s="45" t="n">
        <v>473</v>
      </c>
      <c r="D442" s="45" t="n">
        <v>0</v>
      </c>
      <c r="E442" s="47" t="n">
        <v>0.21</v>
      </c>
    </row>
    <row r="443" ht="20" customHeight="1">
      <c r="A443" s="46" t="inlineStr">
        <is>
          <t xml:space="preserve">PROPRANOLOL 10MG TABLET </t>
        </is>
      </c>
      <c r="B443" s="45" t="inlineStr">
        <is>
          <t>69238207701</t>
        </is>
      </c>
      <c r="C443" s="45" t="n">
        <v>100</v>
      </c>
      <c r="D443" s="45" t="n">
        <v>0</v>
      </c>
      <c r="E443" s="47" t="n">
        <v>2.4</v>
      </c>
    </row>
    <row r="444" ht="20" customHeight="1">
      <c r="A444" s="46" t="inlineStr">
        <is>
          <t>PROPRANOLOL HCL 20 MG ORAL TABLET</t>
        </is>
      </c>
      <c r="B444" s="45" t="inlineStr">
        <is>
          <t>69238207807</t>
        </is>
      </c>
      <c r="C444" s="45" t="n">
        <v>1000</v>
      </c>
      <c r="D444" s="45" t="n">
        <v>0</v>
      </c>
      <c r="E444" s="47" t="n">
        <v>0.54</v>
      </c>
    </row>
    <row r="445" ht="20" customHeight="1">
      <c r="A445" s="46" t="inlineStr">
        <is>
          <t>PSEUDOEPH-BROMPHEN-DM 30-2-10 MG/5ML ORAL SYRUP</t>
        </is>
      </c>
      <c r="B445" s="45" t="inlineStr">
        <is>
          <t>42192060716</t>
        </is>
      </c>
      <c r="C445" s="45" t="n">
        <v>473</v>
      </c>
      <c r="D445" s="45" t="n">
        <v>0</v>
      </c>
      <c r="E445" s="47" t="n">
        <v>0.42</v>
      </c>
    </row>
    <row r="446" ht="20" customHeight="1">
      <c r="A446" s="46" t="inlineStr">
        <is>
          <t>QUETIAPINE 150MG TABLET ER</t>
        </is>
      </c>
      <c r="B446" s="45" t="inlineStr">
        <is>
          <t>68180061307</t>
        </is>
      </c>
      <c r="C446" s="45" t="n">
        <v>60</v>
      </c>
      <c r="D446" s="45" t="n">
        <v>0</v>
      </c>
      <c r="E446" s="47" t="n">
        <v>0.47</v>
      </c>
    </row>
    <row r="447" ht="20" customHeight="1">
      <c r="A447" s="46" t="inlineStr">
        <is>
          <t>QUETIAPINE 25MG TABLET</t>
        </is>
      </c>
      <c r="B447" s="45" t="inlineStr">
        <is>
          <t>67877024201</t>
        </is>
      </c>
      <c r="C447" s="45" t="n">
        <v>100</v>
      </c>
      <c r="D447" s="45" t="n">
        <v>0</v>
      </c>
      <c r="E447" s="47" t="n">
        <v>2.31</v>
      </c>
    </row>
    <row r="448" ht="20" customHeight="1">
      <c r="A448" s="46" t="inlineStr">
        <is>
          <t>QUETIAPINE 50MG TABLET</t>
        </is>
      </c>
      <c r="B448" s="45" t="inlineStr">
        <is>
          <t>67877024910</t>
        </is>
      </c>
      <c r="C448" s="45" t="n">
        <v>1000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100MG TABLET</t>
        </is>
      </c>
      <c r="B449" s="45" t="inlineStr">
        <is>
          <t>67877025001</t>
        </is>
      </c>
      <c r="C449" s="45" t="n">
        <v>100</v>
      </c>
      <c r="D449" s="45" t="n">
        <v>0</v>
      </c>
      <c r="E449" s="47" t="n">
        <v>2.85</v>
      </c>
    </row>
    <row r="450" ht="20" customHeight="1">
      <c r="A450" s="46" t="inlineStr">
        <is>
          <t>QUETIAPINE FUMARATE 200 MG ORAL TABLET</t>
        </is>
      </c>
      <c r="B450" s="45" t="inlineStr">
        <is>
          <t>67877024601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QUETIAPINE FUMARATE 25 MG ORAL TABLET</t>
        </is>
      </c>
      <c r="B451" s="45" t="inlineStr">
        <is>
          <t>67877024210</t>
        </is>
      </c>
      <c r="C451" s="45" t="n">
        <v>1000</v>
      </c>
      <c r="D451" s="45" t="n">
        <v>0</v>
      </c>
      <c r="E451" s="47" t="n">
        <v>0.09</v>
      </c>
    </row>
    <row r="452" ht="20" customHeight="1">
      <c r="A452" s="46" t="inlineStr">
        <is>
          <t>QUETIAPINE FUMARATE 400 MG ORAL TABLET</t>
        </is>
      </c>
      <c r="B452" s="45" t="inlineStr">
        <is>
          <t>67877024801</t>
        </is>
      </c>
      <c r="C452" s="45" t="n">
        <v>100</v>
      </c>
      <c r="D452" s="45" t="n">
        <v>0</v>
      </c>
      <c r="E452" s="47" t="n">
        <v>0.3</v>
      </c>
    </row>
    <row r="453" ht="20" customHeight="1">
      <c r="A453" s="46" t="inlineStr">
        <is>
          <t>QULIPTA 30 MG ORAL TABLET</t>
        </is>
      </c>
      <c r="B453" s="45" t="inlineStr">
        <is>
          <t>00074709630</t>
        </is>
      </c>
      <c r="C453" s="45" t="n">
        <v>30</v>
      </c>
      <c r="D453" s="45" t="n">
        <v>0</v>
      </c>
      <c r="E453" s="47" t="n">
        <v>1</v>
      </c>
    </row>
    <row r="454" ht="20" customHeight="1">
      <c r="A454" s="46" t="inlineStr">
        <is>
          <t>QVAR REDIHALER 40MCG/ACT AEROSOL</t>
        </is>
      </c>
      <c r="B454" s="45" t="inlineStr">
        <is>
          <t>59310030240</t>
        </is>
      </c>
      <c r="C454" s="45" t="n">
        <v>10.6</v>
      </c>
      <c r="D454" s="45" t="n">
        <v>0</v>
      </c>
      <c r="E454" s="47" t="n">
        <v>2</v>
      </c>
    </row>
    <row r="455" ht="20" customHeight="1">
      <c r="A455" s="46" t="inlineStr">
        <is>
          <t xml:space="preserve">RAMIPRIL 10MG CAP </t>
        </is>
      </c>
      <c r="B455" s="45" t="inlineStr">
        <is>
          <t>68180059102</t>
        </is>
      </c>
      <c r="C455" s="45" t="n">
        <v>500</v>
      </c>
      <c r="D455" s="45" t="n">
        <v>0</v>
      </c>
      <c r="E455" s="47" t="n">
        <v>0.18</v>
      </c>
    </row>
    <row r="456" ht="20" customHeight="1">
      <c r="A456" s="46" t="inlineStr">
        <is>
          <t>RAMIPRIL 2.5MG CAPSULE</t>
        </is>
      </c>
      <c r="B456" s="45" t="inlineStr">
        <is>
          <t>65862047501</t>
        </is>
      </c>
      <c r="C456" s="45" t="n">
        <v>100</v>
      </c>
      <c r="D456" s="45" t="n">
        <v>0</v>
      </c>
      <c r="E456" s="47" t="n">
        <v>0.9</v>
      </c>
    </row>
    <row r="457" ht="20" customHeight="1">
      <c r="A457" s="46" t="inlineStr">
        <is>
          <t xml:space="preserve">REPAGLINIDE 1MG TAB </t>
        </is>
      </c>
      <c r="B457" s="45" t="inlineStr">
        <is>
          <t>57237015801</t>
        </is>
      </c>
      <c r="C457" s="45" t="n">
        <v>100</v>
      </c>
      <c r="D457" s="45" t="n">
        <v>0</v>
      </c>
      <c r="E457" s="47" t="n">
        <v>1.8</v>
      </c>
    </row>
    <row r="458" ht="20" customHeight="1">
      <c r="A458" s="46" t="inlineStr">
        <is>
          <t>REPAGLINIDE 2MG TABLET</t>
        </is>
      </c>
      <c r="B458" s="45" t="inlineStr">
        <is>
          <t>57237015901</t>
        </is>
      </c>
      <c r="C458" s="45" t="n">
        <v>100</v>
      </c>
      <c r="D458" s="45" t="n">
        <v>0</v>
      </c>
      <c r="E458" s="47" t="n">
        <v>2.7</v>
      </c>
    </row>
    <row r="459" ht="20" customHeight="1">
      <c r="A459" s="46" t="inlineStr">
        <is>
          <t>REPATHA SURECLICK 140 MG/ML SUBCUTANEOUS SOLUTION AUTO-INJECTOR</t>
        </is>
      </c>
      <c r="B459" s="45" t="inlineStr">
        <is>
          <t>72511039302</t>
        </is>
      </c>
      <c r="C459" s="45" t="n">
        <v>2</v>
      </c>
      <c r="D459" s="45" t="n">
        <v>0</v>
      </c>
      <c r="E459" s="47" t="n">
        <v>3</v>
      </c>
    </row>
    <row r="460" ht="20" customHeight="1">
      <c r="A460" s="46" t="inlineStr">
        <is>
          <t>RESTASIS MULTIDOSE 0.05 % OPHTHALMIC EMULSION</t>
        </is>
      </c>
      <c r="B460" s="45" t="inlineStr">
        <is>
          <t>00023530105</t>
        </is>
      </c>
      <c r="C460" s="45" t="n">
        <v>5.5</v>
      </c>
      <c r="D460" s="45" t="n">
        <v>0</v>
      </c>
      <c r="E460" s="47" t="n">
        <v>2</v>
      </c>
    </row>
    <row r="461" ht="20" customHeight="1">
      <c r="A461" s="46" t="inlineStr">
        <is>
          <t>RHOPRESSA 0.02 % OPHTHALMIC SOLUTION</t>
        </is>
      </c>
      <c r="B461" s="45" t="inlineStr">
        <is>
          <t>70727049725</t>
        </is>
      </c>
      <c r="C461" s="45" t="n">
        <v>2.5</v>
      </c>
      <c r="D461" s="45" t="n">
        <v>0</v>
      </c>
      <c r="E461" s="47" t="n">
        <v>3</v>
      </c>
    </row>
    <row r="462" ht="20" customHeight="1">
      <c r="A462" s="46" t="inlineStr">
        <is>
          <t>RISPERIDONE 0.25MG TABLET</t>
        </is>
      </c>
      <c r="B462" s="45" t="inlineStr">
        <is>
          <t>68382011214</t>
        </is>
      </c>
      <c r="C462" s="45" t="n">
        <v>60</v>
      </c>
      <c r="D462" s="45" t="n">
        <v>0</v>
      </c>
      <c r="E462" s="47" t="n">
        <v>0.5</v>
      </c>
    </row>
    <row r="463" ht="20" customHeight="1">
      <c r="A463" s="46" t="inlineStr">
        <is>
          <t>RISPERIDONE 1MG TABLET</t>
        </is>
      </c>
      <c r="B463" s="45" t="inlineStr">
        <is>
          <t>68382011414</t>
        </is>
      </c>
      <c r="C463" s="45" t="n">
        <v>60</v>
      </c>
      <c r="D463" s="45" t="n">
        <v>0</v>
      </c>
      <c r="E463" s="47" t="n">
        <v>0.5</v>
      </c>
    </row>
    <row r="464" ht="20" customHeight="1">
      <c r="A464" s="46" t="inlineStr">
        <is>
          <t>RIVASTIGMINE 13.3 MG/24HR TRANSDERMAL PATCH 24 HOUR</t>
        </is>
      </c>
      <c r="B464" s="45" t="inlineStr">
        <is>
          <t>00378907293</t>
        </is>
      </c>
      <c r="C464" s="45" t="n">
        <v>30</v>
      </c>
      <c r="D464" s="45" t="n">
        <v>0</v>
      </c>
      <c r="E464" s="47" t="n">
        <v>1</v>
      </c>
    </row>
    <row r="465" ht="20" customHeight="1">
      <c r="A465" s="46" t="inlineStr">
        <is>
          <t>RIVASTIGMINE TARTRATE 3 MG ORAL CAPSULE</t>
        </is>
      </c>
      <c r="B465" s="45" t="inlineStr">
        <is>
          <t>33342009009</t>
        </is>
      </c>
      <c r="C465" s="45" t="n">
        <v>60</v>
      </c>
      <c r="D465" s="45" t="n">
        <v>0</v>
      </c>
      <c r="E465" s="47" t="n">
        <v>3</v>
      </c>
    </row>
    <row r="466" ht="20" customHeight="1">
      <c r="A466" s="46" t="inlineStr">
        <is>
          <t>RIZATRIPTAN BENZOATE 10MG TABLET</t>
        </is>
      </c>
      <c r="B466" s="45" t="inlineStr">
        <is>
          <t>67877026218</t>
        </is>
      </c>
      <c r="C466" s="45" t="n">
        <v>18</v>
      </c>
      <c r="D466" s="45" t="n">
        <v>0</v>
      </c>
      <c r="E466" s="47" t="n">
        <v>0.67</v>
      </c>
    </row>
    <row r="467" ht="20" customHeight="1">
      <c r="A467" s="46" t="inlineStr">
        <is>
          <t>ROBAFEN DM 20-200 MG/20ML ORAL LIQUID</t>
        </is>
      </c>
      <c r="B467" s="45" t="inlineStr">
        <is>
          <t>00904722320</t>
        </is>
      </c>
      <c r="C467" s="45" t="n">
        <v>118</v>
      </c>
      <c r="D467" s="45" t="n">
        <v>0</v>
      </c>
      <c r="E467" s="47" t="n">
        <v>10</v>
      </c>
    </row>
    <row r="468" ht="20" customHeight="1">
      <c r="A468" s="46" t="inlineStr">
        <is>
          <t>ROFLUMILAST 500 MCG ORAL TABLET</t>
        </is>
      </c>
      <c r="B468" s="45" t="inlineStr">
        <is>
          <t>72205020090</t>
        </is>
      </c>
      <c r="C468" s="45" t="n">
        <v>90</v>
      </c>
      <c r="D468" s="45" t="n">
        <v>0</v>
      </c>
      <c r="E468" s="47" t="n">
        <v>1</v>
      </c>
    </row>
    <row r="469" ht="20" customHeight="1">
      <c r="A469" s="46" t="inlineStr">
        <is>
          <t>ROSUVASTATIN 10 MG ORAL TABLET</t>
        </is>
      </c>
      <c r="B469" s="45" t="inlineStr">
        <is>
          <t>69367036005</t>
        </is>
      </c>
      <c r="C469" s="45" t="n">
        <v>500</v>
      </c>
      <c r="D469" s="45" t="n">
        <v>0</v>
      </c>
      <c r="E469" s="47" t="n">
        <v>1.02</v>
      </c>
    </row>
    <row r="470" ht="20" customHeight="1">
      <c r="A470" s="46" t="inlineStr">
        <is>
          <t>ROSUVASTATIN 40MG TABLET</t>
        </is>
      </c>
      <c r="B470" s="45" t="inlineStr">
        <is>
          <t>70377000913</t>
        </is>
      </c>
      <c r="C470" s="45" t="n">
        <v>500</v>
      </c>
      <c r="D470" s="45" t="n">
        <v>0</v>
      </c>
      <c r="E470" s="47" t="n">
        <v>2.28</v>
      </c>
    </row>
    <row r="471" ht="20" customHeight="1">
      <c r="A471" s="46" t="inlineStr">
        <is>
          <t>ROSUVASTATIN 5MG TABLET</t>
        </is>
      </c>
      <c r="B471" s="45" t="inlineStr">
        <is>
          <t>70377000613</t>
        </is>
      </c>
      <c r="C471" s="45" t="n">
        <v>500</v>
      </c>
      <c r="D471" s="45" t="n">
        <v>0</v>
      </c>
      <c r="E471" s="47" t="n">
        <v>0.72</v>
      </c>
    </row>
    <row r="472" ht="20" customHeight="1">
      <c r="A472" s="46" t="inlineStr">
        <is>
          <t>RYBELSUS 3MG TABLET</t>
        </is>
      </c>
      <c r="B472" s="45" t="inlineStr">
        <is>
          <t>00169430330</t>
        </is>
      </c>
      <c r="C472" s="45" t="n">
        <v>30</v>
      </c>
      <c r="D472" s="45" t="n">
        <v>0</v>
      </c>
      <c r="E472" s="47" t="n">
        <v>5</v>
      </c>
    </row>
    <row r="473" ht="20" customHeight="1">
      <c r="A473" s="46" t="inlineStr">
        <is>
          <t>RYBELSUS 7MG TABLET</t>
        </is>
      </c>
      <c r="B473" s="45" t="inlineStr">
        <is>
          <t>00169430730</t>
        </is>
      </c>
      <c r="C473" s="45" t="n">
        <v>30</v>
      </c>
      <c r="D473" s="45" t="n">
        <v>0</v>
      </c>
      <c r="E473" s="47" t="n">
        <v>4</v>
      </c>
    </row>
    <row r="474" ht="20" customHeight="1">
      <c r="A474" s="46" t="inlineStr">
        <is>
          <t>SACUBITRIL-VALSARTAN 24-26 MG ORAL TABLET</t>
        </is>
      </c>
      <c r="B474" s="45" t="inlineStr">
        <is>
          <t>72205028060</t>
        </is>
      </c>
      <c r="C474" s="45" t="n">
        <v>60</v>
      </c>
      <c r="D474" s="45" t="n">
        <v>0</v>
      </c>
      <c r="E474" s="47" t="n">
        <v>15</v>
      </c>
    </row>
    <row r="475" ht="20" customHeight="1">
      <c r="A475" s="46" t="inlineStr">
        <is>
          <t>SACUBITRIL-VALSARTAN 49-51 MG ORAL TABLET</t>
        </is>
      </c>
      <c r="B475" s="45" t="inlineStr">
        <is>
          <t>43598064418</t>
        </is>
      </c>
      <c r="C475" s="45" t="n">
        <v>180</v>
      </c>
      <c r="D475" s="45" t="n">
        <v>0</v>
      </c>
      <c r="E475" s="47" t="n">
        <v>2</v>
      </c>
    </row>
    <row r="476" ht="20" customHeight="1">
      <c r="A476" s="46" t="inlineStr">
        <is>
          <t>SACUBITRIL-VALSARTAN 97-103 MG ORAL TABLET</t>
        </is>
      </c>
      <c r="B476" s="45" t="inlineStr">
        <is>
          <t>72205028260</t>
        </is>
      </c>
      <c r="C476" s="45" t="n">
        <v>60</v>
      </c>
      <c r="D476" s="45" t="n">
        <v>0</v>
      </c>
      <c r="E476" s="47" t="n">
        <v>6</v>
      </c>
    </row>
    <row r="477" ht="20" customHeight="1">
      <c r="A477" s="46" t="inlineStr">
        <is>
          <t>SCOPOLAMINE 1 MG/3DAYS TRANSDERMAL PATCH 72 HOUR</t>
        </is>
      </c>
      <c r="B477" s="45" t="inlineStr">
        <is>
          <t>50742050510</t>
        </is>
      </c>
      <c r="C477" s="45" t="n">
        <v>10</v>
      </c>
      <c r="D477" s="45" t="n">
        <v>0</v>
      </c>
      <c r="E477" s="47" t="n">
        <v>1</v>
      </c>
    </row>
    <row r="478" ht="20" customHeight="1">
      <c r="A478" s="46" t="inlineStr">
        <is>
          <t>SEGLUROMET 2.5-1000MG TABLET</t>
        </is>
      </c>
      <c r="B478" s="45" t="inlineStr">
        <is>
          <t>00006537303</t>
        </is>
      </c>
      <c r="C478" s="45" t="n">
        <v>60</v>
      </c>
      <c r="D478" s="45" t="n">
        <v>0</v>
      </c>
      <c r="E478" s="47" t="n">
        <v>1</v>
      </c>
    </row>
    <row r="479" ht="20" customHeight="1">
      <c r="A479" s="46" t="inlineStr">
        <is>
          <t>SEMGLEE (YFGN) 100 UNIT/ML PEN-INJECTOR</t>
        </is>
      </c>
      <c r="B479" s="45" t="inlineStr">
        <is>
          <t>83257001233</t>
        </is>
      </c>
      <c r="C479" s="45" t="n">
        <v>15</v>
      </c>
      <c r="D479" s="45" t="n">
        <v>0</v>
      </c>
      <c r="E479" s="47" t="n">
        <v>1.8</v>
      </c>
    </row>
    <row r="480" ht="20" customHeight="1">
      <c r="A480" s="46" t="inlineStr">
        <is>
          <t>SERTRALINE 100MG TABLET</t>
        </is>
      </c>
      <c r="B480" s="45" t="inlineStr">
        <is>
          <t>65862001305</t>
        </is>
      </c>
      <c r="C480" s="45" t="n">
        <v>500</v>
      </c>
      <c r="D480" s="45" t="n">
        <v>0</v>
      </c>
      <c r="E480" s="47" t="n">
        <v>0.66</v>
      </c>
    </row>
    <row r="481" ht="20" customHeight="1">
      <c r="A481" s="46" t="inlineStr">
        <is>
          <t>SERTRALINE 25MG TABLET</t>
        </is>
      </c>
      <c r="B481" s="45" t="inlineStr">
        <is>
          <t>65862001105</t>
        </is>
      </c>
      <c r="C481" s="45" t="n">
        <v>500</v>
      </c>
      <c r="D481" s="45" t="n">
        <v>0</v>
      </c>
      <c r="E481" s="47" t="n">
        <v>0.66</v>
      </c>
    </row>
    <row r="482" ht="20" customHeight="1">
      <c r="A482" s="46" t="inlineStr">
        <is>
          <t>SHINGRIX 50 MCG/0.5ML IM SUSP RECON</t>
        </is>
      </c>
      <c r="B482" s="45" t="inlineStr">
        <is>
          <t>58160082311</t>
        </is>
      </c>
      <c r="C482" s="45" t="n">
        <v>10</v>
      </c>
      <c r="D482" s="45" t="n">
        <v>0</v>
      </c>
      <c r="E482" s="47" t="n">
        <v>0.3</v>
      </c>
    </row>
    <row r="483" ht="20" customHeight="1">
      <c r="A483" s="46" t="inlineStr">
        <is>
          <t>SILVER SULFADIAZINE 1 % EXTERNAL CREAM</t>
        </is>
      </c>
      <c r="B483" s="45" t="inlineStr">
        <is>
          <t>67877012405</t>
        </is>
      </c>
      <c r="C483" s="45" t="n">
        <v>50</v>
      </c>
      <c r="D483" s="45" t="n">
        <v>0</v>
      </c>
      <c r="E483" s="47" t="n">
        <v>3</v>
      </c>
    </row>
    <row r="484" ht="20" customHeight="1">
      <c r="A484" s="46" t="inlineStr">
        <is>
          <t>SIMBRINZA 1-0.2 % OPHTHALMIC SUSPENSION</t>
        </is>
      </c>
      <c r="B484" s="45" t="inlineStr">
        <is>
          <t>00065414727</t>
        </is>
      </c>
      <c r="C484" s="45" t="n">
        <v>8</v>
      </c>
      <c r="D484" s="45" t="n">
        <v>0</v>
      </c>
      <c r="E484" s="47" t="n">
        <v>1</v>
      </c>
    </row>
    <row r="485" ht="20" customHeight="1">
      <c r="A485" s="46" t="inlineStr">
        <is>
          <t>SIMVASTATIN 10MG TABLET</t>
        </is>
      </c>
      <c r="B485" s="45" t="inlineStr">
        <is>
          <t>70377000215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SIMVASTATIN 20MG TABLET</t>
        </is>
      </c>
      <c r="B486" s="45" t="inlineStr">
        <is>
          <t>16729000517</t>
        </is>
      </c>
      <c r="C486" s="45" t="n">
        <v>1000</v>
      </c>
      <c r="D486" s="45" t="n">
        <v>0</v>
      </c>
      <c r="E486" s="47" t="n">
        <v>0.93</v>
      </c>
    </row>
    <row r="487" ht="20" customHeight="1">
      <c r="A487" s="46" t="inlineStr">
        <is>
          <t>SIMVASTATIN 40MG TABLET</t>
        </is>
      </c>
      <c r="B487" s="45" t="inlineStr">
        <is>
          <t>16729000617</t>
        </is>
      </c>
      <c r="C487" s="45" t="n">
        <v>1000</v>
      </c>
      <c r="D487" s="45" t="n">
        <v>0</v>
      </c>
      <c r="E487" s="47" t="n">
        <v>0.03</v>
      </c>
    </row>
    <row r="488" ht="20" customHeight="1">
      <c r="A488" s="46" t="inlineStr">
        <is>
          <t>SODIUM CHLORIDE 0.9 % INHALATION NEBULIZATION SOLUTION</t>
        </is>
      </c>
      <c r="B488" s="45" t="inlineStr">
        <is>
          <t>76204030003</t>
        </is>
      </c>
      <c r="C488" s="45" t="n">
        <v>300</v>
      </c>
      <c r="D488" s="45" t="n">
        <v>0</v>
      </c>
      <c r="E488" s="47" t="n">
        <v>1</v>
      </c>
    </row>
    <row r="489" ht="20" customHeight="1">
      <c r="A489" s="46" t="inlineStr">
        <is>
          <t>SODIUM FLUORIDE 5000 PPM 1.1 % DENTAL PASTE</t>
        </is>
      </c>
      <c r="B489" s="45" t="inlineStr">
        <is>
          <t>11527075043</t>
        </is>
      </c>
      <c r="C489" s="45" t="n">
        <v>100</v>
      </c>
      <c r="D489" s="45" t="n">
        <v>0</v>
      </c>
      <c r="E489" s="47" t="n">
        <v>1</v>
      </c>
    </row>
    <row r="490" ht="20" customHeight="1">
      <c r="A490" s="46" t="inlineStr">
        <is>
          <t>SOLIFENACIN SUCCINATE 10MG TABLET</t>
        </is>
      </c>
      <c r="B490" s="45" t="inlineStr">
        <is>
          <t>68462038730</t>
        </is>
      </c>
      <c r="C490" s="45" t="n">
        <v>30</v>
      </c>
      <c r="D490" s="45" t="n">
        <v>0</v>
      </c>
      <c r="E490" s="47" t="n">
        <v>2</v>
      </c>
    </row>
    <row r="491" ht="20" customHeight="1">
      <c r="A491" s="46" t="inlineStr">
        <is>
          <t>SPIRIVA HANDIHALER 18MCG CAPSULE</t>
        </is>
      </c>
      <c r="B491" s="45" t="inlineStr">
        <is>
          <t>00597007541</t>
        </is>
      </c>
      <c r="C491" s="45" t="n">
        <v>30</v>
      </c>
      <c r="D491" s="45" t="n">
        <v>0</v>
      </c>
      <c r="E491" s="47" t="n">
        <v>3</v>
      </c>
    </row>
    <row r="492" ht="20" customHeight="1">
      <c r="A492" s="46" t="inlineStr">
        <is>
          <t>SPIRONOLACTONE 100MG TABLET</t>
        </is>
      </c>
      <c r="B492" s="45" t="inlineStr">
        <is>
          <t>53746051501</t>
        </is>
      </c>
      <c r="C492" s="45" t="n">
        <v>100</v>
      </c>
      <c r="D492" s="45" t="n">
        <v>0</v>
      </c>
      <c r="E492" s="47" t="n">
        <v>0.6</v>
      </c>
    </row>
    <row r="493" ht="20" customHeight="1">
      <c r="A493" s="46" t="inlineStr">
        <is>
          <t>SPIRONOLACTONE 25MG TABLET</t>
        </is>
      </c>
      <c r="B493" s="45" t="inlineStr">
        <is>
          <t>68382066010</t>
        </is>
      </c>
      <c r="C493" s="45" t="n">
        <v>1000</v>
      </c>
      <c r="D493" s="45" t="n">
        <v>0</v>
      </c>
      <c r="E493" s="47" t="n">
        <v>0.97</v>
      </c>
    </row>
    <row r="494" ht="20" customHeight="1">
      <c r="A494" s="46" t="inlineStr">
        <is>
          <t>SPIRONOLACTONE 50MG TABLET</t>
        </is>
      </c>
      <c r="B494" s="45" t="inlineStr">
        <is>
          <t>68382066105</t>
        </is>
      </c>
      <c r="C494" s="45" t="n">
        <v>500</v>
      </c>
      <c r="D494" s="45" t="n">
        <v>0</v>
      </c>
      <c r="E494" s="47" t="n">
        <v>0.24</v>
      </c>
    </row>
    <row r="495" ht="20" customHeight="1">
      <c r="A495" s="46" t="inlineStr">
        <is>
          <t>SUCRALFATE 1 GM/10ML ORAL SUSPENSION</t>
        </is>
      </c>
      <c r="B495" s="45" t="inlineStr">
        <is>
          <t>82182010614</t>
        </is>
      </c>
      <c r="C495" s="45" t="n">
        <v>420</v>
      </c>
      <c r="D495" s="45" t="n">
        <v>0</v>
      </c>
      <c r="E495" s="47" t="n">
        <v>3</v>
      </c>
    </row>
    <row r="496" ht="20" customHeight="1">
      <c r="A496" s="46" t="inlineStr">
        <is>
          <t xml:space="preserve">SUMATRIPTAN SUCCINATE 100MG TAB </t>
        </is>
      </c>
      <c r="B496" s="45" t="inlineStr">
        <is>
          <t>65862014836</t>
        </is>
      </c>
      <c r="C496" s="45" t="n">
        <v>9</v>
      </c>
      <c r="D496" s="45" t="n">
        <v>0</v>
      </c>
      <c r="E496" s="47" t="n">
        <v>2</v>
      </c>
    </row>
    <row r="497" ht="20" customHeight="1">
      <c r="A497" s="46" t="inlineStr">
        <is>
          <t>SUMATRIPTAN SUCCINATE 25 MG ORAL TABLET</t>
        </is>
      </c>
      <c r="B497" s="45" t="inlineStr">
        <is>
          <t>65862014636</t>
        </is>
      </c>
      <c r="C497" s="45" t="n">
        <v>9</v>
      </c>
      <c r="D497" s="45" t="n">
        <v>0</v>
      </c>
      <c r="E497" s="47" t="n">
        <v>1.33</v>
      </c>
    </row>
    <row r="498" ht="20" customHeight="1">
      <c r="A498" s="46" t="inlineStr">
        <is>
          <t xml:space="preserve">SUMATRIPTAN SUCCINATE 50MG TAB </t>
        </is>
      </c>
      <c r="B498" s="45" t="inlineStr">
        <is>
          <t>65862014736</t>
        </is>
      </c>
      <c r="C498" s="45" t="n">
        <v>9</v>
      </c>
      <c r="D498" s="45" t="n">
        <v>0</v>
      </c>
      <c r="E498" s="47" t="n">
        <v>1</v>
      </c>
    </row>
    <row r="499" ht="20" customHeight="1">
      <c r="A499" s="46" t="inlineStr">
        <is>
          <t>SYMBICORT 160-4.5MCG/ACT AEROSOL</t>
        </is>
      </c>
      <c r="B499" s="45" t="inlineStr">
        <is>
          <t>00186037020</t>
        </is>
      </c>
      <c r="C499" s="45" t="n">
        <v>10.2</v>
      </c>
      <c r="D499" s="45" t="n">
        <v>0</v>
      </c>
      <c r="E499" s="47" t="n">
        <v>7</v>
      </c>
    </row>
    <row r="500" ht="20" customHeight="1">
      <c r="A500" s="46" t="inlineStr">
        <is>
          <t>SYMBICORT 80-4.5MCG/ACT AEROSOL</t>
        </is>
      </c>
      <c r="B500" s="45" t="inlineStr">
        <is>
          <t>00186037220</t>
        </is>
      </c>
      <c r="C500" s="45" t="n">
        <v>10.2</v>
      </c>
      <c r="D500" s="45" t="n">
        <v>0</v>
      </c>
      <c r="E500" s="47" t="n">
        <v>2</v>
      </c>
    </row>
    <row r="501" ht="20" customHeight="1">
      <c r="A501" s="46" t="inlineStr">
        <is>
          <t>SYMTUZA 800-150-200-10MG TABLET</t>
        </is>
      </c>
      <c r="B501" s="45" t="inlineStr">
        <is>
          <t>59676080030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SYNJARDY 5-1000 MG TABLET</t>
        </is>
      </c>
      <c r="B502" s="45" t="inlineStr">
        <is>
          <t>00597017560</t>
        </is>
      </c>
      <c r="C502" s="45" t="n">
        <v>60</v>
      </c>
      <c r="D502" s="45" t="n">
        <v>0</v>
      </c>
      <c r="E502" s="47" t="n">
        <v>1</v>
      </c>
    </row>
    <row r="503" ht="20" customHeight="1">
      <c r="A503" s="46" t="inlineStr">
        <is>
          <t>SYNJARDY XR 25-1000MG TABLET</t>
        </is>
      </c>
      <c r="B503" s="45" t="inlineStr">
        <is>
          <t>00597029588</t>
        </is>
      </c>
      <c r="C503" s="45" t="n">
        <v>30</v>
      </c>
      <c r="D503" s="45" t="n">
        <v>0</v>
      </c>
      <c r="E503" s="47" t="n">
        <v>1</v>
      </c>
    </row>
    <row r="504" ht="20" customHeight="1">
      <c r="A504" s="46" t="inlineStr">
        <is>
          <t>TACROLIMUS 0.03 % EXTERNAL OINTMENT</t>
        </is>
      </c>
      <c r="B504" s="45" t="inlineStr">
        <is>
          <t>00168041730</t>
        </is>
      </c>
      <c r="C504" s="45" t="n">
        <v>30</v>
      </c>
      <c r="D504" s="45" t="n">
        <v>0</v>
      </c>
      <c r="E504" s="47" t="n">
        <v>1</v>
      </c>
    </row>
    <row r="505" ht="20" customHeight="1">
      <c r="A505" s="46" t="inlineStr">
        <is>
          <t>TACROLIMUS 0.1 % OINTMENT</t>
        </is>
      </c>
      <c r="B505" s="45" t="inlineStr">
        <is>
          <t>00168041630</t>
        </is>
      </c>
      <c r="C505" s="45" t="n">
        <v>30</v>
      </c>
      <c r="D505" s="45" t="n">
        <v>0</v>
      </c>
      <c r="E505" s="47" t="n">
        <v>3</v>
      </c>
    </row>
    <row r="506" ht="20" customHeight="1">
      <c r="A506" s="46" t="inlineStr">
        <is>
          <t>TADALAFIL 10MG TABLET</t>
        </is>
      </c>
      <c r="B506" s="45" t="inlineStr">
        <is>
          <t>47335001183</t>
        </is>
      </c>
      <c r="C506" s="45" t="n">
        <v>30</v>
      </c>
      <c r="D506" s="45" t="n">
        <v>0</v>
      </c>
      <c r="E506" s="47" t="n">
        <v>0.2</v>
      </c>
    </row>
    <row r="507" ht="20" customHeight="1">
      <c r="A507" s="46" t="inlineStr">
        <is>
          <t>TAMSULOSIN 0.4MG CAPSULE</t>
        </is>
      </c>
      <c r="B507" s="45" t="inlineStr">
        <is>
          <t>65862059805</t>
        </is>
      </c>
      <c r="C507" s="45" t="n">
        <v>500</v>
      </c>
      <c r="D507" s="45" t="n">
        <v>0</v>
      </c>
      <c r="E507" s="47" t="n">
        <v>4.93</v>
      </c>
    </row>
    <row r="508" ht="20" customHeight="1">
      <c r="A508" s="46" t="inlineStr">
        <is>
          <t>TERAZOSIN 2MG CAPSULE</t>
        </is>
      </c>
      <c r="B508" s="45" t="inlineStr">
        <is>
          <t>23155073601</t>
        </is>
      </c>
      <c r="C508" s="45" t="n">
        <v>100</v>
      </c>
      <c r="D508" s="45" t="n">
        <v>0</v>
      </c>
      <c r="E508" s="47" t="n">
        <v>0.3</v>
      </c>
    </row>
    <row r="509" ht="20" customHeight="1">
      <c r="A509" s="46" t="inlineStr">
        <is>
          <t>TERAZOSIN HCL 5 MG ORAL CAPSULE</t>
        </is>
      </c>
      <c r="B509" s="45" t="inlineStr">
        <is>
          <t>24689088201</t>
        </is>
      </c>
      <c r="C509" s="45" t="n">
        <v>100</v>
      </c>
      <c r="D509" s="45" t="n">
        <v>0</v>
      </c>
      <c r="E509" s="47" t="n">
        <v>0.6</v>
      </c>
    </row>
    <row r="510" ht="20" customHeight="1">
      <c r="A510" s="46" t="inlineStr">
        <is>
          <t>TERCONAZOLE 0.4% CREAM</t>
        </is>
      </c>
      <c r="B510" s="45" t="inlineStr">
        <is>
          <t>51672130406</t>
        </is>
      </c>
      <c r="C510" s="45" t="n">
        <v>45</v>
      </c>
      <c r="D510" s="45" t="n">
        <v>0</v>
      </c>
      <c r="E510" s="47" t="n">
        <v>1</v>
      </c>
    </row>
    <row r="511" ht="20" customHeight="1">
      <c r="A511" s="46" t="inlineStr">
        <is>
          <t>TICAGRELOR 60 MG ORAL TABLET</t>
        </is>
      </c>
      <c r="B511" s="45" t="inlineStr">
        <is>
          <t>00480268806</t>
        </is>
      </c>
      <c r="C511" s="45" t="n">
        <v>60</v>
      </c>
      <c r="D511" s="45" t="n">
        <v>0</v>
      </c>
      <c r="E511" s="47" t="n">
        <v>1</v>
      </c>
    </row>
    <row r="512" ht="20" customHeight="1">
      <c r="A512" s="46" t="inlineStr">
        <is>
          <t>TIMOLOL MALEATE 0.5% SOLUTION</t>
        </is>
      </c>
      <c r="B512" s="45" t="inlineStr">
        <is>
          <t>64980051401</t>
        </is>
      </c>
      <c r="C512" s="45" t="n">
        <v>10</v>
      </c>
      <c r="D512" s="45" t="n">
        <v>0</v>
      </c>
      <c r="E512" s="47" t="n">
        <v>1</v>
      </c>
    </row>
    <row r="513" ht="20" customHeight="1">
      <c r="A513" s="46" t="inlineStr">
        <is>
          <t>TIZANIDINE 2MG TABLET</t>
        </is>
      </c>
      <c r="B513" s="45" t="inlineStr">
        <is>
          <t>57664050289</t>
        </is>
      </c>
      <c r="C513" s="45" t="n">
        <v>150</v>
      </c>
      <c r="D513" s="45" t="n">
        <v>0</v>
      </c>
      <c r="E513" s="47" t="n">
        <v>1.8</v>
      </c>
    </row>
    <row r="514" ht="20" customHeight="1">
      <c r="A514" s="46" t="inlineStr">
        <is>
          <t>TIZANIDINE 4MG TABLET</t>
        </is>
      </c>
      <c r="B514" s="45" t="inlineStr">
        <is>
          <t>57664050318</t>
        </is>
      </c>
      <c r="C514" s="45" t="n">
        <v>1000</v>
      </c>
      <c r="D514" s="45" t="n">
        <v>0</v>
      </c>
      <c r="E514" s="47" t="n">
        <v>0.12</v>
      </c>
    </row>
    <row r="515" ht="20" customHeight="1">
      <c r="A515" s="46" t="inlineStr">
        <is>
          <t>TOPIRAMATE 25MG TABLET</t>
        </is>
      </c>
      <c r="B515" s="45" t="inlineStr">
        <is>
          <t>68382013805</t>
        </is>
      </c>
      <c r="C515" s="45" t="n">
        <v>500</v>
      </c>
      <c r="D515" s="45" t="n">
        <v>0</v>
      </c>
      <c r="E515" s="47" t="n">
        <v>0.24</v>
      </c>
    </row>
    <row r="516" ht="20" customHeight="1">
      <c r="A516" s="46" t="inlineStr">
        <is>
          <t xml:space="preserve">TOPIRAMATE 50MG TAB </t>
        </is>
      </c>
      <c r="B516" s="45" t="inlineStr">
        <is>
          <t>68382013905</t>
        </is>
      </c>
      <c r="C516" s="45" t="n">
        <v>500</v>
      </c>
      <c r="D516" s="45" t="n">
        <v>0</v>
      </c>
      <c r="E516" s="47" t="n">
        <v>0.42</v>
      </c>
    </row>
    <row r="517" ht="20" customHeight="1">
      <c r="A517" s="46" t="inlineStr">
        <is>
          <t>TORSEMIDE 10MG TABLET</t>
        </is>
      </c>
      <c r="B517" s="45" t="inlineStr">
        <is>
          <t>31722053001</t>
        </is>
      </c>
      <c r="C517" s="45" t="n">
        <v>100</v>
      </c>
      <c r="D517" s="45" t="n">
        <v>0</v>
      </c>
      <c r="E517" s="47" t="n">
        <v>0.6</v>
      </c>
    </row>
    <row r="518" ht="20" customHeight="1">
      <c r="A518" s="46" t="inlineStr">
        <is>
          <t>TORSEMIDE 20MG TABLET</t>
        </is>
      </c>
      <c r="B518" s="45" t="inlineStr">
        <is>
          <t>50111091703</t>
        </is>
      </c>
      <c r="C518" s="45" t="n">
        <v>1000</v>
      </c>
      <c r="D518" s="45" t="n">
        <v>0</v>
      </c>
      <c r="E518" s="47" t="n">
        <v>0.42</v>
      </c>
    </row>
    <row r="519" ht="20" customHeight="1">
      <c r="A519" s="46" t="inlineStr">
        <is>
          <t>TRAMADOL 50 MG TABLET</t>
        </is>
      </c>
      <c r="B519" s="45" t="inlineStr">
        <is>
          <t>60219234805</t>
        </is>
      </c>
      <c r="C519" s="45" t="n">
        <v>500</v>
      </c>
      <c r="D519" s="45" t="n">
        <v>0</v>
      </c>
      <c r="E519" s="47" t="n">
        <v>0.08</v>
      </c>
    </row>
    <row r="520" ht="20" customHeight="1">
      <c r="A520" s="46" t="inlineStr">
        <is>
          <t>TRAMADOL HCL ER 200MG TABLET</t>
        </is>
      </c>
      <c r="B520" s="45" t="inlineStr">
        <is>
          <t>68180069806</t>
        </is>
      </c>
      <c r="C520" s="45" t="n">
        <v>30</v>
      </c>
      <c r="D520" s="45" t="n">
        <v>0</v>
      </c>
      <c r="E520" s="47" t="n">
        <v>1</v>
      </c>
    </row>
    <row r="521" ht="20" customHeight="1">
      <c r="A521" s="46" t="inlineStr">
        <is>
          <t>TRANEXAMIC ACID 650MG TABLET</t>
        </is>
      </c>
      <c r="B521" s="45" t="inlineStr">
        <is>
          <t>69918030130</t>
        </is>
      </c>
      <c r="C521" s="45" t="n">
        <v>30</v>
      </c>
      <c r="D521" s="45" t="n">
        <v>0</v>
      </c>
      <c r="E521" s="47" t="n">
        <v>4</v>
      </c>
    </row>
    <row r="522" ht="20" customHeight="1">
      <c r="A522" s="46" t="inlineStr">
        <is>
          <t>TRAZODONE 100MG TABLET</t>
        </is>
      </c>
      <c r="B522" s="45" t="inlineStr">
        <is>
          <t>50111056103</t>
        </is>
      </c>
      <c r="C522" s="45" t="n">
        <v>1000</v>
      </c>
      <c r="D522" s="45" t="n">
        <v>0</v>
      </c>
      <c r="E522" s="47" t="n">
        <v>0.26</v>
      </c>
    </row>
    <row r="523" ht="20" customHeight="1">
      <c r="A523" s="46" t="inlineStr">
        <is>
          <t>TRAZODONE 150MG TABLET</t>
        </is>
      </c>
      <c r="B523" s="45" t="inlineStr">
        <is>
          <t>50111045002</t>
        </is>
      </c>
      <c r="C523" s="45" t="n">
        <v>500</v>
      </c>
      <c r="D523" s="45" t="n">
        <v>0</v>
      </c>
      <c r="E523" s="47" t="n">
        <v>0.18</v>
      </c>
    </row>
    <row r="524" ht="20" customHeight="1">
      <c r="A524" s="46" t="inlineStr">
        <is>
          <t>TRAZODONE 50MG TABLET</t>
        </is>
      </c>
      <c r="B524" s="45" t="inlineStr">
        <is>
          <t>50111056003</t>
        </is>
      </c>
      <c r="C524" s="45" t="n">
        <v>1000</v>
      </c>
      <c r="D524" s="45" t="n">
        <v>0</v>
      </c>
      <c r="E524" s="47" t="n">
        <v>0.4</v>
      </c>
    </row>
    <row r="525" ht="20" customHeight="1">
      <c r="A525" s="46" t="inlineStr">
        <is>
          <t>TRELEGY ELLIPTA 100-62.5-25MCG/INH AEROSOL</t>
        </is>
      </c>
      <c r="B525" s="45" t="inlineStr">
        <is>
          <t>00173088710</t>
        </is>
      </c>
      <c r="C525" s="45" t="n">
        <v>60</v>
      </c>
      <c r="D525" s="45" t="n">
        <v>0</v>
      </c>
      <c r="E525" s="47" t="n">
        <v>8</v>
      </c>
    </row>
    <row r="526" ht="20" customHeight="1">
      <c r="A526" s="46" t="inlineStr">
        <is>
          <t>TRELEGY ELLIPTA 200-62.5-25 MCG/ACT INHALATION AER</t>
        </is>
      </c>
      <c r="B526" s="45" t="inlineStr">
        <is>
          <t>00173089310</t>
        </is>
      </c>
      <c r="C526" s="45" t="n">
        <v>60</v>
      </c>
      <c r="D526" s="45" t="n">
        <v>0</v>
      </c>
      <c r="E526" s="47" t="n">
        <v>3</v>
      </c>
    </row>
    <row r="527" ht="20" customHeight="1">
      <c r="A527" s="46" t="inlineStr">
        <is>
          <t>TRETINOIN 0.025 % EXTERNAL CREAM</t>
        </is>
      </c>
      <c r="B527" s="45" t="inlineStr">
        <is>
          <t>51672140709</t>
        </is>
      </c>
      <c r="C527" s="45" t="n">
        <v>45</v>
      </c>
      <c r="D527" s="45" t="n">
        <v>0</v>
      </c>
      <c r="E527" s="47" t="n">
        <v>3</v>
      </c>
    </row>
    <row r="528" ht="20" customHeight="1">
      <c r="A528" s="46" t="inlineStr">
        <is>
          <t>TRETINOIN 0.05% CREAM</t>
        </is>
      </c>
      <c r="B528" s="45" t="inlineStr">
        <is>
          <t>00574220545</t>
        </is>
      </c>
      <c r="C528" s="45" t="n">
        <v>45</v>
      </c>
      <c r="D528" s="45" t="n">
        <v>0</v>
      </c>
      <c r="E528" s="47" t="n">
        <v>2</v>
      </c>
    </row>
    <row r="529" ht="20" customHeight="1">
      <c r="A529" s="46" t="inlineStr">
        <is>
          <t>TRIAMCINOLONE 0.1% EXTERNAL OINTMENT</t>
        </is>
      </c>
      <c r="B529" s="45" t="inlineStr">
        <is>
          <t>33342033354</t>
        </is>
      </c>
      <c r="C529" s="45" t="n">
        <v>454</v>
      </c>
      <c r="D529" s="45" t="n">
        <v>0</v>
      </c>
      <c r="E529" s="47" t="n">
        <v>1</v>
      </c>
    </row>
    <row r="530" ht="20" customHeight="1">
      <c r="A530" s="46" t="inlineStr">
        <is>
          <t xml:space="preserve">TRIAMCINOLONE ACETONIDE 0.025 % EXTERNAL CREAM </t>
        </is>
      </c>
      <c r="B530" s="45" t="inlineStr">
        <is>
          <t>45802006336</t>
        </is>
      </c>
      <c r="C530" s="45" t="n">
        <v>80</v>
      </c>
      <c r="D530" s="45" t="n">
        <v>0</v>
      </c>
      <c r="E530" s="47" t="n">
        <v>4</v>
      </c>
    </row>
    <row r="531" ht="20" customHeight="1">
      <c r="A531" s="46" t="inlineStr">
        <is>
          <t>TRIAMCINOLONE ACETONIDE 0.1 % EXTERNAL LOTION</t>
        </is>
      </c>
      <c r="B531" s="45" t="inlineStr">
        <is>
          <t>70752013005</t>
        </is>
      </c>
      <c r="C531" s="45" t="n">
        <v>60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0.1 % MOUTH/THROAT PASTE</t>
        </is>
      </c>
      <c r="B532" s="45" t="inlineStr">
        <is>
          <t>64980032005</t>
        </is>
      </c>
      <c r="C532" s="45" t="n">
        <v>5</v>
      </c>
      <c r="D532" s="45" t="n">
        <v>0</v>
      </c>
      <c r="E532" s="47" t="n">
        <v>1</v>
      </c>
    </row>
    <row r="533" ht="20" customHeight="1">
      <c r="A533" s="46" t="inlineStr">
        <is>
          <t>TRIAMCINOLONE ACETONIDE 0.1% CREAM</t>
        </is>
      </c>
      <c r="B533" s="45" t="inlineStr">
        <is>
          <t>67877025145</t>
        </is>
      </c>
      <c r="C533" s="45" t="n">
        <v>454</v>
      </c>
      <c r="D533" s="45" t="n">
        <v>0</v>
      </c>
      <c r="E533" s="47" t="n">
        <v>1</v>
      </c>
    </row>
    <row r="534" ht="20" customHeight="1">
      <c r="A534" s="46" t="inlineStr">
        <is>
          <t>TRIAMCINOLONE ACETONIDE 0.5 % CREAM</t>
        </is>
      </c>
      <c r="B534" s="45" t="inlineStr">
        <is>
          <t>00168000215</t>
        </is>
      </c>
      <c r="C534" s="45" t="n">
        <v>15</v>
      </c>
      <c r="D534" s="45" t="n">
        <v>0</v>
      </c>
      <c r="E534" s="47" t="n">
        <v>3</v>
      </c>
    </row>
    <row r="535" ht="20" customHeight="1">
      <c r="A535" s="46" t="inlineStr">
        <is>
          <t>TRIAMTERENE-HCTZ 75-50 MG ORAL TABLET</t>
        </is>
      </c>
      <c r="B535" s="45" t="inlineStr">
        <is>
          <t>60505265701</t>
        </is>
      </c>
      <c r="C535" s="45" t="n">
        <v>100</v>
      </c>
      <c r="D535" s="45" t="n">
        <v>0</v>
      </c>
      <c r="E535" s="47" t="n">
        <v>0.9</v>
      </c>
    </row>
    <row r="536" ht="20" customHeight="1">
      <c r="A536" s="46" t="inlineStr">
        <is>
          <t>TRINTELLIX 10MG TABLET</t>
        </is>
      </c>
      <c r="B536" s="45" t="inlineStr">
        <is>
          <t>64764073030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TROSPIUM CHLORIDE 20 MG TABLET</t>
        </is>
      </c>
      <c r="B537" s="45" t="inlineStr">
        <is>
          <t>23155053006</t>
        </is>
      </c>
      <c r="C537" s="45" t="n">
        <v>60</v>
      </c>
      <c r="D537" s="45" t="n">
        <v>0</v>
      </c>
      <c r="E537" s="47" t="n">
        <v>0.33</v>
      </c>
    </row>
    <row r="538" ht="20" customHeight="1">
      <c r="A538" s="46" t="inlineStr">
        <is>
          <t>URSODIOL 300MG CAPSULE</t>
        </is>
      </c>
      <c r="B538" s="45" t="inlineStr">
        <is>
          <t>69238154001</t>
        </is>
      </c>
      <c r="C538" s="45" t="n">
        <v>100</v>
      </c>
      <c r="D538" s="45" t="n">
        <v>0</v>
      </c>
      <c r="E538" s="47" t="n">
        <v>0.9</v>
      </c>
    </row>
    <row r="539" ht="20" customHeight="1">
      <c r="A539" s="46" t="inlineStr">
        <is>
          <t>VALACYCLOVIR 1GM TABLET</t>
        </is>
      </c>
      <c r="B539" s="45" t="inlineStr">
        <is>
          <t>57237004390</t>
        </is>
      </c>
      <c r="C539" s="45" t="n">
        <v>90</v>
      </c>
      <c r="D539" s="45" t="n">
        <v>0</v>
      </c>
      <c r="E539" s="47" t="n">
        <v>2.88</v>
      </c>
    </row>
    <row r="540" ht="20" customHeight="1">
      <c r="A540" s="46" t="inlineStr">
        <is>
          <t>VALACYCLOVIR 500MG TABLET</t>
        </is>
      </c>
      <c r="B540" s="45" t="inlineStr">
        <is>
          <t>57237004230</t>
        </is>
      </c>
      <c r="C540" s="45" t="n">
        <v>30</v>
      </c>
      <c r="D540" s="45" t="n">
        <v>0</v>
      </c>
      <c r="E540" s="47" t="n">
        <v>2.2</v>
      </c>
    </row>
    <row r="541" ht="20" customHeight="1">
      <c r="A541" s="46" t="inlineStr">
        <is>
          <t>VALSARTAN 320MG TABLET</t>
        </is>
      </c>
      <c r="B541" s="45" t="inlineStr">
        <is>
          <t>00378581577</t>
        </is>
      </c>
      <c r="C541" s="45" t="n">
        <v>90</v>
      </c>
      <c r="D541" s="45" t="n">
        <v>0</v>
      </c>
      <c r="E541" s="47" t="n">
        <v>2</v>
      </c>
    </row>
    <row r="542" ht="20" customHeight="1">
      <c r="A542" s="46" t="inlineStr">
        <is>
          <t>VALSARTAN 40MG TABLET</t>
        </is>
      </c>
      <c r="B542" s="45" t="inlineStr">
        <is>
          <t>55111073130</t>
        </is>
      </c>
      <c r="C542" s="45" t="n">
        <v>30</v>
      </c>
      <c r="D542" s="45" t="n">
        <v>0</v>
      </c>
      <c r="E542" s="47" t="n">
        <v>3</v>
      </c>
    </row>
    <row r="543" ht="20" customHeight="1">
      <c r="A543" s="46" t="inlineStr">
        <is>
          <t>VALSARTAN 80MG TABLET</t>
        </is>
      </c>
      <c r="B543" s="45" t="inlineStr">
        <is>
          <t>00378581377</t>
        </is>
      </c>
      <c r="C543" s="45" t="n">
        <v>90</v>
      </c>
      <c r="D543" s="45" t="n">
        <v>0</v>
      </c>
      <c r="E543" s="47" t="n">
        <v>1.67</v>
      </c>
    </row>
    <row r="544" ht="20" customHeight="1">
      <c r="A544" s="46" t="inlineStr">
        <is>
          <t>VASCEPA 0.5 GM ORAL CAPSULE</t>
        </is>
      </c>
      <c r="B544" s="45" t="inlineStr">
        <is>
          <t>52937000340</t>
        </is>
      </c>
      <c r="C544" s="45" t="n">
        <v>240</v>
      </c>
      <c r="D544" s="45" t="n">
        <v>0</v>
      </c>
      <c r="E544" s="47" t="n">
        <v>0.25</v>
      </c>
    </row>
    <row r="545" ht="20" customHeight="1">
      <c r="A545" s="46" t="inlineStr">
        <is>
          <t>VENLAFAXINE HCL ER 75 MG CAPSULE</t>
        </is>
      </c>
      <c r="B545" s="45" t="inlineStr">
        <is>
          <t>65862052890</t>
        </is>
      </c>
      <c r="C545" s="45" t="n">
        <v>90</v>
      </c>
      <c r="D545" s="45" t="n">
        <v>0</v>
      </c>
      <c r="E545" s="47" t="n">
        <v>1</v>
      </c>
    </row>
    <row r="546" ht="20" customHeight="1">
      <c r="A546" s="46" t="inlineStr">
        <is>
          <t>VERAPAMIL ER 120MG TABLET</t>
        </is>
      </c>
      <c r="B546" s="45" t="inlineStr">
        <is>
          <t>68462029201</t>
        </is>
      </c>
      <c r="C546" s="45" t="n">
        <v>100</v>
      </c>
      <c r="D546" s="45" t="n">
        <v>0</v>
      </c>
      <c r="E546" s="47" t="n">
        <v>1.2</v>
      </c>
    </row>
    <row r="547" ht="20" customHeight="1">
      <c r="A547" s="46" t="inlineStr">
        <is>
          <t>VYZULTA 0.024 % OPHTHALMIC SOLUTION</t>
        </is>
      </c>
      <c r="B547" s="45" t="inlineStr">
        <is>
          <t>24208050402</t>
        </is>
      </c>
      <c r="C547" s="45" t="n">
        <v>2.5</v>
      </c>
      <c r="D547" s="45" t="n">
        <v>0</v>
      </c>
      <c r="E547" s="47" t="n">
        <v>5</v>
      </c>
    </row>
    <row r="548" ht="20" customHeight="1">
      <c r="A548" s="46" t="inlineStr">
        <is>
          <t>WARFARIN SODIUM 10 MG ORAL TABLET</t>
        </is>
      </c>
      <c r="B548" s="45" t="inlineStr">
        <is>
          <t>00093172001</t>
        </is>
      </c>
      <c r="C548" s="45" t="n">
        <v>100</v>
      </c>
      <c r="D548" s="45" t="n">
        <v>0</v>
      </c>
      <c r="E548" s="47" t="n">
        <v>0.3</v>
      </c>
    </row>
    <row r="549" ht="20" customHeight="1">
      <c r="A549" s="46" t="inlineStr">
        <is>
          <t>WARFARIN SODIUM 2 MG TABLET</t>
        </is>
      </c>
      <c r="B549" s="45" t="inlineStr">
        <is>
          <t>00093171301</t>
        </is>
      </c>
      <c r="C549" s="45" t="n">
        <v>100</v>
      </c>
      <c r="D549" s="45" t="n">
        <v>0</v>
      </c>
      <c r="E549" s="47" t="n">
        <v>0.3</v>
      </c>
    </row>
    <row r="550" ht="20" customHeight="1">
      <c r="A550" s="46" t="inlineStr">
        <is>
          <t>WARFARIN SODIUM 3MG TABLET</t>
        </is>
      </c>
      <c r="B550" s="45" t="inlineStr">
        <is>
          <t>51672403001</t>
        </is>
      </c>
      <c r="C550" s="45" t="n">
        <v>100</v>
      </c>
      <c r="D550" s="45" t="n">
        <v>0</v>
      </c>
      <c r="E550" s="47" t="n">
        <v>0.35</v>
      </c>
    </row>
    <row r="551" ht="20" customHeight="1">
      <c r="A551" s="46" t="inlineStr">
        <is>
          <t>XARELTO 15MG TAB</t>
        </is>
      </c>
      <c r="B551" s="45" t="inlineStr">
        <is>
          <t>50458057830</t>
        </is>
      </c>
      <c r="C551" s="45" t="n">
        <v>30</v>
      </c>
      <c r="D551" s="45" t="n">
        <v>0</v>
      </c>
      <c r="E551" s="47" t="n">
        <v>3</v>
      </c>
    </row>
    <row r="552" ht="20" customHeight="1">
      <c r="A552" s="46" t="inlineStr">
        <is>
          <t>XHANCE 93 MCG/ACT NASAL EXHALER SUSPENSION</t>
        </is>
      </c>
      <c r="B552" s="45" t="inlineStr">
        <is>
          <t>71143037501</t>
        </is>
      </c>
      <c r="C552" s="45" t="n">
        <v>16</v>
      </c>
      <c r="D552" s="45" t="n">
        <v>0</v>
      </c>
      <c r="E552" s="47" t="n">
        <v>1</v>
      </c>
    </row>
    <row r="553" ht="20" customHeight="1">
      <c r="A553" s="46" t="inlineStr">
        <is>
          <t>XIGDUO XR 5-1000 MG TABLET ER</t>
        </is>
      </c>
      <c r="B553" s="45" t="inlineStr">
        <is>
          <t>00310626060</t>
        </is>
      </c>
      <c r="C553" s="45" t="n">
        <v>60</v>
      </c>
      <c r="D553" s="45" t="n">
        <v>0</v>
      </c>
      <c r="E553" s="47" t="n">
        <v>3</v>
      </c>
    </row>
    <row r="554" ht="20" customHeight="1">
      <c r="A554" s="46" t="inlineStr">
        <is>
          <t>ZAFEMY 150-35 MCG/24HR TRANSDERMAL PATCH WEEKLY</t>
        </is>
      </c>
      <c r="B554" s="45" t="inlineStr">
        <is>
          <t>65162035803</t>
        </is>
      </c>
      <c r="C554" s="45" t="n">
        <v>3</v>
      </c>
      <c r="D554" s="45" t="n">
        <v>0</v>
      </c>
      <c r="E554" s="47" t="n">
        <v>1</v>
      </c>
    </row>
    <row r="555" ht="20" customHeight="1">
      <c r="A555" s="46" t="inlineStr">
        <is>
          <t xml:space="preserve">ZIPRASIDONE 20MG CAP </t>
        </is>
      </c>
      <c r="B555" s="45" t="inlineStr">
        <is>
          <t>55111025660</t>
        </is>
      </c>
      <c r="C555" s="45" t="n">
        <v>60</v>
      </c>
      <c r="D555" s="45" t="n">
        <v>0</v>
      </c>
      <c r="E555" s="47" t="n">
        <v>1</v>
      </c>
    </row>
    <row r="556" ht="20" customHeight="1">
      <c r="A556" s="46" t="inlineStr">
        <is>
          <t xml:space="preserve">ZOLPIDEM TARTRATE 10MG TAB </t>
        </is>
      </c>
      <c r="B556" s="45" t="inlineStr">
        <is>
          <t>13668000805</t>
        </is>
      </c>
      <c r="C556" s="45" t="n">
        <v>500</v>
      </c>
      <c r="D556" s="45" t="n">
        <v>0</v>
      </c>
      <c r="E556" s="47" t="n">
        <v>0.6899999999999999</v>
      </c>
    </row>
    <row r="557" ht="20" customHeight="1">
      <c r="A557" s="46" t="inlineStr">
        <is>
          <t xml:space="preserve">ZOLPIDEM TARTRATE 5MG TAB </t>
        </is>
      </c>
      <c r="B557" s="45" t="inlineStr">
        <is>
          <t>13668000705</t>
        </is>
      </c>
      <c r="C557" s="45" t="n">
        <v>500</v>
      </c>
      <c r="D557" s="45" t="n">
        <v>0</v>
      </c>
      <c r="E557" s="47" t="n">
        <v>0.16</v>
      </c>
    </row>
    <row r="558" ht="20" customHeight="1">
      <c r="A558" s="46" t="inlineStr">
        <is>
          <t>ZORYVE 0.3 % EXTERNAL CREAM</t>
        </is>
      </c>
      <c r="B558" s="45" t="inlineStr">
        <is>
          <t>80610013060</t>
        </is>
      </c>
      <c r="C558" s="45" t="n">
        <v>60</v>
      </c>
      <c r="D558" s="45" t="n">
        <v>0</v>
      </c>
      <c r="E558" s="47" t="n">
        <v>1</v>
      </c>
    </row>
    <row r="559" ht="20" customHeight="1">
      <c r="A559" s="46" t="inlineStr">
        <is>
          <t>ZORYVE 0.3 % EXTERNAL FOAM</t>
        </is>
      </c>
      <c r="B559" s="45" t="inlineStr">
        <is>
          <t>80610043060</t>
        </is>
      </c>
      <c r="C559" s="45" t="n">
        <v>60</v>
      </c>
      <c r="D559" s="45" t="n">
        <v>0</v>
      </c>
      <c r="E559" s="47" t="n">
        <v>1</v>
      </c>
    </row>
    <row r="560" ht="20" customHeight="1">
      <c r="A560" s="46" t="inlineStr">
        <is>
          <t>ZTLIDO 1.8 % EXTERNAL PATCH</t>
        </is>
      </c>
      <c r="B560" s="45" t="inlineStr">
        <is>
          <t>69557011130</t>
        </is>
      </c>
      <c r="C560" s="45" t="n">
        <v>30</v>
      </c>
      <c r="D560" s="45" t="n">
        <v>0</v>
      </c>
      <c r="E560" s="47" t="n">
        <v>2</v>
      </c>
    </row>
  </sheetData>
  <autoFilter ref="A2:E56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Trial 20 for the date range Feb 2026 - Feb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  <c r="L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Data'!AO4:AO906)</f>
        <v/>
      </c>
      <c r="C4" s="62">
        <f>SUM('Processed Data'!AN4:AN906)</f>
        <v/>
      </c>
      <c r="D4" s="62">
        <f>SUM('Processed Data'!AP4:AP906)</f>
        <v/>
      </c>
      <c r="E4" s="62">
        <f>SUM('Processed Data'!AQ4:AQ906)</f>
        <v/>
      </c>
      <c r="F4" s="62">
        <f>SUM('Processed Data'!AR4:AR906)</f>
        <v/>
      </c>
      <c r="G4" s="62">
        <f>SUM('Processed Data'!AS4:AS906)</f>
        <v/>
      </c>
      <c r="H4" s="62">
        <f>SUM('Processed Data'!AT4:AT906)</f>
        <v/>
      </c>
      <c r="I4" s="62">
        <f>SUM('Processed Data'!AU4:AU906)</f>
        <v/>
      </c>
      <c r="J4" s="62">
        <f>SUM('Processed Data'!AV4:AV906)</f>
        <v/>
      </c>
      <c r="K4" s="62">
        <f>SUM('Processed Data'!AW4:AW906)</f>
        <v/>
      </c>
      <c r="L4" s="62">
        <f>SUM('Processed Data'!AX4:AX906)</f>
        <v/>
      </c>
    </row>
    <row r="5" ht="28" customHeight="1">
      <c r="A5" s="61" t="inlineStr">
        <is>
          <t>100% $$ Purchased (Kinray)</t>
        </is>
      </c>
      <c r="B5" s="62">
        <f>SUM('Processed Data'!AZ4:AZ906)</f>
        <v/>
      </c>
      <c r="C5" s="62">
        <f>SUM('Processed Data'!AY4:AY906)</f>
        <v/>
      </c>
      <c r="D5" s="62">
        <f>SUM('Processed Data'!BA4:BA906)</f>
        <v/>
      </c>
      <c r="E5" s="62">
        <f>SUM('Processed Data'!BB4:BB906)</f>
        <v/>
      </c>
      <c r="F5" s="62">
        <f>SUM('Processed Data'!BC4:BC906)</f>
        <v/>
      </c>
      <c r="G5" s="62">
        <f>SUM('Processed Data'!BD4:BD906)</f>
        <v/>
      </c>
      <c r="H5" s="62">
        <f>SUM('Processed Data'!BE4:BE906)</f>
        <v/>
      </c>
      <c r="I5" s="62">
        <f>SUM('Processed Data'!BF4:BF906)</f>
        <v/>
      </c>
      <c r="J5" s="62">
        <f>SUM('Processed Data'!BG4:BG906)</f>
        <v/>
      </c>
      <c r="K5" s="62">
        <f>SUM('Processed Data'!BH4:BH906)</f>
        <v/>
      </c>
      <c r="L5" s="62">
        <f>SUM('Processed Data'!BI4:BI906)</f>
        <v/>
      </c>
    </row>
    <row r="6" ht="28" customHeight="1">
      <c r="A6" s="61" t="inlineStr">
        <is>
          <t>Net (Paid − Purchased)</t>
        </is>
      </c>
      <c r="B6" s="62">
        <f>SUM('Processed Data'!BK4:BK906)</f>
        <v/>
      </c>
      <c r="C6" s="62">
        <f>SUM('Processed Data'!BJ4:BJ906)</f>
        <v/>
      </c>
      <c r="D6" s="62">
        <f>SUM('Processed Data'!BL4:BL906)</f>
        <v/>
      </c>
      <c r="E6" s="62">
        <f>SUM('Processed Data'!BM4:BM906)</f>
        <v/>
      </c>
      <c r="F6" s="62">
        <f>SUM('Processed Data'!BN4:BN906)</f>
        <v/>
      </c>
      <c r="G6" s="62">
        <f>SUM('Processed Data'!BO4:BO906)</f>
        <v/>
      </c>
      <c r="H6" s="62">
        <f>SUM('Processed Data'!BP4:BP906)</f>
        <v/>
      </c>
      <c r="I6" s="62">
        <f>SUM('Processed Data'!BQ4:BQ906)</f>
        <v/>
      </c>
      <c r="J6" s="62">
        <f>SUM('Processed Data'!BR4:BR906)</f>
        <v/>
      </c>
      <c r="K6" s="62">
        <f>SUM('Processed Data'!BS4:BS906)</f>
        <v/>
      </c>
      <c r="L6" s="62">
        <f>SUM('Processed Data'!BT4:BT906)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All'!$S$3:$S$678,MATCH("ADAP_D", 'Needs to be ordered - All'!$R$3:$R$678, 0)), 0)</f>
        <v/>
      </c>
      <c r="C7" s="62">
        <f>IFERROR(INDEX('Needs to be ordered - All'!$S$3:$S$678,MATCH("ALL_PBM_D", 'Needs to be ordered - All'!$R$3:$R$678, 0)), 0)</f>
        <v/>
      </c>
      <c r="D7" s="62">
        <f>IFERROR(INDEX('Needs to be ordered - All'!$S$3:$S$678,MATCH("ARG/HUM_D", 'Needs to be ordered - All'!$R$3:$R$678, 0)), 0)</f>
        <v/>
      </c>
      <c r="E7" s="62">
        <f>IFERROR(INDEX('Needs to be ordered - All'!$S$3:$S$678,MATCH("CVS_D", 'Needs to be ordered - All'!$R$3:$R$678, 0)), 0)</f>
        <v/>
      </c>
      <c r="F7" s="62">
        <f>IFERROR(INDEX('Needs to be ordered - All'!$S$3:$S$678,MATCH("ESI_D", 'Needs to be ordered - All'!$R$3:$R$678, 0)), 0)</f>
        <v/>
      </c>
      <c r="G7" s="62">
        <f>IFERROR(INDEX('Needs to be ordered - All'!$S$3:$S$678,MATCH("FDS_D", 'Needs to be ordered - All'!$R$3:$R$678, 0)), 0)</f>
        <v/>
      </c>
      <c r="H7" s="62">
        <f>IFERROR(INDEX('Needs to be ordered - All'!$S$3:$S$678,MATCH("MEDIMP_D", 'Needs to be ordered - All'!$R$3:$R$678, 0)), 0)</f>
        <v/>
      </c>
      <c r="I7" s="62">
        <f>IFERROR(INDEX('Needs to be ordered - All'!$S$3:$S$678,MATCH("NYM_D", 'Needs to be ordered - All'!$R$3:$R$678, 0)), 0)</f>
        <v/>
      </c>
      <c r="J7" s="62">
        <f>IFERROR(INDEX('Needs to be ordered - All'!$S$3:$S$678,MATCH("OPTUM_D", 'Needs to be ordered - All'!$R$3:$R$678, 0)), 0)</f>
        <v/>
      </c>
      <c r="K7" s="62">
        <f>IFERROR(INDEX('Needs to be ordered - All'!$S$3:$S$678,MATCH("PRIMECAPRX_D", 'Needs to be ordered - All'!$R$3:$R$678, 0)), 0)</f>
        <v/>
      </c>
      <c r="L7" s="62">
        <f>IFERROR(INDEX('Needs to be ordered - All'!$S$3:$S$678,MATCH("TREDIUM_D", 'Needs to be ordered - All'!$R$3:$R$678, 0)), 0)</f>
        <v/>
      </c>
    </row>
  </sheetData>
  <autoFilter ref="A3:L7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2026-04-01T19:13:59Z</dcterms:created>
  <dcterms:modified xsi:type="dcterms:W3CDTF">2026-04-01T19:14:23Z</dcterms:modified>
</cp:coreProperties>
</file>